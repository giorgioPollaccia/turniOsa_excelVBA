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customProperty1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date1904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RNI_EXCEL\ottobre_2016\"/>
    </mc:Choice>
  </mc:AlternateContent>
  <bookViews>
    <workbookView xWindow="240" yWindow="1245" windowWidth="24150" windowHeight="9660" activeTab="3"/>
  </bookViews>
  <sheets>
    <sheet name="ORE" sheetId="1" r:id="rId1"/>
    <sheet name="TURNI" sheetId="2" r:id="rId2"/>
    <sheet name="Sheet1" sheetId="3" r:id="rId3"/>
    <sheet name="Sheet2" sheetId="6" r:id="rId4"/>
    <sheet name="Classified as UnClassified" sheetId="5" state="hidden" r:id="rId5"/>
    <sheet name="xl_DCF_History" sheetId="4" state="veryHidden" r:id="rId6"/>
  </sheets>
  <functionGroups builtInGroupCount="18"/>
  <definedNames>
    <definedName name="report" localSheetId="2" hidden="1">Sheet1!$A$1:$M$33</definedName>
    <definedName name="report_1" localSheetId="2" hidden="1">Sheet1!$N$1:$V$33</definedName>
    <definedName name="report_10" localSheetId="2" hidden="1">Sheet1!$CQ$1:$CY$33</definedName>
    <definedName name="report_11" localSheetId="2" hidden="1">Sheet1!$CZ$1:$DH$33</definedName>
    <definedName name="report_12" localSheetId="2" hidden="1">Sheet1!$DI$1:$DQ$33</definedName>
    <definedName name="report_13" localSheetId="2" hidden="1">Sheet1!$DR$1:$DZ$33</definedName>
    <definedName name="report_14" localSheetId="2" hidden="1">Sheet1!$EA$1:$EI$33</definedName>
    <definedName name="report_15" localSheetId="2" hidden="1">Sheet1!$EJ$1:$ER$33</definedName>
    <definedName name="report_16" localSheetId="2" hidden="1">Sheet1!$ES$1:$FA$33</definedName>
    <definedName name="report_17" localSheetId="2" hidden="1">Sheet1!$FB$1:$FJ$33</definedName>
    <definedName name="report_2" localSheetId="2" hidden="1">Sheet1!$W$1:$AE$33</definedName>
    <definedName name="report_3" localSheetId="2" hidden="1">Sheet1!$AF$1:$AN$33</definedName>
    <definedName name="report_4" localSheetId="2" hidden="1">Sheet1!$AO$1:$AW$33</definedName>
    <definedName name="report_5" localSheetId="2" hidden="1">Sheet1!$AX$1:$BF$33</definedName>
    <definedName name="report_6" localSheetId="2" hidden="1">Sheet1!$BG$1:$BO$33</definedName>
    <definedName name="report_7" localSheetId="2" hidden="1">Sheet1!$BP$1:$BX$33</definedName>
    <definedName name="report_8" localSheetId="2" hidden="1">Sheet1!$BY$1:$CG$22</definedName>
    <definedName name="report_9" localSheetId="2" hidden="1">Sheet1!$CH$1:$CP$33</definedName>
  </definedNames>
  <calcPr calcId="152511"/>
</workbook>
</file>

<file path=xl/calcChain.xml><?xml version="1.0" encoding="utf-8"?>
<calcChain xmlns="http://schemas.openxmlformats.org/spreadsheetml/2006/main">
  <c r="AF3" i="6" l="1"/>
  <c r="AF4" i="6"/>
  <c r="AF5" i="6"/>
  <c r="AF6" i="6"/>
  <c r="AF7" i="6"/>
  <c r="AF8" i="6"/>
  <c r="AF9" i="6"/>
  <c r="AF10" i="6"/>
  <c r="AF11" i="6"/>
  <c r="AF12" i="6"/>
  <c r="AF14" i="6"/>
  <c r="AF15" i="6"/>
  <c r="AF16" i="6"/>
  <c r="AF17" i="6"/>
  <c r="AF18" i="6"/>
  <c r="AF19" i="6"/>
  <c r="AF20" i="6"/>
  <c r="AF21" i="6"/>
  <c r="AF23" i="6"/>
  <c r="AF24" i="6"/>
  <c r="AF25" i="6"/>
  <c r="AF26" i="6"/>
  <c r="AF27" i="6"/>
  <c r="AF28" i="6"/>
  <c r="AF29" i="6"/>
  <c r="AF30" i="6"/>
  <c r="AF31" i="6"/>
  <c r="AF32" i="6"/>
  <c r="AF33" i="6"/>
  <c r="AF2" i="6"/>
  <c r="AO3" i="6"/>
  <c r="AO4" i="6"/>
  <c r="AO5" i="6"/>
  <c r="AO6" i="6"/>
  <c r="AO7" i="6"/>
  <c r="AO8" i="6"/>
  <c r="AO9" i="6"/>
  <c r="AO10" i="6"/>
  <c r="AO11" i="6"/>
  <c r="AO12" i="6"/>
  <c r="AO13" i="6"/>
  <c r="AO14" i="6"/>
  <c r="AO15" i="6"/>
  <c r="AO16" i="6"/>
  <c r="AO17" i="6"/>
  <c r="AO18" i="6"/>
  <c r="AO19" i="6"/>
  <c r="AO20" i="6"/>
  <c r="AO21" i="6"/>
  <c r="AO22" i="6"/>
  <c r="AO23" i="6"/>
  <c r="AO24" i="6"/>
  <c r="AO25" i="6"/>
  <c r="AO26" i="6"/>
  <c r="AO27" i="6"/>
  <c r="AO28" i="6"/>
  <c r="AO29" i="6"/>
  <c r="AO30" i="6"/>
  <c r="AO31" i="6"/>
  <c r="AO32" i="6"/>
  <c r="AO33" i="6"/>
  <c r="AO2" i="6"/>
  <c r="AE3" i="6"/>
  <c r="AE4" i="6"/>
  <c r="AE5" i="6"/>
  <c r="AE6" i="6"/>
  <c r="AE7" i="6"/>
  <c r="AE8" i="6"/>
  <c r="AE9" i="6"/>
  <c r="AE10" i="6"/>
  <c r="AE11" i="6"/>
  <c r="AE12" i="6"/>
  <c r="AE13" i="6"/>
  <c r="AE14" i="6"/>
  <c r="AE15" i="6"/>
  <c r="AE16" i="6"/>
  <c r="AE17" i="6"/>
  <c r="AE18" i="6"/>
  <c r="AE19" i="6"/>
  <c r="AE20" i="6"/>
  <c r="AE21" i="6"/>
  <c r="AE22" i="6"/>
  <c r="AE23" i="6"/>
  <c r="AE24" i="6"/>
  <c r="AE25" i="6"/>
  <c r="AE26" i="6"/>
  <c r="AE27" i="6"/>
  <c r="AE28" i="6"/>
  <c r="AE29" i="6"/>
  <c r="AE30" i="6"/>
  <c r="AE31" i="6"/>
  <c r="AE32" i="6"/>
  <c r="AE33" i="6"/>
  <c r="AE2" i="6"/>
  <c r="V3" i="6"/>
  <c r="V4" i="6"/>
  <c r="V5" i="6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2" i="6"/>
  <c r="A38" i="3"/>
  <c r="B38" i="3"/>
  <c r="C38" i="3"/>
  <c r="A39" i="3"/>
  <c r="B39" i="3"/>
  <c r="C39" i="3"/>
  <c r="A40" i="3"/>
  <c r="B40" i="3"/>
  <c r="C40" i="3"/>
  <c r="A41" i="3"/>
  <c r="B41" i="3"/>
  <c r="C41" i="3"/>
  <c r="A42" i="3"/>
  <c r="B42" i="3"/>
  <c r="C42" i="3"/>
  <c r="A43" i="3"/>
  <c r="B43" i="3"/>
  <c r="C43" i="3"/>
  <c r="A44" i="3"/>
  <c r="B44" i="3"/>
  <c r="C44" i="3"/>
  <c r="A45" i="3"/>
  <c r="B45" i="3"/>
  <c r="C45" i="3"/>
  <c r="A46" i="3"/>
  <c r="B46" i="3"/>
  <c r="C46" i="3"/>
  <c r="A47" i="3"/>
  <c r="B47" i="3"/>
  <c r="C47" i="3"/>
  <c r="A48" i="3"/>
  <c r="B48" i="3"/>
  <c r="C48" i="3"/>
  <c r="A49" i="3"/>
  <c r="B49" i="3"/>
  <c r="C49" i="3"/>
  <c r="A50" i="3"/>
  <c r="B50" i="3"/>
  <c r="C50" i="3"/>
  <c r="A51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A58" i="3"/>
  <c r="B58" i="3"/>
  <c r="C58" i="3"/>
  <c r="A59" i="3"/>
  <c r="B59" i="3"/>
  <c r="C59" i="3"/>
  <c r="A60" i="3"/>
  <c r="B60" i="3"/>
  <c r="C60" i="3"/>
  <c r="A61" i="3"/>
  <c r="B61" i="3"/>
  <c r="C61" i="3"/>
  <c r="A62" i="3"/>
  <c r="B62" i="3"/>
  <c r="C62" i="3"/>
  <c r="A63" i="3"/>
  <c r="B63" i="3"/>
  <c r="C63" i="3"/>
  <c r="A64" i="3"/>
  <c r="B64" i="3"/>
  <c r="C64" i="3"/>
  <c r="A65" i="3"/>
  <c r="B65" i="3"/>
  <c r="C65" i="3"/>
  <c r="A66" i="3"/>
  <c r="B66" i="3"/>
  <c r="C66" i="3"/>
  <c r="A67" i="3"/>
  <c r="B67" i="3"/>
  <c r="C67" i="3"/>
  <c r="A68" i="3"/>
  <c r="B68" i="3"/>
  <c r="C68" i="3"/>
  <c r="B37" i="3"/>
  <c r="C37" i="3"/>
  <c r="A37" i="3"/>
  <c r="Z2" i="1"/>
  <c r="AA2" i="1" s="1"/>
  <c r="Z3" i="1"/>
  <c r="AA3" i="1" s="1"/>
  <c r="Z4" i="1"/>
  <c r="AA4" i="1" s="1"/>
  <c r="Z5" i="1"/>
  <c r="AA5" i="1" s="1"/>
  <c r="Z6" i="1"/>
  <c r="AA6" i="1" s="1"/>
  <c r="Z7" i="1"/>
  <c r="AA7" i="1" s="1"/>
  <c r="Z8" i="1"/>
  <c r="AA8" i="1" s="1"/>
  <c r="Z9" i="1"/>
  <c r="AA9" i="1" s="1"/>
  <c r="Z10" i="1"/>
  <c r="AA10" i="1" s="1"/>
  <c r="Z11" i="1"/>
  <c r="AA11" i="1" s="1"/>
  <c r="Z12" i="1"/>
  <c r="AA12" i="1" s="1"/>
  <c r="Z13" i="1"/>
  <c r="AA13" i="1" s="1"/>
  <c r="Z14" i="1"/>
  <c r="AA14" i="1" s="1"/>
  <c r="Z15" i="1"/>
  <c r="AA15" i="1" s="1"/>
  <c r="Z16" i="1"/>
  <c r="AA16" i="1" s="1"/>
  <c r="Z17" i="1"/>
  <c r="AA17" i="1" s="1"/>
  <c r="Z18" i="1"/>
  <c r="AA18" i="1" s="1"/>
  <c r="Z19" i="1"/>
  <c r="AA19" i="1" s="1"/>
  <c r="Z20" i="1"/>
  <c r="AA20" i="1" s="1"/>
  <c r="Z21" i="1"/>
  <c r="AA21" i="1" s="1"/>
  <c r="Z22" i="1"/>
  <c r="AA22" i="1" s="1"/>
  <c r="Z23" i="1"/>
  <c r="AA23" i="1" s="1"/>
  <c r="Z24" i="1"/>
  <c r="AA24" i="1" s="1"/>
  <c r="Z25" i="1"/>
  <c r="AA25" i="1" s="1"/>
  <c r="Z26" i="1"/>
  <c r="AA26" i="1" s="1"/>
  <c r="Z27" i="1"/>
  <c r="AA27" i="1" s="1"/>
  <c r="Z28" i="1"/>
  <c r="AA28" i="1" s="1"/>
  <c r="Z29" i="1"/>
  <c r="AA29" i="1" s="1"/>
  <c r="Z30" i="1"/>
  <c r="AA30" i="1" s="1"/>
  <c r="Z31" i="1"/>
  <c r="AA31" i="1" s="1"/>
  <c r="Z32" i="1"/>
  <c r="AA32" i="1" s="1"/>
  <c r="Z33" i="1"/>
  <c r="AA33" i="1" s="1"/>
  <c r="U4" i="1"/>
  <c r="U6" i="1"/>
  <c r="U8" i="1"/>
  <c r="U10" i="1"/>
  <c r="U12" i="1"/>
  <c r="U14" i="1"/>
  <c r="U16" i="1"/>
  <c r="U18" i="1"/>
  <c r="U20" i="1"/>
  <c r="U22" i="1"/>
  <c r="U24" i="1"/>
  <c r="U26" i="1"/>
  <c r="U28" i="1"/>
  <c r="U32" i="1"/>
  <c r="T3" i="1"/>
  <c r="U3" i="1" s="1"/>
  <c r="T4" i="1"/>
  <c r="T5" i="1"/>
  <c r="U5" i="1" s="1"/>
  <c r="T6" i="1"/>
  <c r="T7" i="1"/>
  <c r="U7" i="1" s="1"/>
  <c r="T8" i="1"/>
  <c r="T9" i="1"/>
  <c r="U9" i="1" s="1"/>
  <c r="T10" i="1"/>
  <c r="T11" i="1"/>
  <c r="U11" i="1" s="1"/>
  <c r="T12" i="1"/>
  <c r="T13" i="1"/>
  <c r="U13" i="1" s="1"/>
  <c r="T14" i="1"/>
  <c r="T15" i="1"/>
  <c r="U15" i="1" s="1"/>
  <c r="T16" i="1"/>
  <c r="T17" i="1"/>
  <c r="U17" i="1" s="1"/>
  <c r="T18" i="1"/>
  <c r="T19" i="1"/>
  <c r="U19" i="1" s="1"/>
  <c r="T20" i="1"/>
  <c r="T21" i="1"/>
  <c r="U21" i="1" s="1"/>
  <c r="T22" i="1"/>
  <c r="T23" i="1"/>
  <c r="U23" i="1" s="1"/>
  <c r="T24" i="1"/>
  <c r="T25" i="1"/>
  <c r="U25" i="1" s="1"/>
  <c r="T26" i="1"/>
  <c r="T27" i="1"/>
  <c r="U27" i="1" s="1"/>
  <c r="T28" i="1"/>
  <c r="T29" i="1"/>
  <c r="U29" i="1" s="1"/>
  <c r="T30" i="1"/>
  <c r="U30" i="1" s="1"/>
  <c r="T31" i="1"/>
  <c r="U31" i="1" s="1"/>
  <c r="T32" i="1"/>
  <c r="T33" i="1"/>
  <c r="U33" i="1" s="1"/>
  <c r="T2" i="1"/>
  <c r="U2" i="1" s="1"/>
  <c r="O5" i="1"/>
  <c r="O9" i="1"/>
  <c r="O14" i="1"/>
  <c r="O17" i="1"/>
  <c r="O18" i="1"/>
  <c r="O23" i="1"/>
  <c r="O25" i="1"/>
  <c r="O27" i="1"/>
  <c r="O29" i="1"/>
  <c r="O31" i="1"/>
  <c r="O33" i="1"/>
  <c r="N3" i="1"/>
  <c r="O3" i="1" s="1"/>
  <c r="N4" i="1"/>
  <c r="O4" i="1" s="1"/>
  <c r="N5" i="1"/>
  <c r="N6" i="1"/>
  <c r="O6" i="1" s="1"/>
  <c r="N7" i="1"/>
  <c r="O7" i="1" s="1"/>
  <c r="N8" i="1"/>
  <c r="O8" i="1" s="1"/>
  <c r="N9" i="1"/>
  <c r="N10" i="1"/>
  <c r="O10" i="1" s="1"/>
  <c r="N11" i="1"/>
  <c r="O11" i="1" s="1"/>
  <c r="N12" i="1"/>
  <c r="O12" i="1" s="1"/>
  <c r="N13" i="1"/>
  <c r="O13" i="1" s="1"/>
  <c r="N14" i="1"/>
  <c r="N15" i="1"/>
  <c r="O15" i="1" s="1"/>
  <c r="N16" i="1"/>
  <c r="O16" i="1" s="1"/>
  <c r="N17" i="1"/>
  <c r="N18" i="1"/>
  <c r="N19" i="1"/>
  <c r="O19" i="1" s="1"/>
  <c r="N20" i="1"/>
  <c r="O20" i="1" s="1"/>
  <c r="N21" i="1"/>
  <c r="O21" i="1" s="1"/>
  <c r="N22" i="1"/>
  <c r="O22" i="1" s="1"/>
  <c r="N23" i="1"/>
  <c r="N24" i="1"/>
  <c r="O24" i="1" s="1"/>
  <c r="N25" i="1"/>
  <c r="N26" i="1"/>
  <c r="O26" i="1" s="1"/>
  <c r="N27" i="1"/>
  <c r="N28" i="1"/>
  <c r="O28" i="1" s="1"/>
  <c r="N29" i="1"/>
  <c r="N30" i="1"/>
  <c r="O30" i="1" s="1"/>
  <c r="N31" i="1"/>
  <c r="N32" i="1"/>
  <c r="O32" i="1" s="1"/>
  <c r="N33" i="1"/>
  <c r="N2" i="1"/>
  <c r="O2" i="1" s="1"/>
  <c r="H3" i="1"/>
  <c r="I3" i="1" s="1"/>
  <c r="AE3" i="1" s="1"/>
  <c r="H4" i="1"/>
  <c r="I4" i="1" s="1"/>
  <c r="AE4" i="1" s="1"/>
  <c r="H5" i="1"/>
  <c r="I5" i="1" s="1"/>
  <c r="H6" i="1"/>
  <c r="I6" i="1" s="1"/>
  <c r="AE6" i="1" s="1"/>
  <c r="H7" i="1"/>
  <c r="I7" i="1" s="1"/>
  <c r="AE7" i="1" s="1"/>
  <c r="H8" i="1"/>
  <c r="I8" i="1" s="1"/>
  <c r="AE8" i="1" s="1"/>
  <c r="H9" i="1"/>
  <c r="I9" i="1" s="1"/>
  <c r="H10" i="1"/>
  <c r="I10" i="1" s="1"/>
  <c r="AE10" i="1" s="1"/>
  <c r="H11" i="1"/>
  <c r="I11" i="1" s="1"/>
  <c r="AE11" i="1" s="1"/>
  <c r="H12" i="1"/>
  <c r="I12" i="1" s="1"/>
  <c r="AE12" i="1" s="1"/>
  <c r="H13" i="1"/>
  <c r="I13" i="1" s="1"/>
  <c r="H14" i="1"/>
  <c r="I14" i="1" s="1"/>
  <c r="AE14" i="1" s="1"/>
  <c r="H15" i="1"/>
  <c r="I15" i="1" s="1"/>
  <c r="AE15" i="1" s="1"/>
  <c r="H16" i="1"/>
  <c r="I16" i="1" s="1"/>
  <c r="AE16" i="1" s="1"/>
  <c r="H17" i="1"/>
  <c r="I17" i="1" s="1"/>
  <c r="H18" i="1"/>
  <c r="I18" i="1" s="1"/>
  <c r="AE18" i="1" s="1"/>
  <c r="H19" i="1"/>
  <c r="I19" i="1" s="1"/>
  <c r="AE19" i="1" s="1"/>
  <c r="H20" i="1"/>
  <c r="I20" i="1" s="1"/>
  <c r="AE20" i="1" s="1"/>
  <c r="H21" i="1"/>
  <c r="I21" i="1" s="1"/>
  <c r="H22" i="1"/>
  <c r="I22" i="1" s="1"/>
  <c r="AE22" i="1" s="1"/>
  <c r="H23" i="1"/>
  <c r="I23" i="1" s="1"/>
  <c r="AE23" i="1" s="1"/>
  <c r="H24" i="1"/>
  <c r="I24" i="1" s="1"/>
  <c r="AE24" i="1" s="1"/>
  <c r="H25" i="1"/>
  <c r="I25" i="1" s="1"/>
  <c r="H26" i="1"/>
  <c r="I26" i="1" s="1"/>
  <c r="AE26" i="1" s="1"/>
  <c r="H27" i="1"/>
  <c r="I27" i="1" s="1"/>
  <c r="AE27" i="1" s="1"/>
  <c r="H28" i="1"/>
  <c r="I28" i="1" s="1"/>
  <c r="AE28" i="1" s="1"/>
  <c r="H29" i="1"/>
  <c r="I29" i="1" s="1"/>
  <c r="H30" i="1"/>
  <c r="I30" i="1" s="1"/>
  <c r="AE30" i="1" s="1"/>
  <c r="H31" i="1"/>
  <c r="I31" i="1" s="1"/>
  <c r="AE31" i="1" s="1"/>
  <c r="H32" i="1"/>
  <c r="I32" i="1" s="1"/>
  <c r="AE32" i="1" s="1"/>
  <c r="H33" i="1"/>
  <c r="I33" i="1" s="1"/>
  <c r="H2" i="1"/>
  <c r="I2" i="1" s="1"/>
  <c r="AE2" i="1" s="1"/>
  <c r="AE33" i="1" l="1"/>
  <c r="AE25" i="1"/>
  <c r="AE5" i="1"/>
  <c r="AE29" i="1"/>
  <c r="AE17" i="1"/>
  <c r="AE9" i="1"/>
</calcChain>
</file>

<file path=xl/connections.xml><?xml version="1.0" encoding="utf-8"?>
<connections xmlns="http://schemas.openxmlformats.org/spreadsheetml/2006/main">
  <connection id="1" name="report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ANAGRAFICA_0.Matricola, ANAGRAFICA_0.Cognome, ANAGRAFICA_0.Nome, TURNAZIONE_OPERATORE_0.anno,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27) OR (TURNAZIONE_OPERATORE_0.anno=2016) AND (TURNAZIONE_OPERATORE_0.week=27))"/>
  </connection>
  <connection id="2" name="report1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28))"/>
  </connection>
  <connection id="3" name="report10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7))"/>
  </connection>
  <connection id="4" name="report11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8))"/>
  </connection>
  <connection id="5" name="report12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9))"/>
  </connection>
  <connection id="6" name="report13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40))"/>
  </connection>
  <connection id="7" name="report14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41))"/>
  </connection>
  <connection id="8" name="report15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42))"/>
  </connection>
  <connection id="9" name="report16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43))"/>
  </connection>
  <connection id="10" name="report17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44))"/>
  </connection>
  <connection id="11" name="report2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29))"/>
  </connection>
  <connection id="12" name="report3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0))"/>
  </connection>
  <connection id="13" name="report4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1))"/>
  </connection>
  <connection id="14" name="report5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2))"/>
  </connection>
  <connection id="15" name="report6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3))"/>
  </connection>
  <connection id="16" name="report7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4))"/>
  </connection>
  <connection id="17" name="report8" type="1" refreshedVersion="5" minRefreshableVersion="3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5))"/>
  </connection>
  <connection id="18" name="report9" type="1" refreshedVersion="5" background="1" saveData="1">
    <dbPr connection="DSN=SQLite3 Datasource;Database=D:\EXCEL_TURNI_VBA_SQLITE\rsa.sqlite;StepAPI=0;SyncPragma=NORMAL;NoTXN=0;Timeout=100000;ShortNames=0;LongNames=0;NoCreat=0;NoWCHAR=0;FKSupport=0;JournalMode=;OEMCP=0;LoadExt=;BigInt=0;JDConv=0;" command="SELECT TURNAZIONE_OPERATORE_0.week, TURNAZIONE_OPERATORE_0.data_lun, TURNAZIONE_OPERATORE_0.lun, TURNAZIONE_OPERATORE_0.mar, TURNAZIONE_OPERATORE_0.mer, TURNAZIONE_OPERATORE_0.gio, TURNAZIONE_OPERATORE_0.ven, TURNAZIONE_OPERATORE_0.sab, TURNAZIONE_OPERATORE_0.dom_x000d__x000a_FROM ANAGRAFICA ANAGRAFICA_0, TURNAZIONE_OPERATORE TURNAZIONE_OPERATORE_0_x000d__x000a_WHERE TURNAZIONE_OPERATORE_0.MATRICOLA = ANAGRAFICA_0.Matricola AND ((TURNAZIONE_OPERATORE_0.anno=2016) AND (TURNAZIONE_OPERATORE_0.week=36))"/>
  </connection>
</connections>
</file>

<file path=xl/sharedStrings.xml><?xml version="1.0" encoding="utf-8"?>
<sst xmlns="http://schemas.openxmlformats.org/spreadsheetml/2006/main" count="6916" uniqueCount="594">
  <si>
    <t>ID</t>
  </si>
  <si>
    <t>Cognome</t>
  </si>
  <si>
    <t>Nome</t>
  </si>
  <si>
    <t>w27 2016-07-04</t>
  </si>
  <si>
    <t>w28 2016-07-11</t>
  </si>
  <si>
    <t>w29 2016-07-18</t>
  </si>
  <si>
    <t>w30 2016-07-25</t>
  </si>
  <si>
    <t>w31 2016-08-01</t>
  </si>
  <si>
    <t>w32 2016-08-08</t>
  </si>
  <si>
    <t>w33 2016-08-15</t>
  </si>
  <si>
    <t>w34 2016-08-22</t>
  </si>
  <si>
    <t>w35 2016-08-29</t>
  </si>
  <si>
    <t>w36 2016-09-05</t>
  </si>
  <si>
    <t>w37 2016-09-12</t>
  </si>
  <si>
    <t>w38 2016-09-19</t>
  </si>
  <si>
    <t>w39 2016-09-26</t>
  </si>
  <si>
    <t>w40 2016-10-03</t>
  </si>
  <si>
    <t>w41 2016-10-10</t>
  </si>
  <si>
    <t>w42 2016-10-17</t>
  </si>
  <si>
    <t>w43 2016-10-24</t>
  </si>
  <si>
    <t>w44 2016-10-31</t>
  </si>
  <si>
    <t>1</t>
  </si>
  <si>
    <t>Alaimo</t>
  </si>
  <si>
    <t>Dorella</t>
  </si>
  <si>
    <t>38:00</t>
  </si>
  <si>
    <t>31:00</t>
  </si>
  <si>
    <t>42:00</t>
  </si>
  <si>
    <t>41:00</t>
  </si>
  <si>
    <t>35:00</t>
  </si>
  <si>
    <t>2</t>
  </si>
  <si>
    <t>Canino</t>
  </si>
  <si>
    <t>Gaetana</t>
  </si>
  <si>
    <t>36:20</t>
  </si>
  <si>
    <t>3</t>
  </si>
  <si>
    <t>Canzoneri</t>
  </si>
  <si>
    <t>Domenica</t>
  </si>
  <si>
    <t>41:40</t>
  </si>
  <si>
    <t>4</t>
  </si>
  <si>
    <t>Carbone</t>
  </si>
  <si>
    <t>Maria Rita</t>
  </si>
  <si>
    <t>5</t>
  </si>
  <si>
    <t>Carollo</t>
  </si>
  <si>
    <t>Maria</t>
  </si>
  <si>
    <t>6</t>
  </si>
  <si>
    <t>Conti</t>
  </si>
  <si>
    <t>Rosaria</t>
  </si>
  <si>
    <t>21:00</t>
  </si>
  <si>
    <t>32:00</t>
  </si>
  <si>
    <t>21:20</t>
  </si>
  <si>
    <t>28:00</t>
  </si>
  <si>
    <t>7</t>
  </si>
  <si>
    <t>V</t>
  </si>
  <si>
    <t>8</t>
  </si>
  <si>
    <t>Cottone</t>
  </si>
  <si>
    <t>Francesco</t>
  </si>
  <si>
    <t>9</t>
  </si>
  <si>
    <t>Custode</t>
  </si>
  <si>
    <t>Franca Maria</t>
  </si>
  <si>
    <t>34:00</t>
  </si>
  <si>
    <t>10</t>
  </si>
  <si>
    <t>Di Marco</t>
  </si>
  <si>
    <t>Fortunata</t>
  </si>
  <si>
    <t>11</t>
  </si>
  <si>
    <t>Di Scafani</t>
  </si>
  <si>
    <t>38:40</t>
  </si>
  <si>
    <t>45:00</t>
  </si>
  <si>
    <t>12</t>
  </si>
  <si>
    <t>Eroe</t>
  </si>
  <si>
    <t>Elvira</t>
  </si>
  <si>
    <t>31:40</t>
  </si>
  <si>
    <t>00:00</t>
  </si>
  <si>
    <t>30</t>
  </si>
  <si>
    <t>Maurizio</t>
  </si>
  <si>
    <t>13</t>
  </si>
  <si>
    <t>Farinella</t>
  </si>
  <si>
    <t/>
  </si>
  <si>
    <t>31</t>
  </si>
  <si>
    <t>Fucarino</t>
  </si>
  <si>
    <t>Natale</t>
  </si>
  <si>
    <t>14</t>
  </si>
  <si>
    <t>Giglio</t>
  </si>
  <si>
    <t>Nicola</t>
  </si>
  <si>
    <t>15</t>
  </si>
  <si>
    <t>Graziano</t>
  </si>
  <si>
    <t>Lorenza</t>
  </si>
  <si>
    <t>16</t>
  </si>
  <si>
    <t>Guarino</t>
  </si>
  <si>
    <t>26:40</t>
  </si>
  <si>
    <t>17</t>
  </si>
  <si>
    <t>Filomena</t>
  </si>
  <si>
    <t>18</t>
  </si>
  <si>
    <t>La Barbera</t>
  </si>
  <si>
    <t>Santino</t>
  </si>
  <si>
    <t>19</t>
  </si>
  <si>
    <t>Maria Carmela</t>
  </si>
  <si>
    <t>20</t>
  </si>
  <si>
    <t>Macagnone</t>
  </si>
  <si>
    <t>Francesca</t>
  </si>
  <si>
    <t>32</t>
  </si>
  <si>
    <t>Perrone</t>
  </si>
  <si>
    <t>Lucio</t>
  </si>
  <si>
    <t>21</t>
  </si>
  <si>
    <t>Pomara</t>
  </si>
  <si>
    <t>Nunzio</t>
  </si>
  <si>
    <t>22</t>
  </si>
  <si>
    <t>Raia</t>
  </si>
  <si>
    <t>Alfonsa</t>
  </si>
  <si>
    <t>33:40</t>
  </si>
  <si>
    <t>23</t>
  </si>
  <si>
    <t>Randazzo</t>
  </si>
  <si>
    <t>Giuseppe</t>
  </si>
  <si>
    <t>40:20</t>
  </si>
  <si>
    <t>24</t>
  </si>
  <si>
    <t>Ribaudo</t>
  </si>
  <si>
    <t>Giacomo</t>
  </si>
  <si>
    <t>25</t>
  </si>
  <si>
    <t>Roccaforte</t>
  </si>
  <si>
    <t>Carolina</t>
  </si>
  <si>
    <t>26</t>
  </si>
  <si>
    <t>Saglimbeni</t>
  </si>
  <si>
    <t>Massimiliano</t>
  </si>
  <si>
    <t>27</t>
  </si>
  <si>
    <t>Sblandi</t>
  </si>
  <si>
    <t>Vincenza</t>
  </si>
  <si>
    <t>28</t>
  </si>
  <si>
    <t>Scozzari</t>
  </si>
  <si>
    <t>Giuseppina</t>
  </si>
  <si>
    <t>29</t>
  </si>
  <si>
    <t>Tripi</t>
  </si>
  <si>
    <t>Elisa</t>
  </si>
  <si>
    <t>24:00</t>
  </si>
  <si>
    <t>M P M M R P P</t>
  </si>
  <si>
    <t>M P M P M R M</t>
  </si>
  <si>
    <t>R M M P M M R</t>
  </si>
  <si>
    <t>M R P M P M M</t>
  </si>
  <si>
    <t>P P R M M P M</t>
  </si>
  <si>
    <t>M P M R P M P</t>
  </si>
  <si>
    <t>M M N S R P P</t>
  </si>
  <si>
    <t>P M P M M R P</t>
  </si>
  <si>
    <t>S R P M N S R</t>
  </si>
  <si>
    <t>M M R M M N S</t>
  </si>
  <si>
    <t>M N S R P M M</t>
  </si>
  <si>
    <t>M M M N S R P</t>
  </si>
  <si>
    <t>R P M P N S R</t>
  </si>
  <si>
    <t>P1 R P1 M1 M1 M1 M1</t>
  </si>
  <si>
    <t>F F R F F F F</t>
  </si>
  <si>
    <t>F F F R F F F</t>
  </si>
  <si>
    <t>M1 M1 P1 M1 R P1 M1</t>
  </si>
  <si>
    <t>M N S R P M P</t>
  </si>
  <si>
    <t>M P P M R P P</t>
  </si>
  <si>
    <t>R P M P P M R</t>
  </si>
  <si>
    <t>S R P M M M P</t>
  </si>
  <si>
    <t>N S R P M RC N</t>
  </si>
  <si>
    <t>M P M R P M M</t>
  </si>
  <si>
    <t>M M N S R P M</t>
  </si>
  <si>
    <t>M P M M M R P</t>
  </si>
  <si>
    <t>R P M M N S R</t>
  </si>
  <si>
    <t>R F F F F F R</t>
  </si>
  <si>
    <t>F R F F F F F</t>
  </si>
  <si>
    <t>N S R P M M M</t>
  </si>
  <si>
    <t>P M M R P M M</t>
  </si>
  <si>
    <t>P M N S R P M</t>
  </si>
  <si>
    <t>P M M M M R M</t>
  </si>
  <si>
    <t>M M M R RC P M</t>
  </si>
  <si>
    <t>M M P M R F F</t>
  </si>
  <si>
    <t>P F M M M R M</t>
  </si>
  <si>
    <t>M R M P M M R</t>
  </si>
  <si>
    <t>P1 M1 P1 R P1 M1 M1</t>
  </si>
  <si>
    <t>M1 M1 M1 M1 R P1 P1</t>
  </si>
  <si>
    <t>M P M P R M M</t>
  </si>
  <si>
    <t>F M R P M N S</t>
  </si>
  <si>
    <t>M M P M R P M</t>
  </si>
  <si>
    <t>P M P R P M P</t>
  </si>
  <si>
    <t>M M R RC M P M</t>
  </si>
  <si>
    <t>F F F F R F F</t>
  </si>
  <si>
    <t>F F F F F R F</t>
  </si>
  <si>
    <t>M M R P M N S</t>
  </si>
  <si>
    <t>R P P M P M R</t>
  </si>
  <si>
    <t>S R P M M M M</t>
  </si>
  <si>
    <t>N S R P M M N</t>
  </si>
  <si>
    <t>M M M R P M M</t>
  </si>
  <si>
    <t>P M P R P P M</t>
  </si>
  <si>
    <t>P M M N S R P</t>
  </si>
  <si>
    <t>S R P P M M P</t>
  </si>
  <si>
    <t>P M P R M P M</t>
  </si>
  <si>
    <t>R P P P M M R</t>
  </si>
  <si>
    <t>P1 M1 M1 R P1 M1 M1</t>
  </si>
  <si>
    <t>P M M P M R P</t>
  </si>
  <si>
    <t>R P M M P M R</t>
  </si>
  <si>
    <t>ML R P M M N S</t>
  </si>
  <si>
    <t>P R P P M N S</t>
  </si>
  <si>
    <t>P M M M M M R</t>
  </si>
  <si>
    <t>P M R P RC N S</t>
  </si>
  <si>
    <t>P N S R P P M</t>
  </si>
  <si>
    <t>F F P P R P P</t>
  </si>
  <si>
    <t>P M F F F R F</t>
  </si>
  <si>
    <t>P M M M P R M</t>
  </si>
  <si>
    <t>M M R M M M M</t>
  </si>
  <si>
    <t>P P M N S R P</t>
  </si>
  <si>
    <t>P1 P P P M R P</t>
  </si>
  <si>
    <t>R P P F P P R</t>
  </si>
  <si>
    <t>N S R F F F F</t>
  </si>
  <si>
    <t>M1 P1 M1 M1 R P1 F</t>
  </si>
  <si>
    <t>M R P M M N S</t>
  </si>
  <si>
    <t>M M P M R M M</t>
  </si>
  <si>
    <t>R M M M N S R</t>
  </si>
  <si>
    <t>M P P M R M P</t>
  </si>
  <si>
    <t>M M M R P P M</t>
  </si>
  <si>
    <t>P M R P M M M</t>
  </si>
  <si>
    <t>M P M M R M P</t>
  </si>
  <si>
    <t>R M M P P M R</t>
  </si>
  <si>
    <t>M R RC M M P M</t>
  </si>
  <si>
    <t>M R P M RC M M</t>
  </si>
  <si>
    <t>P P M M R P M</t>
  </si>
  <si>
    <t>R M M M P P R</t>
  </si>
  <si>
    <t>M1 R M1 M1 P1 M1 M1</t>
  </si>
  <si>
    <t>P1 M1 R M1 M1 M1 M1</t>
  </si>
  <si>
    <t>M1 M1 P1 R P1 M1 P1</t>
  </si>
  <si>
    <t>P M M M M R P</t>
  </si>
  <si>
    <t>R P M M M M R</t>
  </si>
  <si>
    <t>M1 R P1 M1 M1 M1 M1</t>
  </si>
  <si>
    <t>M P P M R P M</t>
  </si>
  <si>
    <t>P M M M R P M</t>
  </si>
  <si>
    <t>S R P M P P R</t>
  </si>
  <si>
    <t>M1 R F F F M1 N</t>
  </si>
  <si>
    <t>M1 M1 R M1 M1 M1 M1</t>
  </si>
  <si>
    <t>S R P M M P M</t>
  </si>
  <si>
    <t>M R P P P M M</t>
  </si>
  <si>
    <t>P M P R M M M</t>
  </si>
  <si>
    <t>R M M M M M R</t>
  </si>
  <si>
    <t>M R M M M M M</t>
  </si>
  <si>
    <t>M1 M1 M1 M1 R M1 M1</t>
  </si>
  <si>
    <t>M P M M M R M</t>
  </si>
  <si>
    <t>M1 R P1 M1 P1 M1 M1</t>
  </si>
  <si>
    <t>M1 M1 M1 R P1 M1 M1</t>
  </si>
  <si>
    <t>M1 P1 P1 M1 R P1 M1</t>
  </si>
  <si>
    <t>P P M M M R P</t>
  </si>
  <si>
    <t>R P M P M M R</t>
  </si>
  <si>
    <t>M M R P M M M</t>
  </si>
  <si>
    <t xml:space="preserve">      </t>
  </si>
  <si>
    <t>-</t>
  </si>
  <si>
    <t>N S R M M P P</t>
  </si>
  <si>
    <t>M N S R M M M</t>
  </si>
  <si>
    <t>M M P M R P P</t>
  </si>
  <si>
    <t>M N S R M M P</t>
  </si>
  <si>
    <t>M M M R M M M</t>
  </si>
  <si>
    <t>S R P P M M M</t>
  </si>
  <si>
    <t>RC R 104 104 P M M</t>
  </si>
  <si>
    <t>M M F R F F F</t>
  </si>
  <si>
    <t>M M M M M R P</t>
  </si>
  <si>
    <t>P1 P1 R M1 M1 P1 M1</t>
  </si>
  <si>
    <t>P1 M1 M1 R P1 M1 P1</t>
  </si>
  <si>
    <t>P 104 M M M M R</t>
  </si>
  <si>
    <t>R 104 P P M M R</t>
  </si>
  <si>
    <t>M1 R 104 M1 M1 M1 M1</t>
  </si>
  <si>
    <t>F F F R RC M M</t>
  </si>
  <si>
    <t>M R P P M R P</t>
  </si>
  <si>
    <t>M R P M M P M</t>
  </si>
  <si>
    <t>M M M M P R M</t>
  </si>
  <si>
    <t>M M M M M R M</t>
  </si>
  <si>
    <t>S R P M P M M</t>
  </si>
  <si>
    <t>F M M M M R M</t>
  </si>
  <si>
    <t>S R P P M N S</t>
  </si>
  <si>
    <t>P M M R P P M</t>
  </si>
  <si>
    <t>S R P M M N S</t>
  </si>
  <si>
    <t>R M R M M N S</t>
  </si>
  <si>
    <t>M1 M1 R P1 P1 M1 P1</t>
  </si>
  <si>
    <t>M1 P1 M1 R P1 P1 M1</t>
  </si>
  <si>
    <t>R P M P M R P</t>
  </si>
  <si>
    <t>P P P M R P P</t>
  </si>
  <si>
    <t>R P P M N S R</t>
  </si>
  <si>
    <t>M M R F F N S</t>
  </si>
  <si>
    <t>P P M P M R RC</t>
  </si>
  <si>
    <t>M R P M M M M</t>
  </si>
  <si>
    <t>M P M N S R P</t>
  </si>
  <si>
    <t>S R M P P M R</t>
  </si>
  <si>
    <t>S R P P M M N</t>
  </si>
  <si>
    <t>P P RC R P P P</t>
  </si>
  <si>
    <t>P P P P P R P</t>
  </si>
  <si>
    <t>R P P P P M R</t>
  </si>
  <si>
    <t>R P M P M P P</t>
  </si>
  <si>
    <t>M P M P M R P</t>
  </si>
  <si>
    <t>R P1 P1 M P M R</t>
  </si>
  <si>
    <t>M1 R P1 P1 P1 P1 M1</t>
  </si>
  <si>
    <t>P1 M1 R P1 P1 P1 P1</t>
  </si>
  <si>
    <t>P1 P1 M1 R P1 M1 P1</t>
  </si>
  <si>
    <t>F M M N S R P</t>
  </si>
  <si>
    <t>R R P P M M M</t>
  </si>
  <si>
    <t>F M R P M M N</t>
  </si>
  <si>
    <t>P M P R F F F</t>
  </si>
  <si>
    <t>M1 M1 R P1 M1 P1 M1</t>
  </si>
  <si>
    <t>M1 M1 R P1 M1 M1 P1</t>
  </si>
  <si>
    <t>F F F M R P1 M1</t>
  </si>
  <si>
    <t>P M R P P N S</t>
  </si>
  <si>
    <t>M P P M R F P</t>
  </si>
  <si>
    <t>N S R M M N S</t>
  </si>
  <si>
    <t>N S R P P M N</t>
  </si>
  <si>
    <t>M R M M M P M</t>
  </si>
  <si>
    <t>P RC R M M P M</t>
  </si>
  <si>
    <t>R M M N S R P</t>
  </si>
  <si>
    <t>R P M P P M M</t>
  </si>
  <si>
    <t>M M M M R P M</t>
  </si>
  <si>
    <t>R P M F P M R</t>
  </si>
  <si>
    <t>R 104 M 104 M M R</t>
  </si>
  <si>
    <t>104 M M M R M M</t>
  </si>
  <si>
    <t>P1 M1 M1 M1 R P1 P1</t>
  </si>
  <si>
    <t>M M M P M R M</t>
  </si>
  <si>
    <t>R M M P M 104 R</t>
  </si>
  <si>
    <t>104 R M1 P1 M1 M1 104</t>
  </si>
  <si>
    <t>P1 M1 M1 R P1 P1 M1</t>
  </si>
  <si>
    <t>M1 P1 M1 M1 R P1 M1</t>
  </si>
  <si>
    <t>P 104 M M M R P</t>
  </si>
  <si>
    <t>R 104 M P 104 F R</t>
  </si>
  <si>
    <t>P M N S R P P</t>
  </si>
  <si>
    <t>M M P M R F M</t>
  </si>
  <si>
    <t>P M P M R M M</t>
  </si>
  <si>
    <t>R P M M F F R</t>
  </si>
  <si>
    <t>M M N S R P ROI</t>
  </si>
  <si>
    <t>P M R M M N S</t>
  </si>
  <si>
    <t>F F F F F R M</t>
  </si>
  <si>
    <t>S R P M M F F</t>
  </si>
  <si>
    <t>P1 M1 R P M M N</t>
  </si>
  <si>
    <t>M M M R P M P</t>
  </si>
  <si>
    <t>S R P M P M P</t>
  </si>
  <si>
    <t>N S R P M F N</t>
  </si>
  <si>
    <t>P M P R P M M</t>
  </si>
  <si>
    <t>M1 P P M N S R</t>
  </si>
  <si>
    <t>F F R F F F R</t>
  </si>
  <si>
    <t>M M P R P P M</t>
  </si>
  <si>
    <t>M P R P P N S</t>
  </si>
  <si>
    <t>P N S R P P P</t>
  </si>
  <si>
    <t>P P M R P P P</t>
  </si>
  <si>
    <t>P P P N S R P</t>
  </si>
  <si>
    <t>P P P R P M M</t>
  </si>
  <si>
    <t>P P M P M R P</t>
  </si>
  <si>
    <t>M R P P M N S</t>
  </si>
  <si>
    <t>Matricola</t>
  </si>
  <si>
    <t>anno</t>
  </si>
  <si>
    <t>week</t>
  </si>
  <si>
    <t>data_lun</t>
  </si>
  <si>
    <t>lun</t>
  </si>
  <si>
    <t>mar</t>
  </si>
  <si>
    <t>mer</t>
  </si>
  <si>
    <t>gio</t>
  </si>
  <si>
    <t>ven</t>
  </si>
  <si>
    <t>sab</t>
  </si>
  <si>
    <t>dom</t>
  </si>
  <si>
    <t>P</t>
  </si>
  <si>
    <t>N</t>
  </si>
  <si>
    <t>S</t>
  </si>
  <si>
    <t>R</t>
  </si>
  <si>
    <t>F</t>
  </si>
  <si>
    <t>P1</t>
  </si>
  <si>
    <t>M1</t>
  </si>
  <si>
    <t>M</t>
  </si>
  <si>
    <t>104</t>
  </si>
  <si>
    <t>ROI</t>
  </si>
  <si>
    <t>ML</t>
  </si>
  <si>
    <t>RC</t>
  </si>
  <si>
    <t>CLINAME</t>
  </si>
  <si>
    <t>DATETIME</t>
  </si>
  <si>
    <t>DONEBY</t>
  </si>
  <si>
    <t>IPADDRESS</t>
  </si>
  <si>
    <t>APPVER</t>
  </si>
  <si>
    <t>RANDOM</t>
  </si>
  <si>
    <t>CHECKSUM</t>
  </si>
  <si>
    <t>ੜੵ੊ੳ੨੺੺ੰ੭ੰ੬੫</t>
  </si>
  <si>
    <t>ਸ਷ਸ਼ਸਸਸ਼ਹ਷ਸ਽ਧਧਸਸੁ਼਻ੈ੔ਧਯ੎੔ਜ਼ਲਹੁ਷ਰ</t>
  </si>
  <si>
    <t>ਗ਼ਜ਼੣੎ੰ੶੹੮ੰ੶ਧ੷੶ੳੳ੨੪੪ੰ੨</t>
  </si>
  <si>
    <t>੊ਜ਼੕੊ਫ਼੓਻ਹਹਸ</t>
  </si>
  <si>
    <t>਻ਵ਷ਵਹਵ਷</t>
  </si>
  <si>
    <t>਼਺ਸਿ</t>
  </si>
  <si>
    <t xml:space="preserve"> P N S R P P P</t>
  </si>
  <si>
    <t xml:space="preserve"> F F R F F F R</t>
  </si>
  <si>
    <t xml:space="preserve"> P1 M1 R P M M N</t>
  </si>
  <si>
    <t xml:space="preserve"> M M M N S R P</t>
  </si>
  <si>
    <t xml:space="preserve"> R P M M M M R</t>
  </si>
  <si>
    <t xml:space="preserve"> R 104 M P 104 F R</t>
  </si>
  <si>
    <t xml:space="preserve"> S R P P M N S</t>
  </si>
  <si>
    <t xml:space="preserve"> R P P M N S R</t>
  </si>
  <si>
    <t xml:space="preserve"> M M N S R P M</t>
  </si>
  <si>
    <t xml:space="preserve"> F F F F F R F</t>
  </si>
  <si>
    <t xml:space="preserve"> P1 P1 M1 R P1 M1 P1</t>
  </si>
  <si>
    <t xml:space="preserve"> P M M M M R P</t>
  </si>
  <si>
    <t xml:space="preserve"> M N S R P M M</t>
  </si>
  <si>
    <t xml:space="preserve"> R P M P M R P</t>
  </si>
  <si>
    <t xml:space="preserve"> M M P M R P P</t>
  </si>
  <si>
    <t xml:space="preserve"> M1 R 104 M1 M1 M1 M1</t>
  </si>
  <si>
    <t xml:space="preserve"> N S R P M M N</t>
  </si>
  <si>
    <t xml:space="preserve"> R P M M P M R</t>
  </si>
  <si>
    <t xml:space="preserve"> R P M P M M R</t>
  </si>
  <si>
    <t xml:space="preserve"> S R P M M P M</t>
  </si>
  <si>
    <t xml:space="preserve"> M1 R P1 M1 M1 M1 M1</t>
  </si>
  <si>
    <t xml:space="preserve"> M M R P M N S</t>
  </si>
  <si>
    <t xml:space="preserve"> P M M N S R P</t>
  </si>
  <si>
    <t xml:space="preserve"> N S R F F F F</t>
  </si>
  <si>
    <t xml:space="preserve"> R P M M N S R</t>
  </si>
  <si>
    <t xml:space="preserve"> P1 M1 M1 R P1 M1 M1</t>
  </si>
  <si>
    <t xml:space="preserve"> M M M R P M M</t>
  </si>
  <si>
    <t xml:space="preserve"> M M P M R P M</t>
  </si>
  <si>
    <t xml:space="preserve"> P M M R P M M</t>
  </si>
  <si>
    <t xml:space="preserve"> M1 M1 P1 M1 R P1 M1</t>
  </si>
  <si>
    <t xml:space="preserve"> M R P P M N S</t>
  </si>
  <si>
    <t xml:space="preserve"> M1 P P M N S R</t>
  </si>
  <si>
    <t xml:space="preserve"> S R P M M F F</t>
  </si>
  <si>
    <t xml:space="preserve"> P 104 M M M R P</t>
  </si>
  <si>
    <t xml:space="preserve"> R P M F P M R</t>
  </si>
  <si>
    <t xml:space="preserve"> M M M M M R P</t>
  </si>
  <si>
    <t xml:space="preserve"> F F F F R F F</t>
  </si>
  <si>
    <t xml:space="preserve"> F F F M R P1 M1</t>
  </si>
  <si>
    <t xml:space="preserve"> P1 M1 R P1 P1 P1 P1</t>
  </si>
  <si>
    <t xml:space="preserve"> M M R F F N S</t>
  </si>
  <si>
    <t xml:space="preserve"> M P M M R P P</t>
  </si>
  <si>
    <t xml:space="preserve"> P M M R P P M</t>
  </si>
  <si>
    <t xml:space="preserve"> R 104 P P M M R</t>
  </si>
  <si>
    <t xml:space="preserve"> S R P P M M M</t>
  </si>
  <si>
    <t xml:space="preserve"> P P M M M R P</t>
  </si>
  <si>
    <t xml:space="preserve"> R F F F F F R</t>
  </si>
  <si>
    <t xml:space="preserve"> M M P M R M M</t>
  </si>
  <si>
    <t xml:space="preserve"> R P P F P P R</t>
  </si>
  <si>
    <t xml:space="preserve"> P M M M M M R</t>
  </si>
  <si>
    <t xml:space="preserve"> F F R F F F F</t>
  </si>
  <si>
    <t xml:space="preserve"> N S R P M M M</t>
  </si>
  <si>
    <t xml:space="preserve"> F F F R F F F</t>
  </si>
  <si>
    <t xml:space="preserve"> M1 P1 M1 M1 R P1 M1</t>
  </si>
  <si>
    <t xml:space="preserve"> M1 M1 R P1 M1 M1 P1</t>
  </si>
  <si>
    <t xml:space="preserve"> M1 R P1 P1 P1 P1 M1</t>
  </si>
  <si>
    <t xml:space="preserve"> M1 P1 M1 R P1 P1 M1</t>
  </si>
  <si>
    <t xml:space="preserve"> P 104 M M M M R</t>
  </si>
  <si>
    <t xml:space="preserve"> M1 P1 P1 M1 R P1 M1</t>
  </si>
  <si>
    <t xml:space="preserve"> M N S R P M P</t>
  </si>
  <si>
    <t xml:space="preserve"> P1 P P P M R P</t>
  </si>
  <si>
    <t xml:space="preserve"> P M N S R P M</t>
  </si>
  <si>
    <t xml:space="preserve"> F R F F F F F</t>
  </si>
  <si>
    <t xml:space="preserve"> S R P M M M M</t>
  </si>
  <si>
    <t xml:space="preserve"> F M R P M N S</t>
  </si>
  <si>
    <t xml:space="preserve"> P P M P M R P</t>
  </si>
  <si>
    <t xml:space="preserve"> F F F F F R M</t>
  </si>
  <si>
    <t xml:space="preserve"> P1 M1 M1 R P1 P1 M1</t>
  </si>
  <si>
    <t xml:space="preserve"> M M M M R P M</t>
  </si>
  <si>
    <t xml:space="preserve"> M1 M1 R P1 M1 P1 M1</t>
  </si>
  <si>
    <t xml:space="preserve"> R P1 P1 M P M R</t>
  </si>
  <si>
    <t xml:space="preserve"> M1 M1 R P1 P1 M1 P1</t>
  </si>
  <si>
    <t xml:space="preserve"> M1 M1 M1 M1 R P1 P1</t>
  </si>
  <si>
    <t xml:space="preserve"> M N S R M M M</t>
  </si>
  <si>
    <t xml:space="preserve"> M1 M1 M1 R P1 M1 M1</t>
  </si>
  <si>
    <t xml:space="preserve"> M R P M M N S</t>
  </si>
  <si>
    <t xml:space="preserve"> P P M N S R P</t>
  </si>
  <si>
    <t xml:space="preserve"> R P P P M M R</t>
  </si>
  <si>
    <t xml:space="preserve"> R P P M P M R</t>
  </si>
  <si>
    <t xml:space="preserve"> P1 R P1 M1 M1 M1 M1</t>
  </si>
  <si>
    <t xml:space="preserve"> P M P R P M M</t>
  </si>
  <si>
    <t xml:space="preserve"> M P P M R P M</t>
  </si>
  <si>
    <t xml:space="preserve"> P1 P1 R M1 M1 P1 M1</t>
  </si>
  <si>
    <t xml:space="preserve"> P N S R P P M</t>
  </si>
  <si>
    <t xml:space="preserve"> N S R P P M N</t>
  </si>
  <si>
    <t xml:space="preserve"> S R P P M M P</t>
  </si>
  <si>
    <t xml:space="preserve"> M P M P M R P</t>
  </si>
  <si>
    <t xml:space="preserve"> S R P P M M N</t>
  </si>
  <si>
    <t xml:space="preserve"> R M R M M N S</t>
  </si>
  <si>
    <t xml:space="preserve"> M M M M P R M</t>
  </si>
  <si>
    <t xml:space="preserve"> P1 M1 M1 R P1 M1 P1</t>
  </si>
  <si>
    <t xml:space="preserve"> M P P M R P P</t>
  </si>
  <si>
    <t xml:space="preserve"> N S R M M P P</t>
  </si>
  <si>
    <t xml:space="preserve"> M1 M1 R M1 M1 M1 M1</t>
  </si>
  <si>
    <t xml:space="preserve"> M1 M1 P1 R P1 M1 P1</t>
  </si>
  <si>
    <t xml:space="preserve"> R M M P M M R</t>
  </si>
  <si>
    <t xml:space="preserve"> P M M M M R M</t>
  </si>
  <si>
    <t xml:space="preserve"> M P M P R M M</t>
  </si>
  <si>
    <t xml:space="preserve"> R P M P N S R</t>
  </si>
  <si>
    <t xml:space="preserve"> P P P R P M M</t>
  </si>
  <si>
    <t xml:space="preserve"> N S R P M F N</t>
  </si>
  <si>
    <t xml:space="preserve"> M M R M M N S</t>
  </si>
  <si>
    <t xml:space="preserve"> 104 R M1 P1 M1 M1 104</t>
  </si>
  <si>
    <t xml:space="preserve"> S R P M M M P</t>
  </si>
  <si>
    <t xml:space="preserve">       </t>
  </si>
  <si>
    <t xml:space="preserve"> S R M P P M R</t>
  </si>
  <si>
    <t xml:space="preserve"> P M P R P P M</t>
  </si>
  <si>
    <t xml:space="preserve"> F M M M M R M</t>
  </si>
  <si>
    <t xml:space="preserve"> M1 R P1 M1 P1 M1 M1</t>
  </si>
  <si>
    <t xml:space="preserve"> P1 M1 R M1 M1 M1 M1</t>
  </si>
  <si>
    <t xml:space="preserve"> M P M P M R M</t>
  </si>
  <si>
    <t xml:space="preserve"> P R P P M N S</t>
  </si>
  <si>
    <t>27 7/4/2016</t>
  </si>
  <si>
    <t>28 7/11/2016</t>
  </si>
  <si>
    <t>29 7/18/2016</t>
  </si>
  <si>
    <t>30 7/25/2016</t>
  </si>
  <si>
    <t>31 8/1/2016</t>
  </si>
  <si>
    <t>32 8/8/2016</t>
  </si>
  <si>
    <t>33 8/15/2016</t>
  </si>
  <si>
    <t xml:space="preserve"> S R P M P M P</t>
  </si>
  <si>
    <t xml:space="preserve"> P M R M M N S</t>
  </si>
  <si>
    <t xml:space="preserve"> R P M M F F R</t>
  </si>
  <si>
    <t xml:space="preserve"> R M M P M 104 R</t>
  </si>
  <si>
    <t xml:space="preserve"> M P M N S R P</t>
  </si>
  <si>
    <t xml:space="preserve"> M1 R F F F M1 N</t>
  </si>
  <si>
    <t xml:space="preserve"> M1 R M1 M1 P1 M1 M1</t>
  </si>
  <si>
    <t xml:space="preserve"> M1 P1 M1 M1 R P1 F</t>
  </si>
  <si>
    <t xml:space="preserve"> M M R M M M M</t>
  </si>
  <si>
    <t xml:space="preserve"> P M P R M P M</t>
  </si>
  <si>
    <t xml:space="preserve"> P1 M1 P1 R P1 M1 M1</t>
  </si>
  <si>
    <t>34 8/22/2016</t>
  </si>
  <si>
    <t xml:space="preserve"> R P M P P M M</t>
  </si>
  <si>
    <t xml:space="preserve"> P M P M R M M</t>
  </si>
  <si>
    <t xml:space="preserve"> P M N S R P P</t>
  </si>
  <si>
    <t xml:space="preserve"> M M M P M R M</t>
  </si>
  <si>
    <t xml:space="preserve"> M P P M R F P</t>
  </si>
  <si>
    <t xml:space="preserve"> P M P R F F F</t>
  </si>
  <si>
    <t xml:space="preserve"> M P M M M R M</t>
  </si>
  <si>
    <t xml:space="preserve"> S R P M P P R</t>
  </si>
  <si>
    <t xml:space="preserve"> R M M M P P R</t>
  </si>
  <si>
    <t xml:space="preserve"> R P M P P M R</t>
  </si>
  <si>
    <t>35 8/29/2016</t>
  </si>
  <si>
    <t xml:space="preserve"> R M M N S R P</t>
  </si>
  <si>
    <t xml:space="preserve"> P1 M1 M1 M1 R P1 P1</t>
  </si>
  <si>
    <t xml:space="preserve"> N S R M M N S</t>
  </si>
  <si>
    <t xml:space="preserve"> F M R P M M N</t>
  </si>
  <si>
    <t xml:space="preserve"> M1 M1 M1 M1 R M1 M1</t>
  </si>
  <si>
    <t xml:space="preserve"> P M M M P R M</t>
  </si>
  <si>
    <t xml:space="preserve"> P P P N S R P</t>
  </si>
  <si>
    <t>36 9/5/2016</t>
  </si>
  <si>
    <t xml:space="preserve"> M M M R P M P</t>
  </si>
  <si>
    <t xml:space="preserve"> M M N S R P ROI</t>
  </si>
  <si>
    <t xml:space="preserve"> M M P M R F M</t>
  </si>
  <si>
    <t xml:space="preserve"> 104 M M M R M M</t>
  </si>
  <si>
    <t xml:space="preserve"> P M R P P N S</t>
  </si>
  <si>
    <t xml:space="preserve"> R R P P M M M</t>
  </si>
  <si>
    <t xml:space="preserve"> R P M P M P P</t>
  </si>
  <si>
    <t xml:space="preserve"> P M R P M M M</t>
  </si>
  <si>
    <t xml:space="preserve"> S R P M P M M</t>
  </si>
  <si>
    <t xml:space="preserve"> M R P M M P M</t>
  </si>
  <si>
    <t xml:space="preserve"> M M M R M M M</t>
  </si>
  <si>
    <t xml:space="preserve"> P P M M R P M</t>
  </si>
  <si>
    <t xml:space="preserve"> M M M R P P M</t>
  </si>
  <si>
    <t xml:space="preserve"> P M F F F R F</t>
  </si>
  <si>
    <t xml:space="preserve"> ML R P M M N S</t>
  </si>
  <si>
    <t xml:space="preserve"> M R M P M M R</t>
  </si>
  <si>
    <t xml:space="preserve"> M P M M M R P</t>
  </si>
  <si>
    <t xml:space="preserve"> S R P M N S R</t>
  </si>
  <si>
    <t xml:space="preserve"> P P M R P P P</t>
  </si>
  <si>
    <t>37 9/12/2016</t>
  </si>
  <si>
    <t xml:space="preserve"> R P P P P M R</t>
  </si>
  <si>
    <t xml:space="preserve"> M R P M M M M</t>
  </si>
  <si>
    <t xml:space="preserve"> S R P M M N S</t>
  </si>
  <si>
    <t xml:space="preserve"> M R P P M R P</t>
  </si>
  <si>
    <t xml:space="preserve"> M M F R F F F</t>
  </si>
  <si>
    <t xml:space="preserve"> M N S R M M P</t>
  </si>
  <si>
    <t xml:space="preserve"> M M R P M M M</t>
  </si>
  <si>
    <t xml:space="preserve"> P M M M R P M</t>
  </si>
  <si>
    <t xml:space="preserve"> F F P P R P P</t>
  </si>
  <si>
    <t xml:space="preserve"> P F M M M R M</t>
  </si>
  <si>
    <t xml:space="preserve"> P M P M M R P</t>
  </si>
  <si>
    <t>38 9/19/2016</t>
  </si>
  <si>
    <t xml:space="preserve"> P RC R M M P M</t>
  </si>
  <si>
    <t xml:space="preserve"> F M M N S R P</t>
  </si>
  <si>
    <t xml:space="preserve"> P P P P P R P</t>
  </si>
  <si>
    <t xml:space="preserve"> M R M M M M M</t>
  </si>
  <si>
    <t xml:space="preserve"> M R P M RC M M</t>
  </si>
  <si>
    <t xml:space="preserve"> P M M P M R P</t>
  </si>
  <si>
    <t xml:space="preserve"> M M P M R F F</t>
  </si>
  <si>
    <t xml:space="preserve"> M P M R P M M</t>
  </si>
  <si>
    <t xml:space="preserve"> M M N S R P P</t>
  </si>
  <si>
    <t xml:space="preserve"> M P R P P N S</t>
  </si>
  <si>
    <t>39 9/26/2016</t>
  </si>
  <si>
    <t xml:space="preserve"> R 104 M 104 M M R</t>
  </si>
  <si>
    <t xml:space="preserve"> M R M M M P M</t>
  </si>
  <si>
    <t xml:space="preserve"> P P RC R P P P</t>
  </si>
  <si>
    <t xml:space="preserve"> P P M P M R RC</t>
  </si>
  <si>
    <t xml:space="preserve"> N S R P M RC N</t>
  </si>
  <si>
    <t xml:space="preserve"> F F F R RC M M</t>
  </si>
  <si>
    <t xml:space="preserve"> RC R 104 104 P M M</t>
  </si>
  <si>
    <t xml:space="preserve"> R M M M N S R</t>
  </si>
  <si>
    <t xml:space="preserve"> R M M M M M R</t>
  </si>
  <si>
    <t xml:space="preserve"> M R RC M M P M</t>
  </si>
  <si>
    <t xml:space="preserve"> P M R P RC N S</t>
  </si>
  <si>
    <t xml:space="preserve"> M M R RC M P M</t>
  </si>
  <si>
    <t xml:space="preserve"> M M M R RC P M</t>
  </si>
  <si>
    <t xml:space="preserve"> M P M R P M P</t>
  </si>
  <si>
    <t>40 10/3/2016</t>
  </si>
  <si>
    <t xml:space="preserve"> P M P R P M P</t>
  </si>
  <si>
    <t xml:space="preserve"> P P R M M P M</t>
  </si>
  <si>
    <t xml:space="preserve"> R M M P P M R</t>
  </si>
  <si>
    <t xml:space="preserve"> M R P M P M M</t>
  </si>
  <si>
    <t>41 10/10/2016</t>
  </si>
  <si>
    <t xml:space="preserve"> M P P M R M P</t>
  </si>
  <si>
    <t>42 10/17/2016</t>
  </si>
  <si>
    <t xml:space="preserve"> P M P R M M M</t>
  </si>
  <si>
    <t xml:space="preserve"> M P M M R M P</t>
  </si>
  <si>
    <t xml:space="preserve"> M M P R P P M</t>
  </si>
  <si>
    <t>43 10/24/2016</t>
  </si>
  <si>
    <t xml:space="preserve"> P P P M R P P</t>
  </si>
  <si>
    <t xml:space="preserve"> M M M M M R M</t>
  </si>
  <si>
    <t>44 10/31/2016</t>
  </si>
  <si>
    <t xml:space="preserve"> M R P P P M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</si>
</sst>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hh]:mm"/>
    <numFmt numFmtId="165" formatCode="[h]:mm"/>
  </numFmts>
  <fonts count="3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999F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64" fontId="0" fillId="0" borderId="0" xfId="0" applyNumberFormat="1"/>
    <xf numFmtId="165" fontId="0" fillId="0" borderId="0" xfId="0" applyNumberFormat="1"/>
    <xf numFmtId="165" fontId="1" fillId="0" borderId="0" xfId="0" applyNumberFormat="1" applyFont="1"/>
    <xf numFmtId="0" fontId="1" fillId="0" borderId="0" xfId="0" applyFont="1"/>
    <xf numFmtId="14" fontId="0" fillId="0" borderId="0" xfId="0" applyNumberFormat="1"/>
    <xf numFmtId="49" fontId="0" fillId="0" borderId="0" xfId="0" applyNumberFormat="1"/>
    <xf numFmtId="14" fontId="2" fillId="0" borderId="0" xfId="0" applyNumberFormat="1" applyFont="1"/>
    <xf numFmtId="46" fontId="2" fillId="0" borderId="0" xfId="0" applyNumberFormat="1" applyFont="1"/>
    <xf numFmtId="46" fontId="0" fillId="0" borderId="0" xfId="0" applyNumberFormat="1"/>
    <xf numFmtId="20" fontId="0" fillId="0" borderId="0" xfId="0" applyNumberFormat="1"/>
    <xf numFmtId="165" fontId="0" fillId="2" borderId="0" xfId="0" applyNumberFormat="1" applyFill="1"/>
    <xf numFmtId="165" fontId="1" fillId="3" borderId="0" xfId="0" applyNumberFormat="1" applyFont="1" applyFill="1"/>
  </cellXfs>
  <cellStyles count="1">
    <cellStyle name="Normal" xfId="0" builtinId="0"/>
  </cellStyles>
  <dxfs count="2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port" connectionId="1" autoFormatId="16" applyNumberFormats="0" applyBorderFormats="0" applyFontFormats="0" applyPatternFormats="0" applyAlignmentFormats="0" applyWidthHeightFormats="0">
  <queryTableRefresh nextId="14">
    <queryTableFields count="13">
      <queryTableField id="1" name="Matricola" tableColumnId="1"/>
      <queryTableField id="2" name="Cognome" tableColumnId="2"/>
      <queryTableField id="3" name="Nome" tableColumnId="3"/>
      <queryTableField id="4" name="anno" tableColumnId="4"/>
      <queryTableField id="5" name="week" tableColumnId="5"/>
      <queryTableField id="6" name="data_lun" tableColumnId="6"/>
      <queryTableField id="7" name="lun" tableColumnId="7"/>
      <queryTableField id="8" name="mar" tableColumnId="8"/>
      <queryTableField id="9" name="mer" tableColumnId="9"/>
      <queryTableField id="10" name="gio" tableColumnId="10"/>
      <queryTableField id="11" name="ven" tableColumnId="11"/>
      <queryTableField id="12" name="sab" tableColumnId="12"/>
      <queryTableField id="13" name="dom" tableColumnId="13"/>
    </queryTableFields>
  </queryTableRefresh>
</queryTable>
</file>

<file path=xl/queryTables/queryTable2.xml><?xml version="1.0" encoding="utf-8"?>
<queryTable xmlns="http://schemas.openxmlformats.org/spreadsheetml/2006/main" name="report_1" connectionId="2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3.xml><?xml version="1.0" encoding="utf-8"?>
<queryTable xmlns="http://schemas.openxmlformats.org/spreadsheetml/2006/main" name="report_2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4.xml><?xml version="1.0" encoding="utf-8"?>
<queryTable xmlns="http://schemas.openxmlformats.org/spreadsheetml/2006/main" name="report_3" connectionId="12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5.xml><?xml version="1.0" encoding="utf-8"?>
<queryTable xmlns="http://schemas.openxmlformats.org/spreadsheetml/2006/main" name="report_4" connectionId="13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6.xml><?xml version="1.0" encoding="utf-8"?>
<queryTable xmlns="http://schemas.openxmlformats.org/spreadsheetml/2006/main" name="report_5" connectionId="14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7.xml><?xml version="1.0" encoding="utf-8"?>
<queryTable xmlns="http://schemas.openxmlformats.org/spreadsheetml/2006/main" name="report_6" connectionId="15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8.xml><?xml version="1.0" encoding="utf-8"?>
<queryTable xmlns="http://schemas.openxmlformats.org/spreadsheetml/2006/main" name="report_7" connectionId="16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9.xml><?xml version="1.0" encoding="utf-8"?>
<queryTable xmlns="http://schemas.openxmlformats.org/spreadsheetml/2006/main" name="report_8" connectionId="17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0.xml><?xml version="1.0" encoding="utf-8"?>
<queryTable xmlns="http://schemas.openxmlformats.org/spreadsheetml/2006/main" name="report_9" connectionId="18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1.xml><?xml version="1.0" encoding="utf-8"?>
<queryTable xmlns="http://schemas.openxmlformats.org/spreadsheetml/2006/main" name="report_10" connectionId="3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2.xml><?xml version="1.0" encoding="utf-8"?>
<queryTable xmlns="http://schemas.openxmlformats.org/spreadsheetml/2006/main" name="report_11" connectionId="4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3.xml><?xml version="1.0" encoding="utf-8"?>
<queryTable xmlns="http://schemas.openxmlformats.org/spreadsheetml/2006/main" name="report_12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4.xml><?xml version="1.0" encoding="utf-8"?>
<queryTable xmlns="http://schemas.openxmlformats.org/spreadsheetml/2006/main" name="report_13" connectionId="6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5.xml><?xml version="1.0" encoding="utf-8"?>
<queryTable xmlns="http://schemas.openxmlformats.org/spreadsheetml/2006/main" name="report_14" connectionId="7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6.xml><?xml version="1.0" encoding="utf-8"?>
<queryTable xmlns="http://schemas.openxmlformats.org/spreadsheetml/2006/main" name="report_15" connectionId="8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7.xml><?xml version="1.0" encoding="utf-8"?>
<queryTable xmlns="http://schemas.openxmlformats.org/spreadsheetml/2006/main" name="report_16" connectionId="9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queryTables/queryTable18.xml><?xml version="1.0" encoding="utf-8"?>
<queryTable xmlns="http://schemas.openxmlformats.org/spreadsheetml/2006/main" name="report_17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week" tableColumnId="1"/>
      <queryTableField id="2" name="data_lun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table1.xml><?xml version="1.0" encoding="utf-8"?>
<table xmlns="http://schemas.openxmlformats.org/spreadsheetml/2006/main" id="1" name="Table_report" displayName="Table_report" ref="A1:M33" tableType="queryTable" totalsRowShown="0">
  <autoFilter ref="A1:M33"/>
  <tableColumns count="13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anno" queryTableFieldId="4"/>
    <tableColumn id="5" uniqueName="5" name="week" queryTableFieldId="5"/>
    <tableColumn id="6" uniqueName="6" name="data_lun" queryTableFieldId="6" dataDxfId="23"/>
    <tableColumn id="7" uniqueName="7" name="lun" queryTableFieldId="7"/>
    <tableColumn id="8" uniqueName="8" name="mar" queryTableFieldId="8"/>
    <tableColumn id="9" uniqueName="9" name="mer" queryTableFieldId="9"/>
    <tableColumn id="10" uniqueName="10" name="gio" queryTableFieldId="10"/>
    <tableColumn id="11" uniqueName="11" name="ven" queryTableFieldId="11"/>
    <tableColumn id="12" uniqueName="12" name="sab" queryTableFieldId="12"/>
    <tableColumn id="13" uniqueName="13" name="dom" queryTableFieldId="1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report_1" displayName="Table_report_1" ref="N1:V33" tableType="queryTable" totalsRowShown="0">
  <autoFilter ref="N1:V33"/>
  <tableColumns count="9">
    <tableColumn id="1" uniqueName="1" name="week" queryTableFieldId="1"/>
    <tableColumn id="2" uniqueName="2" name="data_lun" queryTableFieldId="2" dataDxfId="2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report_2" displayName="Table_report_2" ref="W1:AE33" tableType="queryTable" totalsRowShown="0">
  <autoFilter ref="W1:AE33"/>
  <tableColumns count="9">
    <tableColumn id="1" uniqueName="1" name="week" queryTableFieldId="1"/>
    <tableColumn id="2" uniqueName="2" name="data_lun" queryTableFieldId="2" dataDxfId="21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_report_3" displayName="Table_report_3" ref="AF1:AN33" tableType="queryTable" totalsRowShown="0">
  <autoFilter ref="AF1:AN33"/>
  <tableColumns count="9">
    <tableColumn id="1" uniqueName="1" name="week" queryTableFieldId="1"/>
    <tableColumn id="2" uniqueName="2" name="data_lun" queryTableFieldId="2" dataDxfId="20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le_report_4" displayName="Table_report_4" ref="AO1:AW33" tableType="queryTable" totalsRowShown="0">
  <autoFilter ref="AO1:AW33"/>
  <tableColumns count="9">
    <tableColumn id="1" uniqueName="1" name="week" queryTableFieldId="1"/>
    <tableColumn id="2" uniqueName="2" name="data_lun" queryTableFieldId="2" dataDxfId="19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le_report_5" displayName="Table_report_5" ref="AX1:BF33" tableType="queryTable" totalsRowShown="0">
  <autoFilter ref="AX1:BF33"/>
  <tableColumns count="9">
    <tableColumn id="1" uniqueName="1" name="week" queryTableFieldId="1"/>
    <tableColumn id="2" uniqueName="2" name="data_lun" queryTableFieldId="2" dataDxfId="18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le_report_6" displayName="Table_report_6" ref="BG1:BO33" tableType="queryTable" totalsRowShown="0">
  <autoFilter ref="BG1:BO33"/>
  <tableColumns count="9">
    <tableColumn id="1" uniqueName="1" name="week" queryTableFieldId="1"/>
    <tableColumn id="2" uniqueName="2" name="data_lun" queryTableFieldId="2" dataDxfId="17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le_report_7" displayName="Table_report_7" ref="BP1:BX33" tableType="queryTable" totalsRowShown="0">
  <autoFilter ref="BP1:BX33"/>
  <tableColumns count="9">
    <tableColumn id="1" uniqueName="1" name="week" queryTableFieldId="1"/>
    <tableColumn id="2" uniqueName="2" name="data_lun" queryTableFieldId="2" dataDxfId="16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9" name="Table_report_8" displayName="Table_report_8" ref="BY1:CG33" tableType="queryTable" totalsRowShown="0">
  <autoFilter ref="BY1:CG33"/>
  <tableColumns count="9">
    <tableColumn id="1" uniqueName="1" name="week" queryTableFieldId="1"/>
    <tableColumn id="2" uniqueName="2" name="data_lun" queryTableFieldId="2" dataDxfId="15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2" name="Table_report_9" displayName="Table_report_9" ref="CH1:CP33" tableType="queryTable" totalsRowShown="0">
  <autoFilter ref="CH1:CP33"/>
  <tableColumns count="9">
    <tableColumn id="1" uniqueName="1" name="week" queryTableFieldId="1"/>
    <tableColumn id="2" uniqueName="2" name="data_lun" queryTableFieldId="2" dataDxfId="14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3" name="Table_report_10" displayName="Table_report_10" ref="CQ1:CY33" tableType="queryTable" totalsRowShown="0">
  <autoFilter ref="CQ1:CY33"/>
  <tableColumns count="9">
    <tableColumn id="1" uniqueName="1" name="week" queryTableFieldId="1"/>
    <tableColumn id="2" uniqueName="2" name="data_lun" queryTableFieldId="2" dataDxfId="13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4" name="Table_report_11" displayName="Table_report_11" ref="CZ1:DH33" tableType="queryTable" totalsRowShown="0">
  <autoFilter ref="CZ1:DH33"/>
  <tableColumns count="9">
    <tableColumn id="1" uniqueName="1" name="week" queryTableFieldId="1"/>
    <tableColumn id="2" uniqueName="2" name="data_lun" queryTableFieldId="2" dataDxfId="1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5" name="Table_report_12" displayName="Table_report_12" ref="DI1:DQ33" tableType="queryTable" totalsRowShown="0">
  <autoFilter ref="DI1:DQ33"/>
  <tableColumns count="9">
    <tableColumn id="1" uniqueName="1" name="week" queryTableFieldId="1"/>
    <tableColumn id="2" uniqueName="2" name="data_lun" queryTableFieldId="2" dataDxfId="11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7" name="Table_report_13" displayName="Table_report_13" ref="DR1:DZ33" tableType="queryTable" totalsRowShown="0">
  <autoFilter ref="DR1:DZ33"/>
  <tableColumns count="9">
    <tableColumn id="1" uniqueName="1" name="week" queryTableFieldId="1"/>
    <tableColumn id="2" uniqueName="2" name="data_lun" queryTableFieldId="2" dataDxfId="10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8" name="Table_report_14" displayName="Table_report_14" ref="EA1:EI33" tableType="queryTable" totalsRowShown="0">
  <autoFilter ref="EA1:EI33"/>
  <tableColumns count="9">
    <tableColumn id="1" uniqueName="1" name="week" queryTableFieldId="1"/>
    <tableColumn id="2" uniqueName="2" name="data_lun" queryTableFieldId="2" dataDxfId="9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9" name="Table_report_15" displayName="Table_report_15" ref="EJ1:ER33" tableType="queryTable" totalsRowShown="0">
  <autoFilter ref="EJ1:ER33"/>
  <tableColumns count="9">
    <tableColumn id="1" uniqueName="1" name="week" queryTableFieldId="1"/>
    <tableColumn id="2" uniqueName="2" name="data_lun" queryTableFieldId="2" dataDxfId="8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20" name="Table_report_16" displayName="Table_report_16" ref="ES1:FA33" tableType="queryTable" totalsRowShown="0">
  <autoFilter ref="ES1:FA33"/>
  <tableColumns count="9">
    <tableColumn id="1" uniqueName="1" name="week" queryTableFieldId="1"/>
    <tableColumn id="2" uniqueName="2" name="data_lun" queryTableFieldId="2" dataDxfId="7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21" name="Table_report_17" displayName="Table_report_17" ref="FB1:FJ33" tableType="queryTable" totalsRowShown="0">
  <autoFilter ref="FB1:FJ33"/>
  <tableColumns count="9">
    <tableColumn id="1" uniqueName="1" name="week" queryTableFieldId="1"/>
    <tableColumn id="2" uniqueName="2" name="data_lun" queryTableFieldId="2" dataDxfId="6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33"/>
  <sheetViews>
    <sheetView showRuler="0" zoomScale="80" zoomScaleNormal="80" workbookViewId="0">
      <selection activeCell="D16" sqref="D16"/>
    </sheetView>
  </sheetViews>
  <sheetFormatPr defaultColWidth="10" defaultRowHeight="15"/>
  <sheetData>
    <row r="1" spans="1:3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2">
        <v>6.333333333333333</v>
      </c>
      <c r="I1" s="2"/>
      <c r="J1" t="s">
        <v>7</v>
      </c>
      <c r="K1" t="s">
        <v>8</v>
      </c>
      <c r="L1" t="s">
        <v>9</v>
      </c>
      <c r="M1" t="s">
        <v>10</v>
      </c>
      <c r="N1" s="2">
        <v>6.333333333333333</v>
      </c>
      <c r="O1" s="2"/>
      <c r="P1" t="s">
        <v>11</v>
      </c>
      <c r="Q1" t="s">
        <v>12</v>
      </c>
      <c r="R1" t="s">
        <v>13</v>
      </c>
      <c r="S1" t="s">
        <v>14</v>
      </c>
      <c r="V1" t="s">
        <v>15</v>
      </c>
      <c r="W1" t="s">
        <v>16</v>
      </c>
      <c r="X1" t="s">
        <v>17</v>
      </c>
      <c r="Y1" t="s">
        <v>18</v>
      </c>
      <c r="AB1" t="s">
        <v>19</v>
      </c>
      <c r="AC1" t="s">
        <v>20</v>
      </c>
    </row>
    <row r="2" spans="1:31">
      <c r="A2" t="s">
        <v>21</v>
      </c>
      <c r="B2" s="4" t="s">
        <v>22</v>
      </c>
      <c r="C2" t="s">
        <v>23</v>
      </c>
      <c r="D2" s="1" t="s">
        <v>24</v>
      </c>
      <c r="E2" s="1" t="s">
        <v>24</v>
      </c>
      <c r="F2" s="1" t="s">
        <v>25</v>
      </c>
      <c r="G2" s="1" t="s">
        <v>26</v>
      </c>
      <c r="H2" s="2">
        <f>D2+E2+F2+G2</f>
        <v>6.208333333333333</v>
      </c>
      <c r="I2" s="3">
        <f>IF( ($H$1-H2) &lt; 0,H2-$H$1,- ($H$1-H2))</f>
        <v>-0.125</v>
      </c>
      <c r="J2" s="1" t="s">
        <v>24</v>
      </c>
      <c r="K2" s="1" t="s">
        <v>26</v>
      </c>
      <c r="L2" s="1" t="s">
        <v>27</v>
      </c>
      <c r="M2" s="1" t="s">
        <v>28</v>
      </c>
      <c r="N2" s="2">
        <f>J2+K2+L2+M2</f>
        <v>6.4999999999999991</v>
      </c>
      <c r="O2" s="3">
        <f>IF( ($H$1-N2) &lt; 0,N2-$H$1,- ($H$1-N2))</f>
        <v>0.16666666666666607</v>
      </c>
      <c r="P2" s="1" t="s">
        <v>28</v>
      </c>
      <c r="Q2" s="1" t="s">
        <v>24</v>
      </c>
      <c r="R2" s="1" t="s">
        <v>26</v>
      </c>
      <c r="S2" s="1" t="s">
        <v>24</v>
      </c>
      <c r="T2" s="2">
        <f>P2+Q2+R2+S2</f>
        <v>6.3749999999999991</v>
      </c>
      <c r="U2" s="3">
        <f>IF( ($H$1-T2) &lt; 0,T2-$H$1,- ($H$1-T2))</f>
        <v>4.1666666666666075E-2</v>
      </c>
      <c r="V2" s="1" t="s">
        <v>24</v>
      </c>
      <c r="W2" s="1" t="s">
        <v>25</v>
      </c>
      <c r="X2" s="1" t="s">
        <v>26</v>
      </c>
      <c r="Y2" s="1" t="s">
        <v>24</v>
      </c>
      <c r="Z2" s="2">
        <f>V2+W2+X2+Y2</f>
        <v>6.208333333333333</v>
      </c>
      <c r="AA2" s="3">
        <f>IF( ($H$1-Z2) &lt; 0,Z2-$H$1,- ($H$1-Z2))</f>
        <v>-0.125</v>
      </c>
      <c r="AB2" s="1" t="s">
        <v>26</v>
      </c>
      <c r="AC2" s="1" t="s">
        <v>27</v>
      </c>
      <c r="AE2" s="3">
        <f>I2+O2+U2+AA2</f>
        <v>-4.1666666666667851E-2</v>
      </c>
    </row>
    <row r="3" spans="1:31">
      <c r="A3" t="s">
        <v>29</v>
      </c>
      <c r="B3" s="4" t="s">
        <v>30</v>
      </c>
      <c r="C3" t="s">
        <v>31</v>
      </c>
      <c r="D3" s="1" t="s">
        <v>28</v>
      </c>
      <c r="E3" s="1" t="s">
        <v>32</v>
      </c>
      <c r="F3" s="1" t="s">
        <v>26</v>
      </c>
      <c r="G3" s="1" t="s">
        <v>24</v>
      </c>
      <c r="H3" s="2">
        <f t="shared" ref="H3:H33" si="0">D3+E3+F3+G3</f>
        <v>6.3055555555555554</v>
      </c>
      <c r="I3" s="3">
        <f t="shared" ref="I3:I33" si="1">IF( ($H$1-H3) &lt; 0,H3-$H$1,- ($H$1-H3))</f>
        <v>-2.7777777777777679E-2</v>
      </c>
      <c r="J3" s="1" t="s">
        <v>26</v>
      </c>
      <c r="K3" s="1" t="s">
        <v>27</v>
      </c>
      <c r="L3" s="1" t="s">
        <v>28</v>
      </c>
      <c r="M3" s="1" t="s">
        <v>26</v>
      </c>
      <c r="N3" s="2">
        <f t="shared" ref="N3:N33" si="2">J3+K3+L3+M3</f>
        <v>6.6666666666666661</v>
      </c>
      <c r="O3" s="3">
        <f t="shared" ref="O3:O33" si="3">IF( ($H$1-N3) &lt; 0,N3-$H$1,- ($H$1-N3))</f>
        <v>0.33333333333333304</v>
      </c>
      <c r="P3" s="1" t="s">
        <v>25</v>
      </c>
      <c r="Q3" s="1" t="s">
        <v>26</v>
      </c>
      <c r="R3" s="1" t="s">
        <v>24</v>
      </c>
      <c r="S3" s="1" t="s">
        <v>24</v>
      </c>
      <c r="T3" s="2">
        <f t="shared" ref="T3:T33" si="4">P3+Q3+R3+S3</f>
        <v>6.208333333333333</v>
      </c>
      <c r="U3" s="3">
        <f t="shared" ref="U3:U33" si="5">IF( ($H$1-T3) &lt; 0,T3-$H$1,- ($H$1-T3))</f>
        <v>-0.125</v>
      </c>
      <c r="V3" s="1" t="s">
        <v>25</v>
      </c>
      <c r="W3" s="1" t="s">
        <v>26</v>
      </c>
      <c r="X3" s="1" t="s">
        <v>24</v>
      </c>
      <c r="Y3" s="1" t="s">
        <v>26</v>
      </c>
      <c r="Z3" s="2">
        <f t="shared" ref="Z3:Z33" si="6">V3+W3+X3+Y3</f>
        <v>6.375</v>
      </c>
      <c r="AA3" s="3">
        <f t="shared" ref="AA3:AA33" si="7">IF( ($H$1-Z3) &lt; 0,Z3-$H$1,- ($H$1-Z3))</f>
        <v>4.1666666666666963E-2</v>
      </c>
      <c r="AB3" s="1" t="s">
        <v>27</v>
      </c>
      <c r="AC3" s="1" t="s">
        <v>28</v>
      </c>
      <c r="AE3" s="3">
        <f t="shared" ref="AE3:AE33" si="8">I3+O3+U3+AA3</f>
        <v>0.22222222222222232</v>
      </c>
    </row>
    <row r="4" spans="1:31">
      <c r="A4" t="s">
        <v>33</v>
      </c>
      <c r="B4" s="4" t="s">
        <v>34</v>
      </c>
      <c r="C4" t="s">
        <v>35</v>
      </c>
      <c r="D4" s="1" t="s">
        <v>36</v>
      </c>
      <c r="E4" s="1" t="s">
        <v>28</v>
      </c>
      <c r="F4" s="1" t="s">
        <v>28</v>
      </c>
      <c r="G4" s="1" t="s">
        <v>26</v>
      </c>
      <c r="H4" s="2">
        <f t="shared" si="0"/>
        <v>6.4027777777777777</v>
      </c>
      <c r="I4" s="3">
        <f t="shared" si="1"/>
        <v>6.9444444444444642E-2</v>
      </c>
      <c r="J4" s="1" t="s">
        <v>26</v>
      </c>
      <c r="K4" s="1" t="s">
        <v>24</v>
      </c>
      <c r="L4" s="1" t="s">
        <v>24</v>
      </c>
      <c r="M4" s="1" t="s">
        <v>25</v>
      </c>
      <c r="N4" s="2">
        <f t="shared" si="2"/>
        <v>6.208333333333333</v>
      </c>
      <c r="O4" s="3">
        <f t="shared" si="3"/>
        <v>-0.125</v>
      </c>
      <c r="P4" s="1" t="s">
        <v>26</v>
      </c>
      <c r="Q4" s="1" t="s">
        <v>25</v>
      </c>
      <c r="R4" s="1" t="s">
        <v>26</v>
      </c>
      <c r="S4" s="1" t="s">
        <v>27</v>
      </c>
      <c r="T4" s="2">
        <f t="shared" si="4"/>
        <v>6.5</v>
      </c>
      <c r="U4" s="3">
        <f t="shared" si="5"/>
        <v>0.16666666666666696</v>
      </c>
      <c r="V4" s="1" t="s">
        <v>28</v>
      </c>
      <c r="W4" s="1" t="s">
        <v>28</v>
      </c>
      <c r="X4" s="1" t="s">
        <v>24</v>
      </c>
      <c r="Y4" s="1" t="s">
        <v>26</v>
      </c>
      <c r="Z4" s="2">
        <f t="shared" si="6"/>
        <v>6.25</v>
      </c>
      <c r="AA4" s="3">
        <f t="shared" si="7"/>
        <v>-8.3333333333333037E-2</v>
      </c>
      <c r="AB4" s="1" t="s">
        <v>24</v>
      </c>
      <c r="AC4" s="1" t="s">
        <v>24</v>
      </c>
      <c r="AE4" s="3">
        <f t="shared" si="8"/>
        <v>2.7777777777778567E-2</v>
      </c>
    </row>
    <row r="5" spans="1:31">
      <c r="A5" t="s">
        <v>37</v>
      </c>
      <c r="B5" s="4" t="s">
        <v>38</v>
      </c>
      <c r="C5" t="s">
        <v>39</v>
      </c>
      <c r="D5" s="1" t="s">
        <v>24</v>
      </c>
      <c r="E5" s="1" t="s">
        <v>24</v>
      </c>
      <c r="F5" s="1" t="s">
        <v>24</v>
      </c>
      <c r="G5" s="1" t="s">
        <v>26</v>
      </c>
      <c r="H5" s="2">
        <f t="shared" si="0"/>
        <v>6.5</v>
      </c>
      <c r="I5" s="3">
        <f t="shared" si="1"/>
        <v>0.16666666666666696</v>
      </c>
      <c r="J5" s="1" t="s">
        <v>24</v>
      </c>
      <c r="K5" s="1" t="s">
        <v>24</v>
      </c>
      <c r="L5" s="1" t="s">
        <v>28</v>
      </c>
      <c r="M5" s="1" t="s">
        <v>26</v>
      </c>
      <c r="N5" s="2">
        <f t="shared" si="2"/>
        <v>6.375</v>
      </c>
      <c r="O5" s="3">
        <f t="shared" si="3"/>
        <v>4.1666666666666963E-2</v>
      </c>
      <c r="P5" s="1" t="s">
        <v>24</v>
      </c>
      <c r="Q5" s="1" t="s">
        <v>26</v>
      </c>
      <c r="R5" s="1" t="s">
        <v>27</v>
      </c>
      <c r="S5" s="1" t="s">
        <v>28</v>
      </c>
      <c r="T5" s="2">
        <f t="shared" si="4"/>
        <v>6.4999999999999991</v>
      </c>
      <c r="U5" s="3">
        <f t="shared" si="5"/>
        <v>0.16666666666666607</v>
      </c>
      <c r="V5" s="1" t="s">
        <v>28</v>
      </c>
      <c r="W5" s="1" t="s">
        <v>24</v>
      </c>
      <c r="X5" s="1" t="s">
        <v>26</v>
      </c>
      <c r="Y5" s="1" t="s">
        <v>24</v>
      </c>
      <c r="Z5" s="2">
        <f t="shared" si="6"/>
        <v>6.3749999999999991</v>
      </c>
      <c r="AA5" s="3">
        <f t="shared" si="7"/>
        <v>4.1666666666666075E-2</v>
      </c>
      <c r="AB5" s="1" t="s">
        <v>24</v>
      </c>
      <c r="AC5" s="1" t="s">
        <v>25</v>
      </c>
      <c r="AE5" s="3">
        <f t="shared" si="8"/>
        <v>0.41666666666666607</v>
      </c>
    </row>
    <row r="6" spans="1:31">
      <c r="A6" t="s">
        <v>40</v>
      </c>
      <c r="B6" s="4" t="s">
        <v>41</v>
      </c>
      <c r="C6" t="s">
        <v>42</v>
      </c>
      <c r="D6" s="1" t="s">
        <v>28</v>
      </c>
      <c r="E6" s="1" t="s">
        <v>24</v>
      </c>
      <c r="F6" s="1" t="s">
        <v>24</v>
      </c>
      <c r="G6" s="1" t="s">
        <v>24</v>
      </c>
      <c r="H6" s="2">
        <f t="shared" si="0"/>
        <v>6.208333333333333</v>
      </c>
      <c r="I6" s="3">
        <f t="shared" si="1"/>
        <v>-0.125</v>
      </c>
      <c r="J6" s="1" t="s">
        <v>24</v>
      </c>
      <c r="K6" s="1" t="s">
        <v>28</v>
      </c>
      <c r="L6" s="1" t="s">
        <v>26</v>
      </c>
      <c r="M6" s="1" t="s">
        <v>24</v>
      </c>
      <c r="N6" s="2">
        <f t="shared" si="2"/>
        <v>6.3749999999999991</v>
      </c>
      <c r="O6" s="3">
        <f t="shared" si="3"/>
        <v>4.1666666666666075E-2</v>
      </c>
      <c r="P6" s="1" t="s">
        <v>26</v>
      </c>
      <c r="Q6" s="1" t="s">
        <v>27</v>
      </c>
      <c r="R6" s="1" t="s">
        <v>28</v>
      </c>
      <c r="S6" s="1" t="s">
        <v>28</v>
      </c>
      <c r="T6" s="2">
        <f t="shared" si="4"/>
        <v>6.3749999999999991</v>
      </c>
      <c r="U6" s="3">
        <f t="shared" si="5"/>
        <v>4.1666666666666075E-2</v>
      </c>
      <c r="V6" s="1" t="s">
        <v>24</v>
      </c>
      <c r="W6" s="1" t="s">
        <v>26</v>
      </c>
      <c r="X6" s="1" t="s">
        <v>24</v>
      </c>
      <c r="Y6" s="1" t="s">
        <v>24</v>
      </c>
      <c r="Z6" s="2">
        <f t="shared" si="6"/>
        <v>6.4999999999999991</v>
      </c>
      <c r="AA6" s="3">
        <f t="shared" si="7"/>
        <v>0.16666666666666607</v>
      </c>
      <c r="AB6" s="1" t="s">
        <v>25</v>
      </c>
      <c r="AC6" s="1" t="s">
        <v>26</v>
      </c>
      <c r="AE6" s="3">
        <f t="shared" si="8"/>
        <v>0.12499999999999822</v>
      </c>
    </row>
    <row r="7" spans="1:31">
      <c r="A7" t="s">
        <v>43</v>
      </c>
      <c r="B7" s="4" t="s">
        <v>44</v>
      </c>
      <c r="C7" t="s">
        <v>45</v>
      </c>
      <c r="D7" s="1" t="s">
        <v>46</v>
      </c>
      <c r="E7" s="1" t="s">
        <v>28</v>
      </c>
      <c r="F7" s="1" t="s">
        <v>47</v>
      </c>
      <c r="G7" s="1" t="s">
        <v>47</v>
      </c>
      <c r="H7" s="2">
        <f t="shared" si="0"/>
        <v>4.9999999999999991</v>
      </c>
      <c r="I7" s="3">
        <f t="shared" si="1"/>
        <v>-1.3333333333333339</v>
      </c>
      <c r="J7" s="1" t="s">
        <v>47</v>
      </c>
      <c r="K7" s="1" t="s">
        <v>48</v>
      </c>
      <c r="L7" s="1" t="s">
        <v>49</v>
      </c>
      <c r="M7" s="1" t="s">
        <v>26</v>
      </c>
      <c r="N7" s="2">
        <f t="shared" si="2"/>
        <v>5.1388888888888893</v>
      </c>
      <c r="O7" s="3">
        <f t="shared" si="3"/>
        <v>-1.1944444444444438</v>
      </c>
      <c r="P7" s="1" t="s">
        <v>47</v>
      </c>
      <c r="Q7" s="1" t="s">
        <v>28</v>
      </c>
      <c r="R7" s="1" t="s">
        <v>26</v>
      </c>
      <c r="S7" s="1" t="s">
        <v>26</v>
      </c>
      <c r="T7" s="2">
        <f t="shared" si="4"/>
        <v>6.2916666666666661</v>
      </c>
      <c r="U7" s="3">
        <f t="shared" si="5"/>
        <v>-4.1666666666666963E-2</v>
      </c>
      <c r="V7" s="1" t="s">
        <v>46</v>
      </c>
      <c r="W7" s="1" t="s">
        <v>26</v>
      </c>
      <c r="X7" s="1" t="s">
        <v>26</v>
      </c>
      <c r="Y7" s="1" t="s">
        <v>26</v>
      </c>
      <c r="Z7" s="2">
        <f t="shared" si="6"/>
        <v>6.125</v>
      </c>
      <c r="AA7" s="3">
        <f t="shared" si="7"/>
        <v>-0.20833333333333304</v>
      </c>
      <c r="AB7" s="1" t="s">
        <v>26</v>
      </c>
      <c r="AC7" s="1" t="s">
        <v>26</v>
      </c>
      <c r="AE7" s="3">
        <f t="shared" si="8"/>
        <v>-2.7777777777777777</v>
      </c>
    </row>
    <row r="8" spans="1:31">
      <c r="A8" t="s">
        <v>50</v>
      </c>
      <c r="B8" s="4" t="s">
        <v>44</v>
      </c>
      <c r="C8" t="s">
        <v>51</v>
      </c>
      <c r="D8" s="1" t="s">
        <v>25</v>
      </c>
      <c r="E8" s="1" t="s">
        <v>28</v>
      </c>
      <c r="F8" s="1" t="s">
        <v>24</v>
      </c>
      <c r="G8" s="1" t="s">
        <v>26</v>
      </c>
      <c r="H8" s="2">
        <f t="shared" si="0"/>
        <v>6.083333333333333</v>
      </c>
      <c r="I8" s="3">
        <f t="shared" si="1"/>
        <v>-0.25</v>
      </c>
      <c r="J8" s="1" t="s">
        <v>24</v>
      </c>
      <c r="K8" s="1" t="s">
        <v>27</v>
      </c>
      <c r="L8" s="1" t="s">
        <v>28</v>
      </c>
      <c r="M8" s="1" t="s">
        <v>26</v>
      </c>
      <c r="N8" s="2">
        <f t="shared" si="2"/>
        <v>6.5</v>
      </c>
      <c r="O8" s="3">
        <f t="shared" si="3"/>
        <v>0.16666666666666696</v>
      </c>
      <c r="P8" s="1" t="s">
        <v>25</v>
      </c>
      <c r="Q8" s="1" t="s">
        <v>26</v>
      </c>
      <c r="R8" s="1" t="s">
        <v>26</v>
      </c>
      <c r="S8" s="1" t="s">
        <v>28</v>
      </c>
      <c r="T8" s="2">
        <f t="shared" si="4"/>
        <v>6.25</v>
      </c>
      <c r="U8" s="3">
        <f t="shared" si="5"/>
        <v>-8.3333333333333037E-2</v>
      </c>
      <c r="V8" s="1" t="s">
        <v>26</v>
      </c>
      <c r="W8" s="1" t="s">
        <v>28</v>
      </c>
      <c r="X8" s="1" t="s">
        <v>26</v>
      </c>
      <c r="Y8" s="1" t="s">
        <v>26</v>
      </c>
      <c r="Z8" s="2">
        <f t="shared" si="6"/>
        <v>6.708333333333333</v>
      </c>
      <c r="AA8" s="3">
        <f t="shared" si="7"/>
        <v>0.375</v>
      </c>
      <c r="AB8" s="1" t="s">
        <v>26</v>
      </c>
      <c r="AC8" s="1" t="s">
        <v>26</v>
      </c>
      <c r="AE8" s="3">
        <f t="shared" si="8"/>
        <v>0.20833333333333393</v>
      </c>
    </row>
    <row r="9" spans="1:31">
      <c r="A9" t="s">
        <v>52</v>
      </c>
      <c r="B9" s="4" t="s">
        <v>53</v>
      </c>
      <c r="C9" t="s">
        <v>54</v>
      </c>
      <c r="D9" s="1" t="s">
        <v>25</v>
      </c>
      <c r="E9" s="1" t="s">
        <v>26</v>
      </c>
      <c r="F9" s="1" t="s">
        <v>26</v>
      </c>
      <c r="G9" s="1" t="s">
        <v>26</v>
      </c>
      <c r="H9" s="2">
        <f t="shared" si="0"/>
        <v>6.541666666666667</v>
      </c>
      <c r="I9" s="3">
        <f t="shared" si="1"/>
        <v>0.20833333333333393</v>
      </c>
      <c r="J9" s="1" t="s">
        <v>27</v>
      </c>
      <c r="K9" s="1" t="s">
        <v>28</v>
      </c>
      <c r="L9" s="1" t="s">
        <v>25</v>
      </c>
      <c r="M9" s="1" t="s">
        <v>24</v>
      </c>
      <c r="N9" s="2">
        <f t="shared" si="2"/>
        <v>6.0416666666666661</v>
      </c>
      <c r="O9" s="3">
        <f t="shared" si="3"/>
        <v>-0.29166666666666696</v>
      </c>
      <c r="P9" s="1" t="s">
        <v>26</v>
      </c>
      <c r="Q9" s="1" t="s">
        <v>24</v>
      </c>
      <c r="R9" s="1" t="s">
        <v>24</v>
      </c>
      <c r="S9" s="1" t="s">
        <v>25</v>
      </c>
      <c r="T9" s="2">
        <f t="shared" si="4"/>
        <v>6.208333333333333</v>
      </c>
      <c r="U9" s="3">
        <f t="shared" si="5"/>
        <v>-0.125</v>
      </c>
      <c r="V9" s="1" t="s">
        <v>26</v>
      </c>
      <c r="W9" s="1" t="s">
        <v>24</v>
      </c>
      <c r="X9" s="1" t="s">
        <v>26</v>
      </c>
      <c r="Y9" s="1" t="s">
        <v>27</v>
      </c>
      <c r="Z9" s="2">
        <f t="shared" si="6"/>
        <v>6.7916666666666661</v>
      </c>
      <c r="AA9" s="3">
        <f t="shared" si="7"/>
        <v>0.45833333333333304</v>
      </c>
      <c r="AB9" s="1" t="s">
        <v>28</v>
      </c>
      <c r="AC9" s="1" t="s">
        <v>28</v>
      </c>
      <c r="AE9" s="3">
        <f t="shared" si="8"/>
        <v>0.25</v>
      </c>
    </row>
    <row r="10" spans="1:31">
      <c r="A10" t="s">
        <v>55</v>
      </c>
      <c r="B10" s="4" t="s">
        <v>56</v>
      </c>
      <c r="C10" t="s">
        <v>57</v>
      </c>
      <c r="D10" s="1" t="s">
        <v>24</v>
      </c>
      <c r="E10" s="1" t="s">
        <v>26</v>
      </c>
      <c r="F10" s="1" t="s">
        <v>24</v>
      </c>
      <c r="G10" s="1" t="s">
        <v>26</v>
      </c>
      <c r="H10" s="2">
        <f t="shared" si="0"/>
        <v>6.6666666666666661</v>
      </c>
      <c r="I10" s="3">
        <f t="shared" si="1"/>
        <v>0.33333333333333304</v>
      </c>
      <c r="J10" s="1" t="s">
        <v>28</v>
      </c>
      <c r="K10" s="1" t="s">
        <v>24</v>
      </c>
      <c r="L10" s="1" t="s">
        <v>26</v>
      </c>
      <c r="M10" s="1" t="s">
        <v>24</v>
      </c>
      <c r="N10" s="2">
        <f t="shared" si="2"/>
        <v>6.3749999999999991</v>
      </c>
      <c r="O10" s="3">
        <f t="shared" si="3"/>
        <v>4.1666666666666075E-2</v>
      </c>
      <c r="P10" s="1" t="s">
        <v>58</v>
      </c>
      <c r="Q10" s="1" t="s">
        <v>25</v>
      </c>
      <c r="R10" s="1" t="s">
        <v>26</v>
      </c>
      <c r="S10" s="1" t="s">
        <v>24</v>
      </c>
      <c r="T10" s="2">
        <f t="shared" si="4"/>
        <v>6.041666666666667</v>
      </c>
      <c r="U10" s="3">
        <f t="shared" si="5"/>
        <v>-0.29166666666666607</v>
      </c>
      <c r="V10" s="1" t="s">
        <v>26</v>
      </c>
      <c r="W10" s="1" t="s">
        <v>27</v>
      </c>
      <c r="X10" s="1" t="s">
        <v>28</v>
      </c>
      <c r="Y10" s="1" t="s">
        <v>28</v>
      </c>
      <c r="Z10" s="2">
        <f t="shared" si="6"/>
        <v>6.3749999999999991</v>
      </c>
      <c r="AA10" s="3">
        <f t="shared" si="7"/>
        <v>4.1666666666666075E-2</v>
      </c>
      <c r="AB10" s="1" t="s">
        <v>24</v>
      </c>
      <c r="AC10" s="1" t="s">
        <v>26</v>
      </c>
      <c r="AE10" s="3">
        <f t="shared" si="8"/>
        <v>0.12499999999999911</v>
      </c>
    </row>
    <row r="11" spans="1:31">
      <c r="A11" t="s">
        <v>59</v>
      </c>
      <c r="B11" s="4" t="s">
        <v>60</v>
      </c>
      <c r="C11" t="s">
        <v>61</v>
      </c>
      <c r="D11" s="1" t="s">
        <v>26</v>
      </c>
      <c r="E11" s="1" t="s">
        <v>26</v>
      </c>
      <c r="F11" s="1" t="s">
        <v>26</v>
      </c>
      <c r="G11" s="1" t="s">
        <v>27</v>
      </c>
      <c r="H11" s="2">
        <f t="shared" si="0"/>
        <v>6.958333333333333</v>
      </c>
      <c r="I11" s="3">
        <f t="shared" si="1"/>
        <v>0.625</v>
      </c>
      <c r="J11" s="1" t="s">
        <v>28</v>
      </c>
      <c r="K11" s="1" t="s">
        <v>25</v>
      </c>
      <c r="L11" s="1" t="s">
        <v>24</v>
      </c>
      <c r="M11" s="1" t="s">
        <v>26</v>
      </c>
      <c r="N11" s="2">
        <f t="shared" si="2"/>
        <v>6.083333333333333</v>
      </c>
      <c r="O11" s="3">
        <f t="shared" si="3"/>
        <v>-0.25</v>
      </c>
      <c r="P11" s="1" t="s">
        <v>24</v>
      </c>
      <c r="Q11" s="1" t="s">
        <v>24</v>
      </c>
      <c r="R11" s="1" t="s">
        <v>25</v>
      </c>
      <c r="S11" s="1" t="s">
        <v>26</v>
      </c>
      <c r="T11" s="2">
        <f t="shared" si="4"/>
        <v>6.208333333333333</v>
      </c>
      <c r="U11" s="3">
        <f t="shared" si="5"/>
        <v>-0.125</v>
      </c>
      <c r="V11" s="1" t="s">
        <v>24</v>
      </c>
      <c r="W11" s="1" t="s">
        <v>26</v>
      </c>
      <c r="X11" s="1" t="s">
        <v>27</v>
      </c>
      <c r="Y11" s="1" t="s">
        <v>28</v>
      </c>
      <c r="Z11" s="2">
        <f t="shared" si="6"/>
        <v>6.4999999999999991</v>
      </c>
      <c r="AA11" s="3">
        <f t="shared" si="7"/>
        <v>0.16666666666666607</v>
      </c>
      <c r="AB11" s="1" t="s">
        <v>28</v>
      </c>
      <c r="AC11" s="1" t="s">
        <v>24</v>
      </c>
      <c r="AE11" s="3">
        <f t="shared" si="8"/>
        <v>0.41666666666666607</v>
      </c>
    </row>
    <row r="12" spans="1:31">
      <c r="A12" t="s">
        <v>62</v>
      </c>
      <c r="B12" s="4" t="s">
        <v>63</v>
      </c>
      <c r="C12" t="s">
        <v>54</v>
      </c>
      <c r="D12" s="1" t="s">
        <v>26</v>
      </c>
      <c r="E12" s="1" t="s">
        <v>64</v>
      </c>
      <c r="F12" s="1" t="s">
        <v>47</v>
      </c>
      <c r="G12" s="1" t="s">
        <v>47</v>
      </c>
      <c r="H12" s="2">
        <f t="shared" si="0"/>
        <v>6.0277777777777768</v>
      </c>
      <c r="I12" s="3">
        <f t="shared" si="1"/>
        <v>-0.30555555555555625</v>
      </c>
      <c r="J12" s="1" t="s">
        <v>25</v>
      </c>
      <c r="K12" s="1" t="s">
        <v>26</v>
      </c>
      <c r="L12" s="1" t="s">
        <v>24</v>
      </c>
      <c r="M12" s="1" t="s">
        <v>26</v>
      </c>
      <c r="N12" s="2">
        <f t="shared" si="2"/>
        <v>6.375</v>
      </c>
      <c r="O12" s="3">
        <f t="shared" si="3"/>
        <v>4.1666666666666963E-2</v>
      </c>
      <c r="P12" s="1" t="s">
        <v>65</v>
      </c>
      <c r="Q12" s="1" t="s">
        <v>28</v>
      </c>
      <c r="R12" s="1" t="s">
        <v>25</v>
      </c>
      <c r="S12" s="1" t="s">
        <v>24</v>
      </c>
      <c r="T12" s="2">
        <f t="shared" si="4"/>
        <v>6.208333333333333</v>
      </c>
      <c r="U12" s="3">
        <f t="shared" si="5"/>
        <v>-0.125</v>
      </c>
      <c r="V12" s="1" t="s">
        <v>26</v>
      </c>
      <c r="W12" s="1" t="s">
        <v>26</v>
      </c>
      <c r="X12" s="1" t="s">
        <v>26</v>
      </c>
      <c r="Y12" s="1" t="s">
        <v>26</v>
      </c>
      <c r="Z12" s="2">
        <f t="shared" si="6"/>
        <v>7</v>
      </c>
      <c r="AA12" s="3">
        <f t="shared" si="7"/>
        <v>0.66666666666666696</v>
      </c>
      <c r="AB12" s="1" t="s">
        <v>28</v>
      </c>
      <c r="AC12" s="1" t="s">
        <v>26</v>
      </c>
      <c r="AE12" s="3">
        <f t="shared" si="8"/>
        <v>0.27777777777777768</v>
      </c>
    </row>
    <row r="13" spans="1:31">
      <c r="A13" t="s">
        <v>66</v>
      </c>
      <c r="B13" s="4" t="s">
        <v>67</v>
      </c>
      <c r="C13" t="s">
        <v>68</v>
      </c>
      <c r="D13" s="1" t="s">
        <v>47</v>
      </c>
      <c r="E13" s="1" t="s">
        <v>47</v>
      </c>
      <c r="F13" s="1" t="s">
        <v>47</v>
      </c>
      <c r="G13" s="1" t="s">
        <v>69</v>
      </c>
      <c r="H13" s="2">
        <f t="shared" si="0"/>
        <v>5.3194444444444446</v>
      </c>
      <c r="I13" s="3">
        <f t="shared" si="1"/>
        <v>-1.0138888888888884</v>
      </c>
      <c r="J13" s="1" t="s">
        <v>26</v>
      </c>
      <c r="K13" s="1"/>
      <c r="L13" s="1"/>
      <c r="M13" s="1"/>
      <c r="N13" s="2">
        <f t="shared" si="2"/>
        <v>1.75</v>
      </c>
      <c r="O13" s="3">
        <f t="shared" si="3"/>
        <v>-4.583333333333333</v>
      </c>
      <c r="P13" s="1" t="s">
        <v>70</v>
      </c>
      <c r="Q13" s="1" t="s">
        <v>26</v>
      </c>
      <c r="R13" s="1" t="s">
        <v>28</v>
      </c>
      <c r="S13" s="1" t="s">
        <v>26</v>
      </c>
      <c r="T13" s="2">
        <f t="shared" si="4"/>
        <v>4.958333333333333</v>
      </c>
      <c r="U13" s="3">
        <f t="shared" si="5"/>
        <v>-1.375</v>
      </c>
      <c r="V13" s="1" t="s">
        <v>28</v>
      </c>
      <c r="W13" s="1" t="s">
        <v>26</v>
      </c>
      <c r="X13" s="1" t="s">
        <v>26</v>
      </c>
      <c r="Y13" s="1" t="s">
        <v>28</v>
      </c>
      <c r="Z13" s="2">
        <f t="shared" si="6"/>
        <v>6.4166666666666661</v>
      </c>
      <c r="AA13" s="3">
        <f t="shared" si="7"/>
        <v>8.3333333333333037E-2</v>
      </c>
      <c r="AB13" s="1" t="s">
        <v>26</v>
      </c>
      <c r="AC13" s="1" t="s">
        <v>26</v>
      </c>
      <c r="AE13" s="3"/>
    </row>
    <row r="14" spans="1:31">
      <c r="A14" t="s">
        <v>71</v>
      </c>
      <c r="B14" s="4" t="s">
        <v>67</v>
      </c>
      <c r="C14" t="s">
        <v>72</v>
      </c>
      <c r="D14" s="1" t="s">
        <v>26</v>
      </c>
      <c r="E14" s="1" t="s">
        <v>24</v>
      </c>
      <c r="F14" s="1" t="s">
        <v>26</v>
      </c>
      <c r="G14" s="1" t="s">
        <v>27</v>
      </c>
      <c r="H14" s="2">
        <f t="shared" si="0"/>
        <v>6.7916666666666661</v>
      </c>
      <c r="I14" s="3">
        <f t="shared" si="1"/>
        <v>0.45833333333333304</v>
      </c>
      <c r="J14" s="1" t="s">
        <v>24</v>
      </c>
      <c r="K14" s="1" t="s">
        <v>49</v>
      </c>
      <c r="L14" s="1" t="s">
        <v>24</v>
      </c>
      <c r="M14" s="1" t="s">
        <v>26</v>
      </c>
      <c r="N14" s="2">
        <f t="shared" si="2"/>
        <v>6.083333333333333</v>
      </c>
      <c r="O14" s="3">
        <f t="shared" si="3"/>
        <v>-0.25</v>
      </c>
      <c r="P14" s="1" t="s">
        <v>24</v>
      </c>
      <c r="Q14" s="1" t="s">
        <v>26</v>
      </c>
      <c r="R14" s="1" t="s">
        <v>26</v>
      </c>
      <c r="S14" s="1" t="s">
        <v>28</v>
      </c>
      <c r="T14" s="2">
        <f t="shared" si="4"/>
        <v>6.5416666666666661</v>
      </c>
      <c r="U14" s="3">
        <f t="shared" si="5"/>
        <v>0.20833333333333304</v>
      </c>
      <c r="V14" s="1" t="s">
        <v>28</v>
      </c>
      <c r="W14" s="1" t="s">
        <v>24</v>
      </c>
      <c r="X14" s="1" t="s">
        <v>26</v>
      </c>
      <c r="Y14" s="1" t="s">
        <v>27</v>
      </c>
      <c r="Z14" s="2">
        <f t="shared" si="6"/>
        <v>6.4999999999999991</v>
      </c>
      <c r="AA14" s="3">
        <f t="shared" si="7"/>
        <v>0.16666666666666607</v>
      </c>
      <c r="AB14" s="1" t="s">
        <v>28</v>
      </c>
      <c r="AC14" s="1" t="s">
        <v>28</v>
      </c>
      <c r="AE14" s="3">
        <f t="shared" si="8"/>
        <v>0.58333333333333215</v>
      </c>
    </row>
    <row r="15" spans="1:31">
      <c r="A15" t="s">
        <v>73</v>
      </c>
      <c r="B15" s="4" t="s">
        <v>74</v>
      </c>
      <c r="C15" t="s">
        <v>75</v>
      </c>
      <c r="D15" s="1" t="s">
        <v>24</v>
      </c>
      <c r="E15" s="1" t="s">
        <v>24</v>
      </c>
      <c r="F15" s="1" t="s">
        <v>25</v>
      </c>
      <c r="G15" s="1" t="s">
        <v>26</v>
      </c>
      <c r="H15" s="2">
        <f t="shared" si="0"/>
        <v>6.208333333333333</v>
      </c>
      <c r="I15" s="3">
        <f t="shared" si="1"/>
        <v>-0.125</v>
      </c>
      <c r="J15" s="1" t="s">
        <v>24</v>
      </c>
      <c r="K15" s="1" t="s">
        <v>26</v>
      </c>
      <c r="L15" s="1" t="s">
        <v>24</v>
      </c>
      <c r="M15" s="1" t="s">
        <v>26</v>
      </c>
      <c r="N15" s="2">
        <f t="shared" si="2"/>
        <v>6.6666666666666661</v>
      </c>
      <c r="O15" s="3">
        <f t="shared" si="3"/>
        <v>0.33333333333333304</v>
      </c>
      <c r="P15" s="1" t="s">
        <v>28</v>
      </c>
      <c r="Q15" s="1" t="s">
        <v>24</v>
      </c>
      <c r="R15" s="1" t="s">
        <v>24</v>
      </c>
      <c r="S15" s="1" t="s">
        <v>26</v>
      </c>
      <c r="T15" s="2">
        <f t="shared" si="4"/>
        <v>6.375</v>
      </c>
      <c r="U15" s="3">
        <f t="shared" si="5"/>
        <v>4.1666666666666963E-2</v>
      </c>
      <c r="V15" s="1" t="s">
        <v>58</v>
      </c>
      <c r="W15" s="1" t="s">
        <v>28</v>
      </c>
      <c r="X15" s="1" t="s">
        <v>28</v>
      </c>
      <c r="Y15" s="1" t="s">
        <v>24</v>
      </c>
      <c r="Z15" s="2">
        <f t="shared" si="6"/>
        <v>5.9166666666666661</v>
      </c>
      <c r="AA15" s="3">
        <f t="shared" si="7"/>
        <v>-0.41666666666666696</v>
      </c>
      <c r="AB15" s="1" t="s">
        <v>26</v>
      </c>
      <c r="AC15" s="1" t="s">
        <v>24</v>
      </c>
      <c r="AE15" s="3">
        <f t="shared" si="8"/>
        <v>-0.16666666666666696</v>
      </c>
    </row>
    <row r="16" spans="1:31">
      <c r="A16" t="s">
        <v>76</v>
      </c>
      <c r="B16" s="4" t="s">
        <v>77</v>
      </c>
      <c r="C16" t="s">
        <v>78</v>
      </c>
      <c r="D16" s="1" t="s">
        <v>28</v>
      </c>
      <c r="E16" s="1" t="s">
        <v>26</v>
      </c>
      <c r="F16" s="1" t="s">
        <v>47</v>
      </c>
      <c r="G16" s="1" t="s">
        <v>47</v>
      </c>
      <c r="H16" s="2">
        <f t="shared" si="0"/>
        <v>5.8749999999999991</v>
      </c>
      <c r="I16" s="3">
        <f t="shared" si="1"/>
        <v>-0.45833333333333393</v>
      </c>
      <c r="J16" s="1" t="s">
        <v>25</v>
      </c>
      <c r="K16" s="1" t="s">
        <v>25</v>
      </c>
      <c r="L16" s="1" t="s">
        <v>26</v>
      </c>
      <c r="M16" s="1" t="s">
        <v>24</v>
      </c>
      <c r="N16" s="2">
        <f t="shared" si="2"/>
        <v>5.916666666666667</v>
      </c>
      <c r="O16" s="3">
        <f t="shared" si="3"/>
        <v>-0.41666666666666607</v>
      </c>
      <c r="P16" s="1" t="s">
        <v>26</v>
      </c>
      <c r="Q16" s="1" t="s">
        <v>27</v>
      </c>
      <c r="R16" s="1" t="s">
        <v>25</v>
      </c>
      <c r="S16" s="1" t="s">
        <v>28</v>
      </c>
      <c r="T16" s="2">
        <f t="shared" si="4"/>
        <v>6.208333333333333</v>
      </c>
      <c r="U16" s="3">
        <f t="shared" si="5"/>
        <v>-0.125</v>
      </c>
      <c r="V16" s="1" t="s">
        <v>24</v>
      </c>
      <c r="W16" s="1" t="s">
        <v>26</v>
      </c>
      <c r="X16" s="1" t="s">
        <v>24</v>
      </c>
      <c r="Y16" s="1" t="s">
        <v>24</v>
      </c>
      <c r="Z16" s="2">
        <f t="shared" si="6"/>
        <v>6.4999999999999991</v>
      </c>
      <c r="AA16" s="3">
        <f t="shared" si="7"/>
        <v>0.16666666666666607</v>
      </c>
      <c r="AB16" s="1" t="s">
        <v>25</v>
      </c>
      <c r="AC16" s="1" t="s">
        <v>26</v>
      </c>
      <c r="AE16" s="3">
        <f t="shared" si="8"/>
        <v>-0.83333333333333393</v>
      </c>
    </row>
    <row r="17" spans="1:31">
      <c r="A17" t="s">
        <v>79</v>
      </c>
      <c r="B17" s="4" t="s">
        <v>80</v>
      </c>
      <c r="C17" t="s">
        <v>81</v>
      </c>
      <c r="D17" s="1" t="s">
        <v>24</v>
      </c>
      <c r="E17" s="1" t="s">
        <v>26</v>
      </c>
      <c r="F17" s="1" t="s">
        <v>27</v>
      </c>
      <c r="G17" s="1" t="s">
        <v>25</v>
      </c>
      <c r="H17" s="2">
        <f t="shared" si="0"/>
        <v>6.333333333333333</v>
      </c>
      <c r="I17" s="3">
        <f t="shared" si="1"/>
        <v>0</v>
      </c>
      <c r="J17" s="1" t="s">
        <v>28</v>
      </c>
      <c r="K17" s="1" t="s">
        <v>26</v>
      </c>
      <c r="L17" s="1" t="s">
        <v>24</v>
      </c>
      <c r="M17" s="1" t="s">
        <v>26</v>
      </c>
      <c r="N17" s="2">
        <f t="shared" si="2"/>
        <v>6.5416666666666661</v>
      </c>
      <c r="O17" s="3">
        <f t="shared" si="3"/>
        <v>0.20833333333333304</v>
      </c>
      <c r="P17" s="1" t="s">
        <v>27</v>
      </c>
      <c r="Q17" s="1" t="s">
        <v>28</v>
      </c>
      <c r="R17" s="1" t="s">
        <v>28</v>
      </c>
      <c r="S17" s="1" t="s">
        <v>24</v>
      </c>
      <c r="T17" s="2">
        <f t="shared" si="4"/>
        <v>6.208333333333333</v>
      </c>
      <c r="U17" s="3">
        <f t="shared" si="5"/>
        <v>-0.125</v>
      </c>
      <c r="V17" s="1" t="s">
        <v>26</v>
      </c>
      <c r="W17" s="1" t="s">
        <v>24</v>
      </c>
      <c r="X17" s="1" t="s">
        <v>24</v>
      </c>
      <c r="Y17" s="1" t="s">
        <v>25</v>
      </c>
      <c r="Z17" s="2">
        <f t="shared" si="6"/>
        <v>6.208333333333333</v>
      </c>
      <c r="AA17" s="3">
        <f t="shared" si="7"/>
        <v>-0.125</v>
      </c>
      <c r="AB17" s="1" t="s">
        <v>26</v>
      </c>
      <c r="AC17" s="1" t="s">
        <v>24</v>
      </c>
      <c r="AE17" s="3">
        <f t="shared" si="8"/>
        <v>-4.1666666666666963E-2</v>
      </c>
    </row>
    <row r="18" spans="1:31">
      <c r="A18" t="s">
        <v>82</v>
      </c>
      <c r="B18" s="4" t="s">
        <v>83</v>
      </c>
      <c r="C18" t="s">
        <v>84</v>
      </c>
      <c r="D18" s="1" t="s">
        <v>26</v>
      </c>
      <c r="E18" s="1" t="s">
        <v>24</v>
      </c>
      <c r="F18" s="1" t="s">
        <v>24</v>
      </c>
      <c r="G18" s="1" t="s">
        <v>25</v>
      </c>
      <c r="H18" s="2">
        <f t="shared" si="0"/>
        <v>6.208333333333333</v>
      </c>
      <c r="I18" s="3">
        <f t="shared" si="1"/>
        <v>-0.125</v>
      </c>
      <c r="J18" s="1" t="s">
        <v>26</v>
      </c>
      <c r="K18" s="1" t="s">
        <v>24</v>
      </c>
      <c r="L18" s="1" t="s">
        <v>26</v>
      </c>
      <c r="M18" s="1" t="s">
        <v>27</v>
      </c>
      <c r="N18" s="2">
        <f t="shared" si="2"/>
        <v>6.7916666666666661</v>
      </c>
      <c r="O18" s="3">
        <f t="shared" si="3"/>
        <v>0.45833333333333304</v>
      </c>
      <c r="P18" s="1" t="s">
        <v>28</v>
      </c>
      <c r="Q18" s="1" t="s">
        <v>26</v>
      </c>
      <c r="R18" s="1" t="s">
        <v>28</v>
      </c>
      <c r="S18" s="1" t="s">
        <v>26</v>
      </c>
      <c r="T18" s="2">
        <f t="shared" si="4"/>
        <v>6.4166666666666661</v>
      </c>
      <c r="U18" s="3">
        <f t="shared" si="5"/>
        <v>8.3333333333333037E-2</v>
      </c>
      <c r="V18" s="1" t="s">
        <v>28</v>
      </c>
      <c r="W18" s="1" t="s">
        <v>27</v>
      </c>
      <c r="X18" s="1" t="s">
        <v>28</v>
      </c>
      <c r="Y18" s="1" t="s">
        <v>28</v>
      </c>
      <c r="Z18" s="2">
        <f t="shared" si="6"/>
        <v>6.083333333333333</v>
      </c>
      <c r="AA18" s="3">
        <f t="shared" si="7"/>
        <v>-0.25</v>
      </c>
      <c r="AB18" s="1" t="s">
        <v>24</v>
      </c>
      <c r="AC18" s="1" t="s">
        <v>26</v>
      </c>
      <c r="AE18" s="3">
        <f t="shared" si="8"/>
        <v>0.16666666666666607</v>
      </c>
    </row>
    <row r="19" spans="1:31">
      <c r="A19" t="s">
        <v>85</v>
      </c>
      <c r="B19" s="4" t="s">
        <v>86</v>
      </c>
      <c r="C19" t="s">
        <v>35</v>
      </c>
      <c r="D19" s="1" t="s">
        <v>87</v>
      </c>
      <c r="E19" s="1" t="s">
        <v>49</v>
      </c>
      <c r="F19" s="1" t="s">
        <v>28</v>
      </c>
      <c r="G19" s="1" t="s">
        <v>47</v>
      </c>
      <c r="H19" s="2">
        <f t="shared" si="0"/>
        <v>5.0694444444444438</v>
      </c>
      <c r="I19" s="3">
        <f t="shared" si="1"/>
        <v>-1.2638888888888893</v>
      </c>
      <c r="J19" s="1" t="s">
        <v>47</v>
      </c>
      <c r="K19" s="1" t="s">
        <v>47</v>
      </c>
      <c r="L19" s="1" t="s">
        <v>47</v>
      </c>
      <c r="M19" s="1" t="s">
        <v>28</v>
      </c>
      <c r="N19" s="2">
        <f t="shared" si="2"/>
        <v>5.458333333333333</v>
      </c>
      <c r="O19" s="3">
        <f t="shared" si="3"/>
        <v>-0.875</v>
      </c>
      <c r="P19" s="1" t="s">
        <v>26</v>
      </c>
      <c r="Q19" s="1" t="s">
        <v>26</v>
      </c>
      <c r="R19" s="1" t="s">
        <v>26</v>
      </c>
      <c r="S19" s="1" t="s">
        <v>26</v>
      </c>
      <c r="T19" s="2">
        <f t="shared" si="4"/>
        <v>7</v>
      </c>
      <c r="U19" s="3">
        <f t="shared" si="5"/>
        <v>0.66666666666666696</v>
      </c>
      <c r="V19" s="1" t="s">
        <v>46</v>
      </c>
      <c r="W19" s="1" t="s">
        <v>28</v>
      </c>
      <c r="X19" s="1" t="s">
        <v>26</v>
      </c>
      <c r="Y19" s="1" t="s">
        <v>26</v>
      </c>
      <c r="Z19" s="2">
        <f t="shared" si="6"/>
        <v>5.833333333333333</v>
      </c>
      <c r="AA19" s="3">
        <f t="shared" si="7"/>
        <v>-0.5</v>
      </c>
      <c r="AB19" s="1" t="s">
        <v>26</v>
      </c>
      <c r="AC19" s="1" t="s">
        <v>26</v>
      </c>
      <c r="AE19" s="3">
        <f t="shared" si="8"/>
        <v>-1.9722222222222223</v>
      </c>
    </row>
    <row r="20" spans="1:31">
      <c r="A20" t="s">
        <v>88</v>
      </c>
      <c r="B20" s="4" t="s">
        <v>86</v>
      </c>
      <c r="C20" t="s">
        <v>89</v>
      </c>
      <c r="D20" s="1" t="s">
        <v>27</v>
      </c>
      <c r="E20" s="1" t="s">
        <v>28</v>
      </c>
      <c r="F20" s="1" t="s">
        <v>28</v>
      </c>
      <c r="G20" s="1" t="s">
        <v>24</v>
      </c>
      <c r="H20" s="2">
        <f t="shared" si="0"/>
        <v>6.208333333333333</v>
      </c>
      <c r="I20" s="3">
        <f t="shared" si="1"/>
        <v>-0.125</v>
      </c>
      <c r="J20" s="1" t="s">
        <v>26</v>
      </c>
      <c r="K20" s="1" t="s">
        <v>24</v>
      </c>
      <c r="L20" s="1" t="s">
        <v>24</v>
      </c>
      <c r="M20" s="1" t="s">
        <v>28</v>
      </c>
      <c r="N20" s="2">
        <f t="shared" si="2"/>
        <v>6.3749999999999991</v>
      </c>
      <c r="O20" s="3">
        <f t="shared" si="3"/>
        <v>4.1666666666666075E-2</v>
      </c>
      <c r="P20" s="1" t="s">
        <v>26</v>
      </c>
      <c r="Q20" s="1" t="s">
        <v>26</v>
      </c>
      <c r="R20" s="1" t="s">
        <v>24</v>
      </c>
      <c r="S20" s="1" t="s">
        <v>24</v>
      </c>
      <c r="T20" s="2">
        <f t="shared" si="4"/>
        <v>6.6666666666666661</v>
      </c>
      <c r="U20" s="3">
        <f t="shared" si="5"/>
        <v>0.33333333333333304</v>
      </c>
      <c r="V20" s="1" t="s">
        <v>25</v>
      </c>
      <c r="W20" s="1" t="s">
        <v>26</v>
      </c>
      <c r="X20" s="1" t="s">
        <v>24</v>
      </c>
      <c r="Y20" s="1" t="s">
        <v>26</v>
      </c>
      <c r="Z20" s="2">
        <f t="shared" si="6"/>
        <v>6.375</v>
      </c>
      <c r="AA20" s="3">
        <f t="shared" si="7"/>
        <v>4.1666666666666963E-2</v>
      </c>
      <c r="AB20" s="1" t="s">
        <v>27</v>
      </c>
      <c r="AC20" s="1" t="s">
        <v>28</v>
      </c>
      <c r="AE20" s="3">
        <f t="shared" si="8"/>
        <v>0.29166666666666607</v>
      </c>
    </row>
    <row r="21" spans="1:31">
      <c r="A21" t="s">
        <v>90</v>
      </c>
      <c r="B21" s="4" t="s">
        <v>91</v>
      </c>
      <c r="C21" t="s">
        <v>92</v>
      </c>
      <c r="D21" s="1" t="s">
        <v>28</v>
      </c>
      <c r="E21" s="1" t="s">
        <v>24</v>
      </c>
      <c r="F21" s="1" t="s">
        <v>26</v>
      </c>
      <c r="G21" s="1" t="s">
        <v>24</v>
      </c>
      <c r="H21" s="2">
        <f t="shared" si="0"/>
        <v>6.3749999999999991</v>
      </c>
      <c r="I21" s="3">
        <f t="shared" si="1"/>
        <v>4.1666666666666075E-2</v>
      </c>
      <c r="J21" s="1" t="s">
        <v>24</v>
      </c>
      <c r="K21" s="1"/>
      <c r="L21" s="1"/>
      <c r="M21" s="1"/>
      <c r="N21" s="2">
        <f t="shared" si="2"/>
        <v>1.5833333333333333</v>
      </c>
      <c r="O21" s="3">
        <f t="shared" si="3"/>
        <v>-4.75</v>
      </c>
      <c r="P21" s="1" t="s">
        <v>70</v>
      </c>
      <c r="Q21" s="1" t="s">
        <v>24</v>
      </c>
      <c r="R21" s="1" t="s">
        <v>26</v>
      </c>
      <c r="S21" s="1" t="s">
        <v>25</v>
      </c>
      <c r="T21" s="2">
        <f t="shared" si="4"/>
        <v>4.625</v>
      </c>
      <c r="U21" s="3">
        <f t="shared" si="5"/>
        <v>-1.708333333333333</v>
      </c>
      <c r="V21" s="1" t="s">
        <v>26</v>
      </c>
      <c r="W21" s="1" t="s">
        <v>26</v>
      </c>
      <c r="X21" s="1" t="s">
        <v>26</v>
      </c>
      <c r="Y21" s="1" t="s">
        <v>26</v>
      </c>
      <c r="Z21" s="2">
        <f t="shared" si="6"/>
        <v>7</v>
      </c>
      <c r="AA21" s="3">
        <f t="shared" si="7"/>
        <v>0.66666666666666696</v>
      </c>
      <c r="AB21" s="1" t="s">
        <v>26</v>
      </c>
      <c r="AC21" s="1" t="s">
        <v>28</v>
      </c>
      <c r="AE21" s="3"/>
    </row>
    <row r="22" spans="1:31">
      <c r="A22" t="s">
        <v>93</v>
      </c>
      <c r="B22" s="4" t="s">
        <v>91</v>
      </c>
      <c r="C22" t="s">
        <v>94</v>
      </c>
      <c r="D22" s="1" t="s">
        <v>28</v>
      </c>
      <c r="E22" s="1" t="s">
        <v>26</v>
      </c>
      <c r="F22" s="1" t="s">
        <v>47</v>
      </c>
      <c r="G22" s="1" t="s">
        <v>47</v>
      </c>
      <c r="H22" s="2">
        <f t="shared" si="0"/>
        <v>5.8749999999999991</v>
      </c>
      <c r="I22" s="3">
        <f t="shared" si="1"/>
        <v>-0.45833333333333393</v>
      </c>
      <c r="J22" s="1" t="s">
        <v>47</v>
      </c>
      <c r="K22" s="1" t="s">
        <v>47</v>
      </c>
      <c r="L22" s="1" t="s">
        <v>28</v>
      </c>
      <c r="M22" s="1" t="s">
        <v>26</v>
      </c>
      <c r="N22" s="2">
        <f t="shared" si="2"/>
        <v>5.875</v>
      </c>
      <c r="O22" s="3">
        <f t="shared" si="3"/>
        <v>-0.45833333333333304</v>
      </c>
      <c r="P22" s="1" t="s">
        <v>47</v>
      </c>
      <c r="Q22" s="1" t="s">
        <v>26</v>
      </c>
      <c r="R22" s="1" t="s">
        <v>26</v>
      </c>
      <c r="S22" s="1" t="s">
        <v>26</v>
      </c>
      <c r="T22" s="2">
        <f t="shared" si="4"/>
        <v>6.583333333333333</v>
      </c>
      <c r="U22" s="3">
        <f t="shared" si="5"/>
        <v>0.25</v>
      </c>
      <c r="V22" s="1" t="s">
        <v>28</v>
      </c>
      <c r="W22" s="1" t="s">
        <v>26</v>
      </c>
      <c r="X22" s="1" t="s">
        <v>26</v>
      </c>
      <c r="Y22" s="1" t="s">
        <v>26</v>
      </c>
      <c r="Z22" s="2">
        <f t="shared" si="6"/>
        <v>6.708333333333333</v>
      </c>
      <c r="AA22" s="3">
        <f t="shared" si="7"/>
        <v>0.375</v>
      </c>
      <c r="AB22" s="1" t="s">
        <v>26</v>
      </c>
      <c r="AC22" s="1" t="s">
        <v>26</v>
      </c>
      <c r="AE22" s="3">
        <f t="shared" si="8"/>
        <v>-0.29166666666666696</v>
      </c>
    </row>
    <row r="23" spans="1:31">
      <c r="A23" t="s">
        <v>95</v>
      </c>
      <c r="B23" s="4" t="s">
        <v>96</v>
      </c>
      <c r="C23" t="s">
        <v>97</v>
      </c>
      <c r="D23" s="1" t="s">
        <v>28</v>
      </c>
      <c r="E23" s="1" t="s">
        <v>25</v>
      </c>
      <c r="F23" s="1" t="s">
        <v>24</v>
      </c>
      <c r="G23" s="1" t="s">
        <v>24</v>
      </c>
      <c r="H23" s="2">
        <f t="shared" si="0"/>
        <v>5.9166666666666661</v>
      </c>
      <c r="I23" s="3">
        <f t="shared" si="1"/>
        <v>-0.41666666666666696</v>
      </c>
      <c r="J23" s="1" t="s">
        <v>26</v>
      </c>
      <c r="K23" s="1" t="s">
        <v>47</v>
      </c>
      <c r="L23" s="1" t="s">
        <v>36</v>
      </c>
      <c r="M23" s="1" t="s">
        <v>49</v>
      </c>
      <c r="N23" s="2">
        <f t="shared" si="2"/>
        <v>5.9861111111111107</v>
      </c>
      <c r="O23" s="3">
        <f t="shared" si="3"/>
        <v>-0.34722222222222232</v>
      </c>
      <c r="P23" s="1" t="s">
        <v>26</v>
      </c>
      <c r="Q23" s="1" t="s">
        <v>24</v>
      </c>
      <c r="R23" s="1" t="s">
        <v>26</v>
      </c>
      <c r="S23" s="1" t="s">
        <v>27</v>
      </c>
      <c r="T23" s="2">
        <f t="shared" si="4"/>
        <v>6.7916666666666661</v>
      </c>
      <c r="U23" s="3">
        <f t="shared" si="5"/>
        <v>0.45833333333333304</v>
      </c>
      <c r="V23" s="1" t="s">
        <v>28</v>
      </c>
      <c r="W23" s="1" t="s">
        <v>28</v>
      </c>
      <c r="X23" s="1" t="s">
        <v>24</v>
      </c>
      <c r="Y23" s="1" t="s">
        <v>26</v>
      </c>
      <c r="Z23" s="2">
        <f t="shared" si="6"/>
        <v>6.25</v>
      </c>
      <c r="AA23" s="3">
        <f t="shared" si="7"/>
        <v>-8.3333333333333037E-2</v>
      </c>
      <c r="AB23" s="1" t="s">
        <v>24</v>
      </c>
      <c r="AC23" s="1" t="s">
        <v>24</v>
      </c>
      <c r="AE23" s="3">
        <f t="shared" si="8"/>
        <v>-0.38888888888888928</v>
      </c>
    </row>
    <row r="24" spans="1:31">
      <c r="A24" t="s">
        <v>98</v>
      </c>
      <c r="B24" s="4" t="s">
        <v>99</v>
      </c>
      <c r="C24" t="s">
        <v>100</v>
      </c>
      <c r="D24" s="1" t="s">
        <v>47</v>
      </c>
      <c r="E24" s="1" t="s">
        <v>28</v>
      </c>
      <c r="F24" s="1" t="s">
        <v>26</v>
      </c>
      <c r="G24" s="1" t="s">
        <v>47</v>
      </c>
      <c r="H24" s="2">
        <f t="shared" si="0"/>
        <v>5.8749999999999991</v>
      </c>
      <c r="I24" s="3">
        <f t="shared" si="1"/>
        <v>-0.45833333333333393</v>
      </c>
      <c r="J24" s="1" t="s">
        <v>47</v>
      </c>
      <c r="K24" s="1" t="s">
        <v>47</v>
      </c>
      <c r="L24" s="1" t="s">
        <v>47</v>
      </c>
      <c r="M24" s="1" t="s">
        <v>28</v>
      </c>
      <c r="N24" s="2">
        <f t="shared" si="2"/>
        <v>5.458333333333333</v>
      </c>
      <c r="O24" s="3">
        <f t="shared" si="3"/>
        <v>-0.875</v>
      </c>
      <c r="P24" s="1" t="s">
        <v>26</v>
      </c>
      <c r="Q24" s="1" t="s">
        <v>26</v>
      </c>
      <c r="R24" s="1" t="s">
        <v>26</v>
      </c>
      <c r="S24" s="1" t="s">
        <v>28</v>
      </c>
      <c r="T24" s="2">
        <f t="shared" si="4"/>
        <v>6.708333333333333</v>
      </c>
      <c r="U24" s="3">
        <f t="shared" si="5"/>
        <v>0.375</v>
      </c>
      <c r="V24" s="1" t="s">
        <v>28</v>
      </c>
      <c r="W24" s="1" t="s">
        <v>28</v>
      </c>
      <c r="X24" s="1" t="s">
        <v>26</v>
      </c>
      <c r="Y24" s="1" t="s">
        <v>26</v>
      </c>
      <c r="Z24" s="2">
        <f t="shared" si="6"/>
        <v>6.4166666666666661</v>
      </c>
      <c r="AA24" s="3">
        <f t="shared" si="7"/>
        <v>8.3333333333333037E-2</v>
      </c>
      <c r="AB24" s="1" t="s">
        <v>26</v>
      </c>
      <c r="AC24" s="1" t="s">
        <v>26</v>
      </c>
      <c r="AE24" s="3">
        <f t="shared" si="8"/>
        <v>-0.87500000000000089</v>
      </c>
    </row>
    <row r="25" spans="1:31">
      <c r="A25" t="s">
        <v>101</v>
      </c>
      <c r="B25" s="4" t="s">
        <v>102</v>
      </c>
      <c r="C25" t="s">
        <v>103</v>
      </c>
      <c r="D25" s="1" t="s">
        <v>24</v>
      </c>
      <c r="E25" s="1" t="s">
        <v>28</v>
      </c>
      <c r="F25" s="1" t="s">
        <v>26</v>
      </c>
      <c r="G25" s="1" t="s">
        <v>26</v>
      </c>
      <c r="H25" s="2">
        <f t="shared" si="0"/>
        <v>6.5416666666666661</v>
      </c>
      <c r="I25" s="3">
        <f t="shared" si="1"/>
        <v>0.20833333333333304</v>
      </c>
      <c r="J25" s="1" t="s">
        <v>26</v>
      </c>
      <c r="K25" s="1" t="s">
        <v>26</v>
      </c>
      <c r="L25" s="1" t="s">
        <v>28</v>
      </c>
      <c r="M25" s="1" t="s">
        <v>26</v>
      </c>
      <c r="N25" s="2">
        <f t="shared" si="2"/>
        <v>6.708333333333333</v>
      </c>
      <c r="O25" s="3">
        <f t="shared" si="3"/>
        <v>0.375</v>
      </c>
      <c r="P25" s="1" t="s">
        <v>24</v>
      </c>
      <c r="Q25" s="1" t="s">
        <v>26</v>
      </c>
      <c r="R25" s="1" t="s">
        <v>27</v>
      </c>
      <c r="S25" s="1" t="s">
        <v>28</v>
      </c>
      <c r="T25" s="2">
        <f t="shared" si="4"/>
        <v>6.4999999999999991</v>
      </c>
      <c r="U25" s="3">
        <f t="shared" si="5"/>
        <v>0.16666666666666607</v>
      </c>
      <c r="V25" s="1" t="s">
        <v>28</v>
      </c>
      <c r="W25" s="1" t="s">
        <v>24</v>
      </c>
      <c r="X25" s="1" t="s">
        <v>26</v>
      </c>
      <c r="Y25" s="1" t="s">
        <v>24</v>
      </c>
      <c r="Z25" s="2">
        <f t="shared" si="6"/>
        <v>6.3749999999999991</v>
      </c>
      <c r="AA25" s="3">
        <f t="shared" si="7"/>
        <v>4.1666666666666075E-2</v>
      </c>
      <c r="AB25" s="1" t="s">
        <v>24</v>
      </c>
      <c r="AC25" s="1" t="s">
        <v>25</v>
      </c>
      <c r="AE25" s="3">
        <f t="shared" si="8"/>
        <v>0.79166666666666519</v>
      </c>
    </row>
    <row r="26" spans="1:31">
      <c r="A26" t="s">
        <v>104</v>
      </c>
      <c r="B26" s="4" t="s">
        <v>105</v>
      </c>
      <c r="C26" t="s">
        <v>106</v>
      </c>
      <c r="D26" s="1" t="s">
        <v>24</v>
      </c>
      <c r="E26" s="1" t="s">
        <v>26</v>
      </c>
      <c r="F26" s="1" t="s">
        <v>24</v>
      </c>
      <c r="G26" s="1" t="s">
        <v>24</v>
      </c>
      <c r="H26" s="2">
        <f t="shared" si="0"/>
        <v>6.4999999999999991</v>
      </c>
      <c r="I26" s="3">
        <f t="shared" si="1"/>
        <v>0.16666666666666607</v>
      </c>
      <c r="J26" s="1" t="s">
        <v>28</v>
      </c>
      <c r="K26" s="1" t="s">
        <v>26</v>
      </c>
      <c r="L26" s="1" t="s">
        <v>107</v>
      </c>
      <c r="M26" s="1" t="s">
        <v>26</v>
      </c>
      <c r="N26" s="2">
        <f t="shared" si="2"/>
        <v>6.3611111111111107</v>
      </c>
      <c r="O26" s="3">
        <f t="shared" si="3"/>
        <v>2.7777777777777679E-2</v>
      </c>
      <c r="P26" s="1" t="s">
        <v>26</v>
      </c>
      <c r="Q26" s="1" t="s">
        <v>28</v>
      </c>
      <c r="R26" s="1" t="s">
        <v>24</v>
      </c>
      <c r="S26" s="1" t="s">
        <v>26</v>
      </c>
      <c r="T26" s="2">
        <f t="shared" si="4"/>
        <v>6.5416666666666661</v>
      </c>
      <c r="U26" s="3">
        <f t="shared" si="5"/>
        <v>0.20833333333333304</v>
      </c>
      <c r="V26" s="1" t="s">
        <v>24</v>
      </c>
      <c r="W26" s="1" t="s">
        <v>24</v>
      </c>
      <c r="X26" s="1" t="s">
        <v>25</v>
      </c>
      <c r="Y26" s="1" t="s">
        <v>26</v>
      </c>
      <c r="Z26" s="2">
        <f t="shared" si="6"/>
        <v>6.208333333333333</v>
      </c>
      <c r="AA26" s="3">
        <f t="shared" si="7"/>
        <v>-0.125</v>
      </c>
      <c r="AB26" s="1" t="s">
        <v>24</v>
      </c>
      <c r="AC26" s="1" t="s">
        <v>26</v>
      </c>
      <c r="AE26" s="3">
        <f t="shared" si="8"/>
        <v>0.27777777777777679</v>
      </c>
    </row>
    <row r="27" spans="1:31">
      <c r="A27" t="s">
        <v>108</v>
      </c>
      <c r="B27" s="4" t="s">
        <v>109</v>
      </c>
      <c r="C27" t="s">
        <v>110</v>
      </c>
      <c r="D27" s="1" t="s">
        <v>24</v>
      </c>
      <c r="E27" s="1" t="s">
        <v>28</v>
      </c>
      <c r="F27" s="1" t="s">
        <v>111</v>
      </c>
      <c r="G27" s="1" t="s">
        <v>24</v>
      </c>
      <c r="H27" s="2">
        <f t="shared" si="0"/>
        <v>6.3055555555555554</v>
      </c>
      <c r="I27" s="3">
        <f t="shared" si="1"/>
        <v>-2.7777777777777679E-2</v>
      </c>
      <c r="J27" s="1" t="s">
        <v>26</v>
      </c>
      <c r="K27" s="1" t="s">
        <v>26</v>
      </c>
      <c r="L27" s="1" t="s">
        <v>26</v>
      </c>
      <c r="M27" s="1" t="s">
        <v>25</v>
      </c>
      <c r="N27" s="2">
        <f t="shared" si="2"/>
        <v>6.541666666666667</v>
      </c>
      <c r="O27" s="3">
        <f t="shared" si="3"/>
        <v>0.20833333333333393</v>
      </c>
      <c r="P27" s="1" t="s">
        <v>26</v>
      </c>
      <c r="Q27" s="1" t="s">
        <v>26</v>
      </c>
      <c r="R27" s="1" t="s">
        <v>26</v>
      </c>
      <c r="S27" s="1" t="s">
        <v>24</v>
      </c>
      <c r="T27" s="2">
        <f t="shared" si="4"/>
        <v>6.833333333333333</v>
      </c>
      <c r="U27" s="3">
        <f t="shared" si="5"/>
        <v>0.5</v>
      </c>
      <c r="V27" s="1" t="s">
        <v>25</v>
      </c>
      <c r="W27" s="1" t="s">
        <v>25</v>
      </c>
      <c r="X27" s="1" t="s">
        <v>26</v>
      </c>
      <c r="Y27" s="1" t="s">
        <v>24</v>
      </c>
      <c r="Z27" s="2">
        <f t="shared" si="6"/>
        <v>5.916666666666667</v>
      </c>
      <c r="AA27" s="3">
        <f t="shared" si="7"/>
        <v>-0.41666666666666607</v>
      </c>
      <c r="AB27" s="1" t="s">
        <v>26</v>
      </c>
      <c r="AC27" s="1" t="s">
        <v>27</v>
      </c>
      <c r="AE27" s="3">
        <f t="shared" si="8"/>
        <v>0.26388888888889017</v>
      </c>
    </row>
    <row r="28" spans="1:31">
      <c r="A28" t="s">
        <v>112</v>
      </c>
      <c r="B28" s="4" t="s">
        <v>113</v>
      </c>
      <c r="C28" t="s">
        <v>114</v>
      </c>
      <c r="D28" s="1" t="s">
        <v>25</v>
      </c>
      <c r="E28" s="1" t="s">
        <v>26</v>
      </c>
      <c r="F28" s="1" t="s">
        <v>24</v>
      </c>
      <c r="G28" s="1" t="s">
        <v>26</v>
      </c>
      <c r="H28" s="2">
        <f t="shared" si="0"/>
        <v>6.375</v>
      </c>
      <c r="I28" s="3">
        <f t="shared" si="1"/>
        <v>4.1666666666666963E-2</v>
      </c>
      <c r="J28" s="1" t="s">
        <v>26</v>
      </c>
      <c r="K28" s="1" t="s">
        <v>24</v>
      </c>
      <c r="L28" s="1" t="s">
        <v>25</v>
      </c>
      <c r="M28" s="1" t="s">
        <v>24</v>
      </c>
      <c r="N28" s="2">
        <f t="shared" si="2"/>
        <v>6.208333333333333</v>
      </c>
      <c r="O28" s="3">
        <f t="shared" si="3"/>
        <v>-0.125</v>
      </c>
      <c r="P28" s="1" t="s">
        <v>26</v>
      </c>
      <c r="Q28" s="1" t="s">
        <v>25</v>
      </c>
      <c r="R28" s="1" t="s">
        <v>28</v>
      </c>
      <c r="S28" s="1" t="s">
        <v>26</v>
      </c>
      <c r="T28" s="2">
        <f t="shared" si="4"/>
        <v>6.25</v>
      </c>
      <c r="U28" s="3">
        <f t="shared" si="5"/>
        <v>-8.3333333333333037E-2</v>
      </c>
      <c r="V28" s="1" t="s">
        <v>24</v>
      </c>
      <c r="W28" s="1" t="s">
        <v>26</v>
      </c>
      <c r="X28" s="1" t="s">
        <v>27</v>
      </c>
      <c r="Y28" s="1" t="s">
        <v>28</v>
      </c>
      <c r="Z28" s="2">
        <f t="shared" si="6"/>
        <v>6.4999999999999991</v>
      </c>
      <c r="AA28" s="3">
        <f t="shared" si="7"/>
        <v>0.16666666666666607</v>
      </c>
      <c r="AB28" s="1" t="s">
        <v>28</v>
      </c>
      <c r="AC28" s="1" t="s">
        <v>24</v>
      </c>
      <c r="AE28" s="3">
        <f t="shared" si="8"/>
        <v>0</v>
      </c>
    </row>
    <row r="29" spans="1:31">
      <c r="A29" t="s">
        <v>115</v>
      </c>
      <c r="B29" s="4" t="s">
        <v>116</v>
      </c>
      <c r="C29" t="s">
        <v>117</v>
      </c>
      <c r="D29" s="1" t="s">
        <v>47</v>
      </c>
      <c r="E29" s="1" t="s">
        <v>26</v>
      </c>
      <c r="F29" s="1" t="s">
        <v>26</v>
      </c>
      <c r="G29" s="1" t="s">
        <v>28</v>
      </c>
      <c r="H29" s="2">
        <f t="shared" si="0"/>
        <v>6.2916666666666661</v>
      </c>
      <c r="I29" s="3">
        <f t="shared" si="1"/>
        <v>-4.1666666666666963E-2</v>
      </c>
      <c r="J29" s="1" t="s">
        <v>26</v>
      </c>
      <c r="K29" s="1" t="s">
        <v>24</v>
      </c>
      <c r="L29" s="1" t="s">
        <v>26</v>
      </c>
      <c r="M29" s="1" t="s">
        <v>27</v>
      </c>
      <c r="N29" s="2">
        <f t="shared" si="2"/>
        <v>6.7916666666666661</v>
      </c>
      <c r="O29" s="3">
        <f t="shared" si="3"/>
        <v>0.45833333333333304</v>
      </c>
      <c r="P29" s="1" t="s">
        <v>28</v>
      </c>
      <c r="Q29" s="1" t="s">
        <v>28</v>
      </c>
      <c r="R29" s="1" t="s">
        <v>24</v>
      </c>
      <c r="S29" s="1" t="s">
        <v>26</v>
      </c>
      <c r="T29" s="2">
        <f t="shared" si="4"/>
        <v>6.25</v>
      </c>
      <c r="U29" s="3">
        <f t="shared" si="5"/>
        <v>-8.3333333333333037E-2</v>
      </c>
      <c r="V29" s="1" t="s">
        <v>24</v>
      </c>
      <c r="W29" s="1" t="s">
        <v>24</v>
      </c>
      <c r="X29" s="1" t="s">
        <v>25</v>
      </c>
      <c r="Y29" s="1" t="s">
        <v>26</v>
      </c>
      <c r="Z29" s="2">
        <f t="shared" si="6"/>
        <v>6.208333333333333</v>
      </c>
      <c r="AA29" s="3">
        <f t="shared" si="7"/>
        <v>-0.125</v>
      </c>
      <c r="AB29" s="1" t="s">
        <v>24</v>
      </c>
      <c r="AC29" s="1" t="s">
        <v>26</v>
      </c>
      <c r="AE29" s="3">
        <f t="shared" si="8"/>
        <v>0.20833333333333304</v>
      </c>
    </row>
    <row r="30" spans="1:31">
      <c r="A30" t="s">
        <v>118</v>
      </c>
      <c r="B30" s="4" t="s">
        <v>119</v>
      </c>
      <c r="C30" t="s">
        <v>120</v>
      </c>
      <c r="D30" s="1" t="s">
        <v>26</v>
      </c>
      <c r="E30" s="1" t="s">
        <v>27</v>
      </c>
      <c r="F30" s="1" t="s">
        <v>28</v>
      </c>
      <c r="G30" s="1" t="s">
        <v>28</v>
      </c>
      <c r="H30" s="2">
        <f t="shared" si="0"/>
        <v>6.3749999999999991</v>
      </c>
      <c r="I30" s="3">
        <f t="shared" si="1"/>
        <v>4.1666666666666075E-2</v>
      </c>
      <c r="J30" s="1" t="s">
        <v>24</v>
      </c>
      <c r="K30" s="1" t="s">
        <v>26</v>
      </c>
      <c r="L30" s="1" t="s">
        <v>24</v>
      </c>
      <c r="M30" s="1" t="s">
        <v>24</v>
      </c>
      <c r="N30" s="2">
        <f t="shared" si="2"/>
        <v>6.4999999999999991</v>
      </c>
      <c r="O30" s="3">
        <f t="shared" si="3"/>
        <v>0.16666666666666607</v>
      </c>
      <c r="P30" s="1" t="s">
        <v>25</v>
      </c>
      <c r="Q30" s="1" t="s">
        <v>26</v>
      </c>
      <c r="R30" s="1" t="s">
        <v>26</v>
      </c>
      <c r="S30" s="1" t="s">
        <v>26</v>
      </c>
      <c r="T30" s="2">
        <f t="shared" si="4"/>
        <v>6.541666666666667</v>
      </c>
      <c r="U30" s="3">
        <f t="shared" si="5"/>
        <v>0.20833333333333393</v>
      </c>
      <c r="V30" s="1" t="s">
        <v>28</v>
      </c>
      <c r="W30" s="1" t="s">
        <v>26</v>
      </c>
      <c r="X30" s="1" t="s">
        <v>28</v>
      </c>
      <c r="Y30" s="1" t="s">
        <v>26</v>
      </c>
      <c r="Z30" s="2">
        <f t="shared" si="6"/>
        <v>6.4166666666666661</v>
      </c>
      <c r="AA30" s="3">
        <f t="shared" si="7"/>
        <v>8.3333333333333037E-2</v>
      </c>
      <c r="AB30" s="1" t="s">
        <v>26</v>
      </c>
      <c r="AC30" s="1" t="s">
        <v>26</v>
      </c>
      <c r="AE30" s="3">
        <f t="shared" si="8"/>
        <v>0.49999999999999911</v>
      </c>
    </row>
    <row r="31" spans="1:31">
      <c r="A31" t="s">
        <v>121</v>
      </c>
      <c r="B31" s="4" t="s">
        <v>122</v>
      </c>
      <c r="C31" t="s">
        <v>123</v>
      </c>
      <c r="D31" s="1" t="s">
        <v>26</v>
      </c>
      <c r="E31" s="1" t="s">
        <v>24</v>
      </c>
      <c r="F31" s="1" t="s">
        <v>24</v>
      </c>
      <c r="G31" s="1" t="s">
        <v>25</v>
      </c>
      <c r="H31" s="2">
        <f t="shared" si="0"/>
        <v>6.208333333333333</v>
      </c>
      <c r="I31" s="3">
        <f t="shared" si="1"/>
        <v>-0.125</v>
      </c>
      <c r="J31" s="1" t="s">
        <v>26</v>
      </c>
      <c r="K31" s="1" t="s">
        <v>47</v>
      </c>
      <c r="L31" s="1" t="s">
        <v>47</v>
      </c>
      <c r="M31" s="1" t="s">
        <v>26</v>
      </c>
      <c r="N31" s="2">
        <f t="shared" si="2"/>
        <v>6.1666666666666661</v>
      </c>
      <c r="O31" s="3">
        <f t="shared" si="3"/>
        <v>-0.16666666666666696</v>
      </c>
      <c r="P31" s="1" t="s">
        <v>26</v>
      </c>
      <c r="Q31" s="1" t="s">
        <v>28</v>
      </c>
      <c r="R31" s="1" t="s">
        <v>26</v>
      </c>
      <c r="S31" s="1" t="s">
        <v>26</v>
      </c>
      <c r="T31" s="2">
        <f t="shared" si="4"/>
        <v>6.708333333333333</v>
      </c>
      <c r="U31" s="3">
        <f t="shared" si="5"/>
        <v>0.375</v>
      </c>
      <c r="V31" s="1" t="s">
        <v>28</v>
      </c>
      <c r="W31" s="1" t="s">
        <v>24</v>
      </c>
      <c r="X31" s="1" t="s">
        <v>24</v>
      </c>
      <c r="Y31" s="1" t="s">
        <v>25</v>
      </c>
      <c r="Z31" s="2">
        <f t="shared" si="6"/>
        <v>5.916666666666667</v>
      </c>
      <c r="AA31" s="3">
        <f t="shared" si="7"/>
        <v>-0.41666666666666607</v>
      </c>
      <c r="AB31" s="1" t="s">
        <v>26</v>
      </c>
      <c r="AC31" s="1" t="s">
        <v>24</v>
      </c>
      <c r="AE31" s="3">
        <f t="shared" si="8"/>
        <v>-0.33333333333333304</v>
      </c>
    </row>
    <row r="32" spans="1:31">
      <c r="A32" t="s">
        <v>124</v>
      </c>
      <c r="B32" s="4" t="s">
        <v>125</v>
      </c>
      <c r="C32" t="s">
        <v>126</v>
      </c>
      <c r="D32" s="1" t="s">
        <v>26</v>
      </c>
      <c r="E32" s="1" t="s">
        <v>24</v>
      </c>
      <c r="F32" s="1" t="s">
        <v>26</v>
      </c>
      <c r="G32" s="1" t="s">
        <v>28</v>
      </c>
      <c r="H32" s="2">
        <f t="shared" si="0"/>
        <v>6.5416666666666661</v>
      </c>
      <c r="I32" s="3">
        <f t="shared" si="1"/>
        <v>0.20833333333333304</v>
      </c>
      <c r="J32" s="1" t="s">
        <v>24</v>
      </c>
      <c r="K32" s="1" t="s">
        <v>26</v>
      </c>
      <c r="L32" s="1" t="s">
        <v>24</v>
      </c>
      <c r="M32" s="1" t="s">
        <v>24</v>
      </c>
      <c r="N32" s="2">
        <f t="shared" si="2"/>
        <v>6.4999999999999991</v>
      </c>
      <c r="O32" s="3">
        <f t="shared" si="3"/>
        <v>0.16666666666666607</v>
      </c>
      <c r="P32" s="1" t="s">
        <v>25</v>
      </c>
      <c r="Q32" s="1" t="s">
        <v>26</v>
      </c>
      <c r="R32" s="1" t="s">
        <v>24</v>
      </c>
      <c r="S32" s="1" t="s">
        <v>26</v>
      </c>
      <c r="T32" s="2">
        <f t="shared" si="4"/>
        <v>6.375</v>
      </c>
      <c r="U32" s="3">
        <f t="shared" si="5"/>
        <v>4.1666666666666963E-2</v>
      </c>
      <c r="V32" s="1" t="s">
        <v>58</v>
      </c>
      <c r="W32" s="1" t="s">
        <v>28</v>
      </c>
      <c r="X32" s="1" t="s">
        <v>28</v>
      </c>
      <c r="Y32" s="1" t="s">
        <v>24</v>
      </c>
      <c r="Z32" s="2">
        <f t="shared" si="6"/>
        <v>5.9166666666666661</v>
      </c>
      <c r="AA32" s="3">
        <f t="shared" si="7"/>
        <v>-0.41666666666666696</v>
      </c>
      <c r="AB32" s="1" t="s">
        <v>26</v>
      </c>
      <c r="AC32" s="1" t="s">
        <v>24</v>
      </c>
      <c r="AE32" s="3">
        <f t="shared" si="8"/>
        <v>-8.8817841970012523E-16</v>
      </c>
    </row>
    <row r="33" spans="1:31">
      <c r="A33" t="s">
        <v>127</v>
      </c>
      <c r="B33" s="4" t="s">
        <v>128</v>
      </c>
      <c r="C33" t="s">
        <v>129</v>
      </c>
      <c r="D33" s="1" t="s">
        <v>47</v>
      </c>
      <c r="E33" s="1" t="s">
        <v>26</v>
      </c>
      <c r="F33" s="1" t="s">
        <v>26</v>
      </c>
      <c r="G33" s="1" t="s">
        <v>47</v>
      </c>
      <c r="H33" s="2">
        <f t="shared" si="0"/>
        <v>6.1666666666666661</v>
      </c>
      <c r="I33" s="3">
        <f t="shared" si="1"/>
        <v>-0.16666666666666696</v>
      </c>
      <c r="J33" s="1" t="s">
        <v>25</v>
      </c>
      <c r="K33" s="1" t="s">
        <v>24</v>
      </c>
      <c r="L33" s="1" t="s">
        <v>26</v>
      </c>
      <c r="M33" s="1" t="s">
        <v>24</v>
      </c>
      <c r="N33" s="2">
        <f t="shared" si="2"/>
        <v>6.208333333333333</v>
      </c>
      <c r="O33" s="3">
        <f t="shared" si="3"/>
        <v>-0.125</v>
      </c>
      <c r="P33" s="1" t="s">
        <v>24</v>
      </c>
      <c r="Q33" s="1" t="s">
        <v>130</v>
      </c>
      <c r="R33" s="1" t="s">
        <v>26</v>
      </c>
      <c r="S33" s="1" t="s">
        <v>24</v>
      </c>
      <c r="T33" s="2">
        <f t="shared" si="4"/>
        <v>5.9166666666666661</v>
      </c>
      <c r="U33" s="3">
        <f t="shared" si="5"/>
        <v>-0.41666666666666696</v>
      </c>
      <c r="V33" s="1" t="s">
        <v>26</v>
      </c>
      <c r="W33" s="1" t="s">
        <v>26</v>
      </c>
      <c r="X33" s="1" t="s">
        <v>26</v>
      </c>
      <c r="Y33" s="1" t="s">
        <v>28</v>
      </c>
      <c r="Z33" s="2">
        <f t="shared" si="6"/>
        <v>6.708333333333333</v>
      </c>
      <c r="AA33" s="3">
        <f t="shared" si="7"/>
        <v>0.375</v>
      </c>
      <c r="AB33" s="1" t="s">
        <v>26</v>
      </c>
      <c r="AC33" s="1" t="s">
        <v>26</v>
      </c>
      <c r="AE33" s="3">
        <f t="shared" si="8"/>
        <v>-0.33333333333333393</v>
      </c>
    </row>
  </sheetData>
  <conditionalFormatting sqref="I2:I33">
    <cfRule type="cellIs" dxfId="5" priority="7" operator="greaterThan">
      <formula>0</formula>
    </cfRule>
  </conditionalFormatting>
  <conditionalFormatting sqref="O2:O33">
    <cfRule type="cellIs" dxfId="4" priority="6" operator="greaterThan">
      <formula>0</formula>
    </cfRule>
  </conditionalFormatting>
  <conditionalFormatting sqref="U2:U33">
    <cfRule type="cellIs" dxfId="3" priority="5" operator="greaterThan">
      <formula>0</formula>
    </cfRule>
  </conditionalFormatting>
  <conditionalFormatting sqref="AA2:AA33">
    <cfRule type="cellIs" dxfId="2" priority="3" operator="greaterThan">
      <formula>0</formula>
    </cfRule>
  </conditionalFormatting>
  <conditionalFormatting sqref="AA2:AA33">
    <cfRule type="cellIs" dxfId="1" priority="2" operator="greaterThan">
      <formula>0</formula>
    </cfRule>
  </conditionalFormatting>
  <conditionalFormatting sqref="AE2:AE33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2"/>
  <sheetViews>
    <sheetView showRuler="0" zoomScale="70" zoomScaleNormal="70" workbookViewId="0"/>
  </sheetViews>
  <sheetFormatPr defaultRowHeight="15"/>
  <cols>
    <col min="1" max="1" width="3" bestFit="1" customWidth="1"/>
    <col min="2" max="2" width="11.140625" bestFit="1" customWidth="1"/>
    <col min="3" max="3" width="13.85546875" bestFit="1" customWidth="1"/>
    <col min="4" max="4" width="21.7109375" bestFit="1" customWidth="1"/>
    <col min="5" max="5" width="18.42578125" bestFit="1" customWidth="1"/>
    <col min="6" max="6" width="20.140625" bestFit="1" customWidth="1"/>
    <col min="7" max="7" width="20.7109375" bestFit="1" customWidth="1"/>
    <col min="8" max="9" width="21.42578125" bestFit="1" customWidth="1"/>
    <col min="10" max="10" width="20.7109375" bestFit="1" customWidth="1"/>
    <col min="11" max="11" width="14.5703125" bestFit="1" customWidth="1"/>
    <col min="12" max="12" width="21.42578125" bestFit="1" customWidth="1"/>
    <col min="13" max="13" width="16.42578125" bestFit="1" customWidth="1"/>
    <col min="14" max="14" width="14.5703125" bestFit="1" customWidth="1"/>
    <col min="15" max="15" width="15.140625" bestFit="1" customWidth="1"/>
    <col min="16" max="16" width="17.85546875" bestFit="1" customWidth="1"/>
    <col min="17" max="19" width="14.5703125" bestFit="1" customWidth="1"/>
    <col min="20" max="20" width="15.140625" bestFit="1" customWidth="1"/>
    <col min="21" max="21" width="14.5703125" bestFit="1" customWidth="1"/>
  </cols>
  <sheetData>
    <row r="1" spans="1:21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>
      <c r="A2" t="s">
        <v>21</v>
      </c>
      <c r="B2" t="s">
        <v>22</v>
      </c>
      <c r="C2" t="s">
        <v>23</v>
      </c>
      <c r="D2" t="s">
        <v>330</v>
      </c>
      <c r="E2" t="s">
        <v>335</v>
      </c>
      <c r="F2" t="s">
        <v>270</v>
      </c>
      <c r="G2" t="s">
        <v>334</v>
      </c>
      <c r="H2" t="s">
        <v>161</v>
      </c>
      <c r="I2" t="s">
        <v>333</v>
      </c>
      <c r="J2" t="s">
        <v>179</v>
      </c>
      <c r="K2" t="s">
        <v>183</v>
      </c>
      <c r="L2" t="s">
        <v>150</v>
      </c>
      <c r="M2" t="s">
        <v>332</v>
      </c>
      <c r="N2" t="s">
        <v>331</v>
      </c>
      <c r="O2" t="s">
        <v>330</v>
      </c>
      <c r="P2" t="s">
        <v>329</v>
      </c>
      <c r="Q2" t="s">
        <v>156</v>
      </c>
      <c r="R2" t="s">
        <v>162</v>
      </c>
      <c r="S2" t="s">
        <v>161</v>
      </c>
      <c r="T2" t="s">
        <v>328</v>
      </c>
      <c r="U2" t="s">
        <v>179</v>
      </c>
    </row>
    <row r="3" spans="1:21">
      <c r="A3" t="s">
        <v>29</v>
      </c>
      <c r="B3" t="s">
        <v>30</v>
      </c>
      <c r="C3" t="s">
        <v>31</v>
      </c>
      <c r="D3" t="s">
        <v>327</v>
      </c>
      <c r="E3" t="s">
        <v>326</v>
      </c>
      <c r="F3" t="s">
        <v>191</v>
      </c>
      <c r="G3" t="s">
        <v>154</v>
      </c>
      <c r="H3" t="s">
        <v>325</v>
      </c>
      <c r="I3" t="s">
        <v>324</v>
      </c>
      <c r="J3" t="s">
        <v>323</v>
      </c>
      <c r="K3" t="s">
        <v>300</v>
      </c>
      <c r="L3" t="s">
        <v>299</v>
      </c>
      <c r="M3" t="s">
        <v>322</v>
      </c>
      <c r="N3" t="s">
        <v>141</v>
      </c>
      <c r="O3" t="s">
        <v>176</v>
      </c>
      <c r="P3" t="s">
        <v>270</v>
      </c>
      <c r="Q3" t="s">
        <v>162</v>
      </c>
      <c r="R3" t="s">
        <v>161</v>
      </c>
      <c r="S3" t="s">
        <v>181</v>
      </c>
      <c r="T3" t="s">
        <v>179</v>
      </c>
      <c r="U3" t="s">
        <v>183</v>
      </c>
    </row>
    <row r="4" spans="1:21">
      <c r="A4" t="s">
        <v>33</v>
      </c>
      <c r="B4" t="s">
        <v>34</v>
      </c>
      <c r="C4" t="s">
        <v>35</v>
      </c>
      <c r="D4" t="s">
        <v>321</v>
      </c>
      <c r="E4" t="s">
        <v>320</v>
      </c>
      <c r="F4" t="s">
        <v>157</v>
      </c>
      <c r="G4" t="s">
        <v>319</v>
      </c>
      <c r="H4" t="s">
        <v>221</v>
      </c>
      <c r="I4" t="s">
        <v>141</v>
      </c>
      <c r="J4" t="s">
        <v>318</v>
      </c>
      <c r="K4" t="s">
        <v>156</v>
      </c>
      <c r="L4" t="s">
        <v>162</v>
      </c>
      <c r="M4" t="s">
        <v>317</v>
      </c>
      <c r="N4" t="s">
        <v>207</v>
      </c>
      <c r="O4" t="s">
        <v>179</v>
      </c>
      <c r="P4" t="s">
        <v>151</v>
      </c>
      <c r="Q4" t="s">
        <v>150</v>
      </c>
      <c r="R4" t="s">
        <v>142</v>
      </c>
      <c r="S4" t="s">
        <v>149</v>
      </c>
      <c r="T4" t="s">
        <v>141</v>
      </c>
      <c r="U4" t="s">
        <v>140</v>
      </c>
    </row>
    <row r="5" spans="1:21">
      <c r="A5" t="s">
        <v>37</v>
      </c>
      <c r="B5" t="s">
        <v>38</v>
      </c>
      <c r="C5" t="s">
        <v>39</v>
      </c>
      <c r="D5" t="s">
        <v>142</v>
      </c>
      <c r="E5" t="s">
        <v>154</v>
      </c>
      <c r="F5" t="s">
        <v>141</v>
      </c>
      <c r="G5" t="s">
        <v>145</v>
      </c>
      <c r="H5" t="s">
        <v>141</v>
      </c>
      <c r="I5" t="s">
        <v>140</v>
      </c>
      <c r="J5" t="s">
        <v>316</v>
      </c>
      <c r="K5" t="s">
        <v>315</v>
      </c>
      <c r="L5" t="s">
        <v>161</v>
      </c>
      <c r="M5" t="s">
        <v>314</v>
      </c>
      <c r="N5" t="s">
        <v>179</v>
      </c>
      <c r="O5" t="s">
        <v>246</v>
      </c>
      <c r="P5" t="s">
        <v>237</v>
      </c>
      <c r="Q5" t="s">
        <v>142</v>
      </c>
      <c r="R5" t="s">
        <v>149</v>
      </c>
      <c r="S5" t="s">
        <v>141</v>
      </c>
      <c r="T5" t="s">
        <v>140</v>
      </c>
      <c r="U5" t="s">
        <v>156</v>
      </c>
    </row>
    <row r="6" spans="1:21">
      <c r="A6" t="s">
        <v>40</v>
      </c>
      <c r="B6" t="s">
        <v>41</v>
      </c>
      <c r="C6" t="s">
        <v>42</v>
      </c>
      <c r="D6" t="s">
        <v>219</v>
      </c>
      <c r="E6" t="s">
        <v>182</v>
      </c>
      <c r="F6" t="s">
        <v>154</v>
      </c>
      <c r="G6" t="s">
        <v>141</v>
      </c>
      <c r="H6" t="s">
        <v>203</v>
      </c>
      <c r="I6" t="s">
        <v>157</v>
      </c>
      <c r="J6" t="s">
        <v>175</v>
      </c>
      <c r="K6" t="s">
        <v>313</v>
      </c>
      <c r="L6" t="s">
        <v>181</v>
      </c>
      <c r="M6" t="s">
        <v>179</v>
      </c>
      <c r="N6" t="s">
        <v>178</v>
      </c>
      <c r="O6" t="s">
        <v>188</v>
      </c>
      <c r="P6" t="s">
        <v>182</v>
      </c>
      <c r="Q6" t="s">
        <v>149</v>
      </c>
      <c r="R6" t="s">
        <v>141</v>
      </c>
      <c r="S6" t="s">
        <v>140</v>
      </c>
      <c r="T6" t="s">
        <v>156</v>
      </c>
      <c r="U6" t="s">
        <v>162</v>
      </c>
    </row>
    <row r="7" spans="1:21">
      <c r="A7" t="s">
        <v>43</v>
      </c>
      <c r="B7" t="s">
        <v>44</v>
      </c>
      <c r="C7" t="s">
        <v>45</v>
      </c>
      <c r="D7" t="s">
        <v>312</v>
      </c>
      <c r="E7" t="s">
        <v>311</v>
      </c>
      <c r="F7" t="s">
        <v>310</v>
      </c>
      <c r="G7" t="s">
        <v>309</v>
      </c>
      <c r="H7" t="s">
        <v>250</v>
      </c>
      <c r="I7" t="s">
        <v>308</v>
      </c>
      <c r="J7" t="s">
        <v>307</v>
      </c>
      <c r="K7" t="s">
        <v>306</v>
      </c>
      <c r="L7" t="s">
        <v>305</v>
      </c>
      <c r="M7" t="s">
        <v>304</v>
      </c>
      <c r="N7" t="s">
        <v>145</v>
      </c>
      <c r="O7" t="s">
        <v>158</v>
      </c>
      <c r="P7" t="s">
        <v>303</v>
      </c>
      <c r="Q7" t="s">
        <v>132</v>
      </c>
      <c r="R7" t="s">
        <v>131</v>
      </c>
      <c r="S7" t="s">
        <v>172</v>
      </c>
      <c r="T7" t="s">
        <v>135</v>
      </c>
      <c r="U7" t="s">
        <v>134</v>
      </c>
    </row>
    <row r="8" spans="1:21">
      <c r="A8" t="s">
        <v>50</v>
      </c>
      <c r="B8" t="s">
        <v>44</v>
      </c>
      <c r="C8" t="s">
        <v>51</v>
      </c>
      <c r="D8" t="s">
        <v>262</v>
      </c>
      <c r="E8" t="s">
        <v>302</v>
      </c>
      <c r="F8" t="s">
        <v>142</v>
      </c>
      <c r="G8" t="s">
        <v>301</v>
      </c>
      <c r="H8" t="s">
        <v>193</v>
      </c>
      <c r="I8" t="s">
        <v>179</v>
      </c>
      <c r="J8" t="s">
        <v>183</v>
      </c>
      <c r="K8" t="s">
        <v>300</v>
      </c>
      <c r="L8" t="s">
        <v>299</v>
      </c>
      <c r="M8" t="s">
        <v>174</v>
      </c>
      <c r="N8" t="s">
        <v>146</v>
      </c>
      <c r="O8" t="s">
        <v>298</v>
      </c>
      <c r="P8" t="s">
        <v>297</v>
      </c>
      <c r="Q8" t="s">
        <v>133</v>
      </c>
      <c r="R8" t="s">
        <v>132</v>
      </c>
      <c r="S8" t="s">
        <v>131</v>
      </c>
      <c r="T8" t="s">
        <v>172</v>
      </c>
      <c r="U8" t="s">
        <v>135</v>
      </c>
    </row>
    <row r="9" spans="1:21">
      <c r="A9" t="s">
        <v>52</v>
      </c>
      <c r="B9" t="s">
        <v>53</v>
      </c>
      <c r="C9" t="s">
        <v>54</v>
      </c>
      <c r="D9" t="s">
        <v>270</v>
      </c>
      <c r="E9" t="s">
        <v>249</v>
      </c>
      <c r="F9" t="s">
        <v>174</v>
      </c>
      <c r="G9" t="s">
        <v>146</v>
      </c>
      <c r="H9" t="s">
        <v>296</v>
      </c>
      <c r="I9" t="s">
        <v>151</v>
      </c>
      <c r="J9" t="s">
        <v>143</v>
      </c>
      <c r="K9" t="s">
        <v>142</v>
      </c>
      <c r="L9" t="s">
        <v>149</v>
      </c>
      <c r="M9" t="s">
        <v>148</v>
      </c>
      <c r="N9" t="s">
        <v>176</v>
      </c>
      <c r="O9" t="s">
        <v>270</v>
      </c>
      <c r="P9" t="s">
        <v>138</v>
      </c>
      <c r="Q9" t="s">
        <v>161</v>
      </c>
      <c r="R9" t="s">
        <v>181</v>
      </c>
      <c r="S9" t="s">
        <v>179</v>
      </c>
      <c r="T9" t="s">
        <v>183</v>
      </c>
      <c r="U9" t="s">
        <v>150</v>
      </c>
    </row>
    <row r="10" spans="1:21">
      <c r="A10" t="s">
        <v>55</v>
      </c>
      <c r="B10" t="s">
        <v>56</v>
      </c>
      <c r="C10" t="s">
        <v>57</v>
      </c>
      <c r="D10" t="s">
        <v>154</v>
      </c>
      <c r="E10" t="s">
        <v>180</v>
      </c>
      <c r="F10" t="s">
        <v>159</v>
      </c>
      <c r="G10" t="s">
        <v>158</v>
      </c>
      <c r="H10" t="s">
        <v>157</v>
      </c>
      <c r="I10" t="s">
        <v>142</v>
      </c>
      <c r="J10" t="s">
        <v>149</v>
      </c>
      <c r="K10" t="s">
        <v>141</v>
      </c>
      <c r="L10" t="s">
        <v>295</v>
      </c>
      <c r="M10" t="s">
        <v>156</v>
      </c>
      <c r="N10" t="s">
        <v>213</v>
      </c>
      <c r="O10" t="s">
        <v>154</v>
      </c>
      <c r="P10" t="s">
        <v>160</v>
      </c>
      <c r="Q10" t="s">
        <v>179</v>
      </c>
      <c r="R10" t="s">
        <v>183</v>
      </c>
      <c r="S10" t="s">
        <v>150</v>
      </c>
      <c r="T10" t="s">
        <v>142</v>
      </c>
      <c r="U10" t="s">
        <v>149</v>
      </c>
    </row>
    <row r="11" spans="1:21">
      <c r="A11" t="s">
        <v>59</v>
      </c>
      <c r="B11" t="s">
        <v>60</v>
      </c>
      <c r="C11" t="s">
        <v>61</v>
      </c>
      <c r="D11" t="s">
        <v>175</v>
      </c>
      <c r="E11" t="s">
        <v>174</v>
      </c>
      <c r="F11" t="s">
        <v>160</v>
      </c>
      <c r="G11" t="s">
        <v>179</v>
      </c>
      <c r="H11" t="s">
        <v>183</v>
      </c>
      <c r="I11" t="s">
        <v>143</v>
      </c>
      <c r="J11" t="s">
        <v>142</v>
      </c>
      <c r="K11" t="s">
        <v>294</v>
      </c>
      <c r="L11" t="s">
        <v>141</v>
      </c>
      <c r="M11" t="s">
        <v>293</v>
      </c>
      <c r="N11" t="s">
        <v>156</v>
      </c>
      <c r="O11" t="s">
        <v>236</v>
      </c>
      <c r="P11" t="s">
        <v>154</v>
      </c>
      <c r="Q11" t="s">
        <v>181</v>
      </c>
      <c r="R11" t="s">
        <v>179</v>
      </c>
      <c r="S11" t="s">
        <v>183</v>
      </c>
      <c r="T11" t="s">
        <v>150</v>
      </c>
      <c r="U11" t="s">
        <v>142</v>
      </c>
    </row>
    <row r="12" spans="1:21">
      <c r="A12" t="s">
        <v>62</v>
      </c>
      <c r="B12" t="s">
        <v>63</v>
      </c>
      <c r="C12" t="s">
        <v>54</v>
      </c>
      <c r="D12" t="s">
        <v>175</v>
      </c>
      <c r="E12" t="s">
        <v>292</v>
      </c>
      <c r="F12" t="s">
        <v>291</v>
      </c>
      <c r="G12" t="s">
        <v>290</v>
      </c>
      <c r="H12" t="s">
        <v>156</v>
      </c>
      <c r="I12" t="s">
        <v>218</v>
      </c>
      <c r="J12" t="s">
        <v>161</v>
      </c>
      <c r="K12" t="s">
        <v>289</v>
      </c>
      <c r="L12" t="s">
        <v>288</v>
      </c>
      <c r="M12" t="s">
        <v>287</v>
      </c>
      <c r="N12" t="s">
        <v>156</v>
      </c>
      <c r="O12" t="s">
        <v>286</v>
      </c>
      <c r="P12" t="s">
        <v>221</v>
      </c>
      <c r="Q12" t="s">
        <v>172</v>
      </c>
      <c r="R12" t="s">
        <v>135</v>
      </c>
      <c r="S12" t="s">
        <v>134</v>
      </c>
      <c r="T12" t="s">
        <v>133</v>
      </c>
      <c r="U12" t="s">
        <v>132</v>
      </c>
    </row>
    <row r="13" spans="1:21">
      <c r="A13" t="s">
        <v>66</v>
      </c>
      <c r="B13" t="s">
        <v>67</v>
      </c>
      <c r="C13" t="s">
        <v>68</v>
      </c>
      <c r="D13" t="s">
        <v>285</v>
      </c>
      <c r="E13" t="s">
        <v>284</v>
      </c>
      <c r="F13" t="s">
        <v>283</v>
      </c>
      <c r="G13" t="s">
        <v>282</v>
      </c>
      <c r="H13" t="s">
        <v>281</v>
      </c>
      <c r="I13" t="s">
        <v>240</v>
      </c>
      <c r="J13" t="s">
        <v>240</v>
      </c>
      <c r="K13" t="s">
        <v>240</v>
      </c>
      <c r="L13" t="s">
        <v>239</v>
      </c>
      <c r="M13" t="s">
        <v>280</v>
      </c>
      <c r="N13" t="s">
        <v>279</v>
      </c>
      <c r="O13" t="s">
        <v>278</v>
      </c>
      <c r="P13" t="s">
        <v>277</v>
      </c>
      <c r="Q13" t="s">
        <v>135</v>
      </c>
      <c r="R13" t="s">
        <v>134</v>
      </c>
      <c r="S13" t="s">
        <v>133</v>
      </c>
      <c r="T13" t="s">
        <v>132</v>
      </c>
      <c r="U13" t="s">
        <v>131</v>
      </c>
    </row>
    <row r="14" spans="1:21">
      <c r="A14" t="s">
        <v>71</v>
      </c>
      <c r="B14" t="s">
        <v>67</v>
      </c>
      <c r="C14" t="s">
        <v>72</v>
      </c>
      <c r="D14" t="s">
        <v>218</v>
      </c>
      <c r="E14" t="s">
        <v>154</v>
      </c>
      <c r="F14" t="s">
        <v>180</v>
      </c>
      <c r="G14" t="s">
        <v>179</v>
      </c>
      <c r="H14" t="s">
        <v>276</v>
      </c>
      <c r="I14" t="s">
        <v>275</v>
      </c>
      <c r="J14" t="s">
        <v>274</v>
      </c>
      <c r="K14" t="s">
        <v>149</v>
      </c>
      <c r="L14" t="s">
        <v>141</v>
      </c>
      <c r="M14" t="s">
        <v>208</v>
      </c>
      <c r="N14" t="s">
        <v>273</v>
      </c>
      <c r="O14" t="s">
        <v>237</v>
      </c>
      <c r="P14" t="s">
        <v>272</v>
      </c>
      <c r="Q14" t="s">
        <v>161</v>
      </c>
      <c r="R14" t="s">
        <v>181</v>
      </c>
      <c r="S14" t="s">
        <v>179</v>
      </c>
      <c r="T14" t="s">
        <v>183</v>
      </c>
      <c r="U14" t="s">
        <v>150</v>
      </c>
    </row>
    <row r="15" spans="1:21">
      <c r="A15" t="s">
        <v>73</v>
      </c>
      <c r="B15" t="s">
        <v>74</v>
      </c>
      <c r="C15" t="s">
        <v>75</v>
      </c>
      <c r="D15" t="s">
        <v>141</v>
      </c>
      <c r="E15" t="s">
        <v>271</v>
      </c>
      <c r="F15" t="s">
        <v>270</v>
      </c>
      <c r="G15" t="s">
        <v>218</v>
      </c>
      <c r="H15" t="s">
        <v>161</v>
      </c>
      <c r="I15" t="s">
        <v>181</v>
      </c>
      <c r="J15" t="s">
        <v>159</v>
      </c>
      <c r="K15" t="s">
        <v>158</v>
      </c>
      <c r="L15" t="s">
        <v>157</v>
      </c>
      <c r="M15" t="s">
        <v>182</v>
      </c>
      <c r="N15" t="s">
        <v>154</v>
      </c>
      <c r="O15" t="s">
        <v>180</v>
      </c>
      <c r="P15" t="s">
        <v>152</v>
      </c>
      <c r="Q15" t="s">
        <v>183</v>
      </c>
      <c r="R15" t="s">
        <v>150</v>
      </c>
      <c r="S15" t="s">
        <v>142</v>
      </c>
      <c r="T15" t="s">
        <v>269</v>
      </c>
      <c r="U15" t="s">
        <v>141</v>
      </c>
    </row>
    <row r="16" spans="1:21">
      <c r="A16" t="s">
        <v>76</v>
      </c>
      <c r="B16" t="s">
        <v>77</v>
      </c>
      <c r="C16" t="s">
        <v>78</v>
      </c>
      <c r="D16" t="s">
        <v>268</v>
      </c>
      <c r="E16" t="s">
        <v>131</v>
      </c>
      <c r="F16" t="s">
        <v>267</v>
      </c>
      <c r="G16" t="s">
        <v>266</v>
      </c>
      <c r="H16" t="s">
        <v>265</v>
      </c>
      <c r="I16" t="s">
        <v>156</v>
      </c>
      <c r="J16" t="s">
        <v>162</v>
      </c>
      <c r="K16" t="s">
        <v>161</v>
      </c>
      <c r="L16" t="s">
        <v>181</v>
      </c>
      <c r="M16" t="s">
        <v>179</v>
      </c>
      <c r="N16" t="s">
        <v>264</v>
      </c>
      <c r="O16" t="s">
        <v>219</v>
      </c>
      <c r="P16" t="s">
        <v>182</v>
      </c>
      <c r="Q16" t="s">
        <v>149</v>
      </c>
      <c r="R16" t="s">
        <v>141</v>
      </c>
      <c r="S16" t="s">
        <v>140</v>
      </c>
      <c r="T16" t="s">
        <v>156</v>
      </c>
      <c r="U16" t="s">
        <v>162</v>
      </c>
    </row>
    <row r="17" spans="1:21">
      <c r="A17" t="s">
        <v>79</v>
      </c>
      <c r="B17" t="s">
        <v>80</v>
      </c>
      <c r="C17" t="s">
        <v>81</v>
      </c>
      <c r="D17" t="s">
        <v>154</v>
      </c>
      <c r="E17" t="s">
        <v>263</v>
      </c>
      <c r="F17" t="s">
        <v>179</v>
      </c>
      <c r="G17" t="s">
        <v>262</v>
      </c>
      <c r="H17" t="s">
        <v>157</v>
      </c>
      <c r="I17" t="s">
        <v>261</v>
      </c>
      <c r="J17" t="s">
        <v>161</v>
      </c>
      <c r="K17" t="s">
        <v>181</v>
      </c>
      <c r="L17" t="s">
        <v>179</v>
      </c>
      <c r="M17" t="s">
        <v>260</v>
      </c>
      <c r="N17" t="s">
        <v>188</v>
      </c>
      <c r="O17" t="s">
        <v>142</v>
      </c>
      <c r="P17" t="s">
        <v>164</v>
      </c>
      <c r="Q17" t="s">
        <v>141</v>
      </c>
      <c r="R17" t="s">
        <v>140</v>
      </c>
      <c r="S17" t="s">
        <v>156</v>
      </c>
      <c r="T17" t="s">
        <v>259</v>
      </c>
      <c r="U17" t="s">
        <v>161</v>
      </c>
    </row>
    <row r="18" spans="1:21">
      <c r="A18" t="s">
        <v>82</v>
      </c>
      <c r="B18" t="s">
        <v>83</v>
      </c>
      <c r="C18" t="s">
        <v>84</v>
      </c>
      <c r="D18" t="s">
        <v>243</v>
      </c>
      <c r="E18" t="s">
        <v>141</v>
      </c>
      <c r="F18" t="s">
        <v>176</v>
      </c>
      <c r="G18" t="s">
        <v>156</v>
      </c>
      <c r="H18" t="s">
        <v>258</v>
      </c>
      <c r="I18" t="s">
        <v>161</v>
      </c>
      <c r="J18" t="s">
        <v>181</v>
      </c>
      <c r="K18" t="s">
        <v>179</v>
      </c>
      <c r="L18" t="s">
        <v>183</v>
      </c>
      <c r="M18" t="s">
        <v>257</v>
      </c>
      <c r="N18" t="s">
        <v>256</v>
      </c>
      <c r="O18" t="s">
        <v>174</v>
      </c>
      <c r="P18" t="s">
        <v>255</v>
      </c>
      <c r="Q18" t="s">
        <v>179</v>
      </c>
      <c r="R18" t="s">
        <v>183</v>
      </c>
      <c r="S18" t="s">
        <v>150</v>
      </c>
      <c r="T18" t="s">
        <v>142</v>
      </c>
      <c r="U18" t="s">
        <v>149</v>
      </c>
    </row>
    <row r="19" spans="1:21">
      <c r="A19" t="s">
        <v>85</v>
      </c>
      <c r="B19" t="s">
        <v>86</v>
      </c>
      <c r="C19" t="s">
        <v>35</v>
      </c>
      <c r="D19" t="s">
        <v>254</v>
      </c>
      <c r="E19" t="s">
        <v>253</v>
      </c>
      <c r="F19" t="s">
        <v>252</v>
      </c>
      <c r="G19" t="s">
        <v>168</v>
      </c>
      <c r="H19" t="s">
        <v>251</v>
      </c>
      <c r="I19" t="s">
        <v>250</v>
      </c>
      <c r="J19" t="s">
        <v>233</v>
      </c>
      <c r="K19" t="s">
        <v>188</v>
      </c>
      <c r="L19" t="s">
        <v>132</v>
      </c>
      <c r="M19" t="s">
        <v>249</v>
      </c>
      <c r="N19" t="s">
        <v>248</v>
      </c>
      <c r="O19" t="s">
        <v>145</v>
      </c>
      <c r="P19" t="s">
        <v>247</v>
      </c>
      <c r="Q19" t="s">
        <v>133</v>
      </c>
      <c r="R19" t="s">
        <v>132</v>
      </c>
      <c r="S19" t="s">
        <v>131</v>
      </c>
      <c r="T19" t="s">
        <v>172</v>
      </c>
      <c r="U19" t="s">
        <v>135</v>
      </c>
    </row>
    <row r="20" spans="1:21">
      <c r="A20" t="s">
        <v>88</v>
      </c>
      <c r="B20" t="s">
        <v>86</v>
      </c>
      <c r="C20" t="s">
        <v>89</v>
      </c>
      <c r="D20" t="s">
        <v>179</v>
      </c>
      <c r="E20" t="s">
        <v>246</v>
      </c>
      <c r="F20" t="s">
        <v>188</v>
      </c>
      <c r="G20" t="s">
        <v>182</v>
      </c>
      <c r="H20" t="s">
        <v>149</v>
      </c>
      <c r="I20" t="s">
        <v>141</v>
      </c>
      <c r="J20" t="s">
        <v>140</v>
      </c>
      <c r="K20" t="s">
        <v>157</v>
      </c>
      <c r="L20" t="s">
        <v>175</v>
      </c>
      <c r="M20" t="s">
        <v>245</v>
      </c>
      <c r="N20" t="s">
        <v>244</v>
      </c>
      <c r="O20" t="s">
        <v>176</v>
      </c>
      <c r="P20" t="s">
        <v>205</v>
      </c>
      <c r="Q20" t="s">
        <v>162</v>
      </c>
      <c r="R20" t="s">
        <v>161</v>
      </c>
      <c r="S20" t="s">
        <v>181</v>
      </c>
      <c r="T20" t="s">
        <v>179</v>
      </c>
      <c r="U20" t="s">
        <v>183</v>
      </c>
    </row>
    <row r="21" spans="1:21">
      <c r="A21" t="s">
        <v>90</v>
      </c>
      <c r="B21" t="s">
        <v>91</v>
      </c>
      <c r="C21" t="s">
        <v>92</v>
      </c>
      <c r="D21" t="s">
        <v>188</v>
      </c>
      <c r="E21" t="s">
        <v>182</v>
      </c>
      <c r="F21" t="s">
        <v>243</v>
      </c>
      <c r="G21" t="s">
        <v>242</v>
      </c>
      <c r="H21" t="s">
        <v>241</v>
      </c>
      <c r="I21" t="s">
        <v>240</v>
      </c>
      <c r="J21" t="s">
        <v>240</v>
      </c>
      <c r="K21" t="s">
        <v>240</v>
      </c>
      <c r="L21" t="s">
        <v>239</v>
      </c>
      <c r="M21" t="s">
        <v>193</v>
      </c>
      <c r="N21" t="s">
        <v>238</v>
      </c>
      <c r="O21" t="s">
        <v>156</v>
      </c>
      <c r="P21" t="s">
        <v>138</v>
      </c>
      <c r="Q21" t="s">
        <v>131</v>
      </c>
      <c r="R21" t="s">
        <v>172</v>
      </c>
      <c r="S21" t="s">
        <v>135</v>
      </c>
      <c r="T21" t="s">
        <v>134</v>
      </c>
      <c r="U21" t="s">
        <v>133</v>
      </c>
    </row>
    <row r="22" spans="1:21">
      <c r="A22" t="s">
        <v>93</v>
      </c>
      <c r="B22" t="s">
        <v>91</v>
      </c>
      <c r="C22" t="s">
        <v>94</v>
      </c>
      <c r="D22" t="s">
        <v>237</v>
      </c>
      <c r="E22" t="s">
        <v>236</v>
      </c>
      <c r="F22" t="s">
        <v>235</v>
      </c>
      <c r="G22" t="s">
        <v>234</v>
      </c>
      <c r="H22" t="s">
        <v>225</v>
      </c>
      <c r="I22" t="s">
        <v>233</v>
      </c>
      <c r="J22" t="s">
        <v>133</v>
      </c>
      <c r="K22" t="s">
        <v>232</v>
      </c>
      <c r="L22" t="s">
        <v>231</v>
      </c>
      <c r="M22" t="s">
        <v>146</v>
      </c>
      <c r="N22" t="s">
        <v>145</v>
      </c>
      <c r="O22" t="s">
        <v>230</v>
      </c>
      <c r="P22" t="s">
        <v>229</v>
      </c>
      <c r="Q22" t="s">
        <v>132</v>
      </c>
      <c r="R22" t="s">
        <v>131</v>
      </c>
      <c r="S22" t="s">
        <v>228</v>
      </c>
      <c r="T22" t="s">
        <v>135</v>
      </c>
      <c r="U22" t="s">
        <v>227</v>
      </c>
    </row>
    <row r="23" spans="1:21">
      <c r="A23" t="s">
        <v>95</v>
      </c>
      <c r="B23" t="s">
        <v>96</v>
      </c>
      <c r="C23" t="s">
        <v>97</v>
      </c>
      <c r="D23" t="s">
        <v>226</v>
      </c>
      <c r="E23" t="s">
        <v>156</v>
      </c>
      <c r="F23" t="s">
        <v>182</v>
      </c>
      <c r="G23" t="s">
        <v>154</v>
      </c>
      <c r="H23" t="s">
        <v>146</v>
      </c>
      <c r="I23" t="s">
        <v>225</v>
      </c>
      <c r="J23" t="s">
        <v>224</v>
      </c>
      <c r="K23" t="s">
        <v>223</v>
      </c>
      <c r="L23" t="s">
        <v>132</v>
      </c>
      <c r="M23" t="s">
        <v>154</v>
      </c>
      <c r="N23" t="s">
        <v>222</v>
      </c>
      <c r="O23" t="s">
        <v>179</v>
      </c>
      <c r="P23" t="s">
        <v>183</v>
      </c>
      <c r="Q23" t="s">
        <v>188</v>
      </c>
      <c r="R23" t="s">
        <v>142</v>
      </c>
      <c r="S23" t="s">
        <v>221</v>
      </c>
      <c r="T23" t="s">
        <v>141</v>
      </c>
      <c r="U23" t="s">
        <v>140</v>
      </c>
    </row>
    <row r="24" spans="1:21">
      <c r="A24" t="s">
        <v>98</v>
      </c>
      <c r="B24" t="s">
        <v>99</v>
      </c>
      <c r="C24" t="s">
        <v>100</v>
      </c>
      <c r="D24" t="s">
        <v>220</v>
      </c>
      <c r="E24" t="s">
        <v>219</v>
      </c>
      <c r="F24" t="s">
        <v>218</v>
      </c>
      <c r="G24" t="s">
        <v>168</v>
      </c>
      <c r="H24" t="s">
        <v>217</v>
      </c>
      <c r="I24" t="s">
        <v>216</v>
      </c>
      <c r="J24" t="s">
        <v>215</v>
      </c>
      <c r="K24" t="s">
        <v>214</v>
      </c>
      <c r="L24" t="s">
        <v>132</v>
      </c>
      <c r="M24" t="s">
        <v>213</v>
      </c>
      <c r="N24" t="s">
        <v>180</v>
      </c>
      <c r="O24" t="s">
        <v>212</v>
      </c>
      <c r="P24" t="s">
        <v>211</v>
      </c>
      <c r="Q24" t="s">
        <v>210</v>
      </c>
      <c r="R24" t="s">
        <v>132</v>
      </c>
      <c r="S24" t="s">
        <v>209</v>
      </c>
      <c r="T24" t="s">
        <v>172</v>
      </c>
      <c r="U24" t="s">
        <v>208</v>
      </c>
    </row>
    <row r="25" spans="1:21">
      <c r="A25" t="s">
        <v>101</v>
      </c>
      <c r="B25" t="s">
        <v>102</v>
      </c>
      <c r="C25" t="s">
        <v>103</v>
      </c>
      <c r="D25" t="s">
        <v>176</v>
      </c>
      <c r="E25" t="s">
        <v>157</v>
      </c>
      <c r="F25" t="s">
        <v>175</v>
      </c>
      <c r="G25" t="s">
        <v>174</v>
      </c>
      <c r="H25" t="s">
        <v>146</v>
      </c>
      <c r="I25" t="s">
        <v>145</v>
      </c>
      <c r="J25" t="s">
        <v>157</v>
      </c>
      <c r="K25" t="s">
        <v>162</v>
      </c>
      <c r="L25" t="s">
        <v>154</v>
      </c>
      <c r="M25" t="s">
        <v>207</v>
      </c>
      <c r="N25" t="s">
        <v>179</v>
      </c>
      <c r="O25" t="s">
        <v>178</v>
      </c>
      <c r="P25" t="s">
        <v>188</v>
      </c>
      <c r="Q25" t="s">
        <v>142</v>
      </c>
      <c r="R25" t="s">
        <v>206</v>
      </c>
      <c r="S25" t="s">
        <v>141</v>
      </c>
      <c r="T25" t="s">
        <v>140</v>
      </c>
      <c r="U25" t="s">
        <v>205</v>
      </c>
    </row>
    <row r="26" spans="1:21">
      <c r="A26" t="s">
        <v>104</v>
      </c>
      <c r="B26" t="s">
        <v>105</v>
      </c>
      <c r="C26" t="s">
        <v>106</v>
      </c>
      <c r="D26" t="s">
        <v>182</v>
      </c>
      <c r="E26" t="s">
        <v>204</v>
      </c>
      <c r="F26" t="s">
        <v>148</v>
      </c>
      <c r="G26" t="s">
        <v>203</v>
      </c>
      <c r="H26" t="s">
        <v>133</v>
      </c>
      <c r="I26" t="s">
        <v>132</v>
      </c>
      <c r="J26" t="s">
        <v>202</v>
      </c>
      <c r="K26" t="s">
        <v>146</v>
      </c>
      <c r="L26" t="s">
        <v>145</v>
      </c>
      <c r="M26" t="s">
        <v>188</v>
      </c>
      <c r="N26" t="s">
        <v>182</v>
      </c>
      <c r="O26" t="s">
        <v>171</v>
      </c>
      <c r="P26" t="s">
        <v>141</v>
      </c>
      <c r="Q26" t="s">
        <v>140</v>
      </c>
      <c r="R26" t="s">
        <v>156</v>
      </c>
      <c r="S26" t="s">
        <v>162</v>
      </c>
      <c r="T26" t="s">
        <v>161</v>
      </c>
      <c r="U26" t="s">
        <v>181</v>
      </c>
    </row>
    <row r="27" spans="1:21">
      <c r="A27" t="s">
        <v>108</v>
      </c>
      <c r="B27" t="s">
        <v>109</v>
      </c>
      <c r="C27" t="s">
        <v>110</v>
      </c>
      <c r="D27" t="s">
        <v>201</v>
      </c>
      <c r="E27" t="s">
        <v>200</v>
      </c>
      <c r="F27" t="s">
        <v>199</v>
      </c>
      <c r="G27" t="s">
        <v>198</v>
      </c>
      <c r="H27" t="s">
        <v>149</v>
      </c>
      <c r="I27" t="s">
        <v>180</v>
      </c>
      <c r="J27" t="s">
        <v>197</v>
      </c>
      <c r="K27" t="s">
        <v>156</v>
      </c>
      <c r="L27" t="s">
        <v>196</v>
      </c>
      <c r="M27" t="s">
        <v>195</v>
      </c>
      <c r="N27" t="s">
        <v>194</v>
      </c>
      <c r="O27" t="s">
        <v>193</v>
      </c>
      <c r="P27" t="s">
        <v>192</v>
      </c>
      <c r="Q27" t="s">
        <v>156</v>
      </c>
      <c r="R27" t="s">
        <v>162</v>
      </c>
      <c r="S27" t="s">
        <v>161</v>
      </c>
      <c r="T27" t="s">
        <v>181</v>
      </c>
      <c r="U27" t="s">
        <v>179</v>
      </c>
    </row>
    <row r="28" spans="1:21">
      <c r="A28" t="s">
        <v>112</v>
      </c>
      <c r="B28" t="s">
        <v>113</v>
      </c>
      <c r="C28" t="s">
        <v>114</v>
      </c>
      <c r="D28" t="s">
        <v>156</v>
      </c>
      <c r="E28" t="s">
        <v>191</v>
      </c>
      <c r="F28" t="s">
        <v>161</v>
      </c>
      <c r="G28" t="s">
        <v>146</v>
      </c>
      <c r="H28" t="s">
        <v>145</v>
      </c>
      <c r="I28" t="s">
        <v>190</v>
      </c>
      <c r="J28" t="s">
        <v>143</v>
      </c>
      <c r="K28" t="s">
        <v>142</v>
      </c>
      <c r="L28" t="s">
        <v>149</v>
      </c>
      <c r="M28" t="s">
        <v>189</v>
      </c>
      <c r="N28" t="s">
        <v>188</v>
      </c>
      <c r="O28" t="s">
        <v>187</v>
      </c>
      <c r="P28" t="s">
        <v>154</v>
      </c>
      <c r="Q28" t="s">
        <v>181</v>
      </c>
      <c r="R28" t="s">
        <v>179</v>
      </c>
      <c r="S28" t="s">
        <v>183</v>
      </c>
      <c r="T28" t="s">
        <v>150</v>
      </c>
      <c r="U28" t="s">
        <v>142</v>
      </c>
    </row>
    <row r="29" spans="1:21">
      <c r="A29" t="s">
        <v>115</v>
      </c>
      <c r="B29" t="s">
        <v>116</v>
      </c>
      <c r="C29" t="s">
        <v>117</v>
      </c>
      <c r="D29" t="s">
        <v>186</v>
      </c>
      <c r="E29" t="s">
        <v>145</v>
      </c>
      <c r="F29" t="s">
        <v>158</v>
      </c>
      <c r="G29" t="s">
        <v>185</v>
      </c>
      <c r="H29" t="s">
        <v>162</v>
      </c>
      <c r="I29" t="s">
        <v>161</v>
      </c>
      <c r="J29" t="s">
        <v>184</v>
      </c>
      <c r="K29" t="s">
        <v>179</v>
      </c>
      <c r="L29" t="s">
        <v>183</v>
      </c>
      <c r="M29" t="s">
        <v>157</v>
      </c>
      <c r="N29" t="s">
        <v>182</v>
      </c>
      <c r="O29" t="s">
        <v>171</v>
      </c>
      <c r="P29" t="s">
        <v>141</v>
      </c>
      <c r="Q29" t="s">
        <v>140</v>
      </c>
      <c r="R29" t="s">
        <v>156</v>
      </c>
      <c r="S29" t="s">
        <v>162</v>
      </c>
      <c r="T29" t="s">
        <v>154</v>
      </c>
      <c r="U29" t="s">
        <v>181</v>
      </c>
    </row>
    <row r="30" spans="1:21">
      <c r="A30" t="s">
        <v>118</v>
      </c>
      <c r="B30" t="s">
        <v>119</v>
      </c>
      <c r="C30" t="s">
        <v>120</v>
      </c>
      <c r="D30" t="s">
        <v>180</v>
      </c>
      <c r="E30" t="s">
        <v>179</v>
      </c>
      <c r="F30" t="s">
        <v>178</v>
      </c>
      <c r="G30" t="s">
        <v>177</v>
      </c>
      <c r="H30" t="s">
        <v>142</v>
      </c>
      <c r="I30" t="s">
        <v>149</v>
      </c>
      <c r="J30" t="s">
        <v>148</v>
      </c>
      <c r="K30" t="s">
        <v>176</v>
      </c>
      <c r="L30" t="s">
        <v>156</v>
      </c>
      <c r="M30" t="s">
        <v>175</v>
      </c>
      <c r="N30" t="s">
        <v>174</v>
      </c>
      <c r="O30" t="s">
        <v>160</v>
      </c>
      <c r="P30" t="s">
        <v>173</v>
      </c>
      <c r="Q30" t="s">
        <v>134</v>
      </c>
      <c r="R30" t="s">
        <v>133</v>
      </c>
      <c r="S30" t="s">
        <v>132</v>
      </c>
      <c r="T30" t="s">
        <v>131</v>
      </c>
      <c r="U30" t="s">
        <v>172</v>
      </c>
    </row>
    <row r="31" spans="1:21">
      <c r="A31" t="s">
        <v>121</v>
      </c>
      <c r="B31" t="s">
        <v>122</v>
      </c>
      <c r="C31" t="s">
        <v>123</v>
      </c>
      <c r="D31" t="s">
        <v>171</v>
      </c>
      <c r="E31" t="s">
        <v>141</v>
      </c>
      <c r="F31" t="s">
        <v>170</v>
      </c>
      <c r="G31" t="s">
        <v>156</v>
      </c>
      <c r="H31" t="s">
        <v>169</v>
      </c>
      <c r="I31" t="s">
        <v>168</v>
      </c>
      <c r="J31" t="s">
        <v>167</v>
      </c>
      <c r="K31" t="s">
        <v>145</v>
      </c>
      <c r="L31" t="s">
        <v>158</v>
      </c>
      <c r="M31" t="s">
        <v>166</v>
      </c>
      <c r="N31" t="s">
        <v>165</v>
      </c>
      <c r="O31" t="s">
        <v>164</v>
      </c>
      <c r="P31" t="s">
        <v>163</v>
      </c>
      <c r="Q31" t="s">
        <v>141</v>
      </c>
      <c r="R31" t="s">
        <v>140</v>
      </c>
      <c r="S31" t="s">
        <v>156</v>
      </c>
      <c r="T31" t="s">
        <v>162</v>
      </c>
      <c r="U31" t="s">
        <v>161</v>
      </c>
    </row>
    <row r="32" spans="1:21">
      <c r="A32" t="s">
        <v>124</v>
      </c>
      <c r="B32" t="s">
        <v>125</v>
      </c>
      <c r="C32" t="s">
        <v>126</v>
      </c>
      <c r="D32" t="s">
        <v>160</v>
      </c>
      <c r="E32" t="s">
        <v>159</v>
      </c>
      <c r="F32" t="s">
        <v>158</v>
      </c>
      <c r="G32" t="s">
        <v>157</v>
      </c>
      <c r="H32" t="s">
        <v>142</v>
      </c>
      <c r="I32" t="s">
        <v>149</v>
      </c>
      <c r="J32" t="s">
        <v>141</v>
      </c>
      <c r="K32" t="s">
        <v>140</v>
      </c>
      <c r="L32" t="s">
        <v>156</v>
      </c>
      <c r="M32" t="s">
        <v>155</v>
      </c>
      <c r="N32" t="s">
        <v>154</v>
      </c>
      <c r="O32" t="s">
        <v>153</v>
      </c>
      <c r="P32" t="s">
        <v>152</v>
      </c>
      <c r="Q32" t="s">
        <v>151</v>
      </c>
      <c r="R32" t="s">
        <v>150</v>
      </c>
      <c r="S32" t="s">
        <v>142</v>
      </c>
      <c r="T32" t="s">
        <v>149</v>
      </c>
      <c r="U32" t="s">
        <v>148</v>
      </c>
    </row>
    <row r="33" spans="1:21">
      <c r="A33" t="s">
        <v>127</v>
      </c>
      <c r="B33" t="s">
        <v>128</v>
      </c>
      <c r="C33" t="s">
        <v>129</v>
      </c>
      <c r="D33" t="s">
        <v>147</v>
      </c>
      <c r="E33" t="s">
        <v>146</v>
      </c>
      <c r="F33" t="s">
        <v>145</v>
      </c>
      <c r="G33" t="s">
        <v>144</v>
      </c>
      <c r="H33" t="s">
        <v>143</v>
      </c>
      <c r="I33" t="s">
        <v>142</v>
      </c>
      <c r="J33" t="s">
        <v>131</v>
      </c>
      <c r="K33" t="s">
        <v>141</v>
      </c>
      <c r="L33" t="s">
        <v>140</v>
      </c>
      <c r="M33" t="s">
        <v>139</v>
      </c>
      <c r="N33" t="s">
        <v>138</v>
      </c>
      <c r="O33" t="s">
        <v>137</v>
      </c>
      <c r="P33" t="s">
        <v>136</v>
      </c>
      <c r="Q33" t="s">
        <v>135</v>
      </c>
      <c r="R33" t="s">
        <v>134</v>
      </c>
      <c r="S33" t="s">
        <v>133</v>
      </c>
      <c r="T33" t="s">
        <v>132</v>
      </c>
      <c r="U33" t="s">
        <v>131</v>
      </c>
    </row>
    <row r="37" spans="1:21">
      <c r="E37" s="2"/>
      <c r="G37" s="2"/>
    </row>
    <row r="38" spans="1:21">
      <c r="E38" s="2"/>
      <c r="G38" s="2"/>
    </row>
    <row r="39" spans="1:21">
      <c r="E39" s="2"/>
      <c r="G39" s="2"/>
    </row>
    <row r="40" spans="1:21">
      <c r="E40" s="2"/>
      <c r="G40" s="2"/>
    </row>
    <row r="41" spans="1:21">
      <c r="E41" s="2"/>
      <c r="G41" s="2"/>
    </row>
    <row r="42" spans="1:21">
      <c r="E42" s="2"/>
      <c r="G42" s="2"/>
    </row>
    <row r="43" spans="1:21">
      <c r="E43" s="2"/>
      <c r="G43" s="2"/>
    </row>
    <row r="44" spans="1:21">
      <c r="E44" s="2"/>
      <c r="G44" s="2"/>
    </row>
    <row r="45" spans="1:21">
      <c r="E45" s="2"/>
      <c r="G45" s="2"/>
    </row>
    <row r="46" spans="1:21">
      <c r="E46" s="2"/>
      <c r="G46" s="2"/>
    </row>
    <row r="47" spans="1:21">
      <c r="E47" s="2"/>
      <c r="G47" s="2"/>
    </row>
    <row r="48" spans="1:21">
      <c r="E48" s="2"/>
      <c r="G48" s="2"/>
    </row>
    <row r="49" spans="5:7">
      <c r="E49" s="2"/>
      <c r="G49" s="2"/>
    </row>
    <row r="50" spans="5:7">
      <c r="E50" s="2"/>
      <c r="G50" s="2"/>
    </row>
    <row r="51" spans="5:7">
      <c r="E51" s="2"/>
      <c r="G51" s="2"/>
    </row>
    <row r="52" spans="5:7">
      <c r="E52" s="2"/>
      <c r="G52" s="2"/>
    </row>
    <row r="53" spans="5:7">
      <c r="E53" s="2"/>
      <c r="G53" s="2"/>
    </row>
    <row r="54" spans="5:7">
      <c r="E54" s="2"/>
      <c r="G54" s="2"/>
    </row>
    <row r="55" spans="5:7">
      <c r="E55" s="2"/>
      <c r="G55" s="2"/>
    </row>
    <row r="56" spans="5:7">
      <c r="E56" s="2"/>
      <c r="G56" s="2"/>
    </row>
    <row r="57" spans="5:7">
      <c r="E57" s="2"/>
      <c r="G57" s="2"/>
    </row>
    <row r="58" spans="5:7">
      <c r="E58" s="2"/>
      <c r="G58" s="2"/>
    </row>
    <row r="59" spans="5:7">
      <c r="E59" s="2"/>
      <c r="G59" s="2"/>
    </row>
    <row r="60" spans="5:7">
      <c r="E60" s="2"/>
      <c r="G60" s="2"/>
    </row>
    <row r="61" spans="5:7">
      <c r="E61" s="2"/>
      <c r="G61" s="2"/>
    </row>
    <row r="62" spans="5:7">
      <c r="E62" s="2"/>
      <c r="G62" s="2"/>
    </row>
    <row r="63" spans="5:7">
      <c r="E63" s="2"/>
      <c r="G63" s="2"/>
    </row>
    <row r="64" spans="5:7">
      <c r="E64" s="2"/>
      <c r="G64" s="2"/>
    </row>
    <row r="65" spans="4:7">
      <c r="E65" s="2"/>
      <c r="G65" s="2"/>
    </row>
    <row r="66" spans="4:7">
      <c r="E66" s="2"/>
      <c r="G66" s="2"/>
    </row>
    <row r="67" spans="4:7">
      <c r="E67" s="2"/>
      <c r="G67" s="2"/>
    </row>
    <row r="68" spans="4:7">
      <c r="E68" s="2"/>
      <c r="G68" s="2"/>
    </row>
    <row r="71" spans="4:7">
      <c r="D71" s="6"/>
    </row>
    <row r="72" spans="4:7">
      <c r="D72" s="6"/>
    </row>
    <row r="73" spans="4:7">
      <c r="D73" s="6"/>
    </row>
    <row r="74" spans="4:7">
      <c r="D74" s="6"/>
    </row>
    <row r="75" spans="4:7">
      <c r="D75" s="6"/>
    </row>
    <row r="76" spans="4:7">
      <c r="D76" s="6"/>
    </row>
    <row r="77" spans="4:7">
      <c r="D77" s="6"/>
    </row>
    <row r="78" spans="4:7">
      <c r="D78" s="6"/>
    </row>
    <row r="79" spans="4:7">
      <c r="D79" s="6"/>
    </row>
    <row r="80" spans="4:7">
      <c r="D80" s="6"/>
    </row>
    <row r="81" spans="4:4">
      <c r="D81" s="6"/>
    </row>
    <row r="82" spans="4:4">
      <c r="D82" s="6"/>
    </row>
    <row r="83" spans="4:4">
      <c r="D83" s="6"/>
    </row>
    <row r="84" spans="4:4">
      <c r="D84" s="6"/>
    </row>
    <row r="85" spans="4:4">
      <c r="D85" s="6"/>
    </row>
    <row r="86" spans="4:4">
      <c r="D86" s="6"/>
    </row>
    <row r="87" spans="4:4">
      <c r="D87" s="6"/>
    </row>
    <row r="88" spans="4:4">
      <c r="D88" s="6"/>
    </row>
    <row r="89" spans="4:4">
      <c r="D89" s="6"/>
    </row>
    <row r="90" spans="4:4">
      <c r="D90" s="6"/>
    </row>
    <row r="91" spans="4:4">
      <c r="D91" s="6"/>
    </row>
    <row r="92" spans="4:4">
      <c r="D92" s="6"/>
    </row>
    <row r="93" spans="4:4">
      <c r="D93" s="6"/>
    </row>
    <row r="94" spans="4:4">
      <c r="D94" s="6"/>
    </row>
    <row r="95" spans="4:4">
      <c r="D95" s="6"/>
    </row>
    <row r="96" spans="4:4">
      <c r="D96" s="6"/>
    </row>
    <row r="97" spans="4:4">
      <c r="D97" s="6"/>
    </row>
    <row r="98" spans="4:4">
      <c r="D98" s="6"/>
    </row>
    <row r="99" spans="4:4">
      <c r="D99" s="6"/>
    </row>
    <row r="100" spans="4:4">
      <c r="D100" s="6"/>
    </row>
    <row r="101" spans="4:4">
      <c r="D101" s="6"/>
    </row>
    <row r="102" spans="4:4">
      <c r="D102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J103"/>
  <sheetViews>
    <sheetView zoomScale="40" zoomScaleNormal="40" zoomScalePageLayoutView="70" workbookViewId="0">
      <selection activeCell="D36" sqref="D36:AM68"/>
    </sheetView>
  </sheetViews>
  <sheetFormatPr defaultRowHeight="15"/>
  <cols>
    <col min="1" max="1" width="15.42578125" bestFit="1" customWidth="1"/>
    <col min="2" max="2" width="15.7109375" bestFit="1" customWidth="1"/>
    <col min="3" max="3" width="14.5703125" bestFit="1" customWidth="1"/>
    <col min="4" max="4" width="22.140625" bestFit="1" customWidth="1"/>
    <col min="5" max="5" width="10.7109375" bestFit="1" customWidth="1"/>
    <col min="6" max="6" width="19.5703125" bestFit="1" customWidth="1"/>
    <col min="7" max="7" width="8.5703125" bestFit="1" customWidth="1"/>
    <col min="8" max="8" width="20.5703125" bestFit="1" customWidth="1"/>
    <col min="9" max="9" width="9.140625" bestFit="1" customWidth="1"/>
    <col min="10" max="10" width="21.140625" bestFit="1" customWidth="1"/>
    <col min="11" max="11" width="9.140625" bestFit="1" customWidth="1"/>
    <col min="12" max="12" width="21.85546875" bestFit="1" customWidth="1"/>
    <col min="13" max="13" width="9.7109375" bestFit="1" customWidth="1"/>
    <col min="14" max="14" width="22.140625" bestFit="1" customWidth="1"/>
    <col min="15" max="15" width="15" bestFit="1" customWidth="1"/>
    <col min="16" max="16" width="21.140625" bestFit="1" customWidth="1"/>
    <col min="17" max="17" width="9.140625" bestFit="1" customWidth="1"/>
    <col min="18" max="18" width="15.28515625" bestFit="1" customWidth="1"/>
    <col min="19" max="19" width="8.5703125" bestFit="1" customWidth="1"/>
    <col min="20" max="20" width="21.85546875" bestFit="1" customWidth="1"/>
    <col min="21" max="21" width="9.140625" bestFit="1" customWidth="1"/>
    <col min="22" max="22" width="17.28515625" bestFit="1" customWidth="1"/>
    <col min="23" max="23" width="10.7109375" bestFit="1" customWidth="1"/>
    <col min="24" max="24" width="15.28515625" bestFit="1" customWidth="1"/>
    <col min="25" max="25" width="8.5703125" bestFit="1" customWidth="1"/>
    <col min="26" max="26" width="16.7109375" bestFit="1" customWidth="1"/>
    <col min="27" max="27" width="9.140625" bestFit="1" customWidth="1"/>
    <col min="28" max="28" width="20" bestFit="1" customWidth="1"/>
    <col min="29" max="29" width="9.140625" bestFit="1" customWidth="1"/>
    <col min="30" max="30" width="15.28515625" bestFit="1" customWidth="1"/>
    <col min="31" max="31" width="9.7109375" bestFit="1" customWidth="1"/>
    <col min="32" max="32" width="15.28515625" bestFit="1" customWidth="1"/>
    <col min="33" max="33" width="15" bestFit="1" customWidth="1"/>
    <col min="34" max="34" width="15.28515625" bestFit="1" customWidth="1"/>
    <col min="35" max="35" width="9.140625" bestFit="1" customWidth="1"/>
    <col min="36" max="36" width="15.5703125" bestFit="1" customWidth="1"/>
    <col min="37" max="37" width="8.5703125" bestFit="1" customWidth="1"/>
    <col min="38" max="38" width="15.28515625" bestFit="1" customWidth="1"/>
    <col min="39" max="39" width="9.140625" bestFit="1" customWidth="1"/>
    <col min="40" max="40" width="9.7109375" bestFit="1" customWidth="1"/>
    <col min="41" max="41" width="10.7109375" bestFit="1" customWidth="1"/>
    <col min="42" max="42" width="15" bestFit="1" customWidth="1"/>
    <col min="43" max="43" width="8.5703125" bestFit="1" customWidth="1"/>
    <col min="44" max="45" width="9.140625" bestFit="1" customWidth="1"/>
    <col min="46" max="46" width="8.5703125" bestFit="1" customWidth="1"/>
    <col min="47" max="48" width="9.140625" bestFit="1" customWidth="1"/>
    <col min="49" max="49" width="9.7109375" bestFit="1" customWidth="1"/>
    <col min="50" max="50" width="10.7109375" bestFit="1" customWidth="1"/>
    <col min="51" max="51" width="15" bestFit="1" customWidth="1"/>
    <col min="52" max="52" width="8.5703125" bestFit="1" customWidth="1"/>
    <col min="53" max="54" width="9.140625" bestFit="1" customWidth="1"/>
    <col min="55" max="55" width="8.5703125" bestFit="1" customWidth="1"/>
    <col min="56" max="57" width="9.140625" bestFit="1" customWidth="1"/>
    <col min="58" max="58" width="9.7109375" bestFit="1" customWidth="1"/>
    <col min="59" max="59" width="10.7109375" bestFit="1" customWidth="1"/>
    <col min="60" max="60" width="15" bestFit="1" customWidth="1"/>
    <col min="61" max="61" width="8.5703125" bestFit="1" customWidth="1"/>
    <col min="62" max="63" width="9.140625" bestFit="1" customWidth="1"/>
    <col min="64" max="64" width="8.5703125" bestFit="1" customWidth="1"/>
    <col min="65" max="66" width="9.140625" bestFit="1" customWidth="1"/>
    <col min="67" max="67" width="9.7109375" bestFit="1" customWidth="1"/>
    <col min="68" max="68" width="10.7109375" bestFit="1" customWidth="1"/>
    <col min="69" max="69" width="15" bestFit="1" customWidth="1"/>
    <col min="70" max="70" width="8.5703125" bestFit="1" customWidth="1"/>
    <col min="71" max="72" width="9.140625" bestFit="1" customWidth="1"/>
    <col min="73" max="73" width="8.5703125" bestFit="1" customWidth="1"/>
    <col min="74" max="75" width="9.140625" bestFit="1" customWidth="1"/>
    <col min="76" max="76" width="9.7109375" bestFit="1" customWidth="1"/>
    <col min="77" max="77" width="10.7109375" bestFit="1" customWidth="1"/>
    <col min="78" max="78" width="15" bestFit="1" customWidth="1"/>
    <col min="79" max="79" width="8.5703125" bestFit="1" customWidth="1"/>
    <col min="80" max="81" width="9.140625" bestFit="1" customWidth="1"/>
    <col min="82" max="82" width="8.5703125" bestFit="1" customWidth="1"/>
    <col min="83" max="84" width="9.140625" bestFit="1" customWidth="1"/>
    <col min="85" max="85" width="9.7109375" bestFit="1" customWidth="1"/>
    <col min="86" max="86" width="10.7109375" bestFit="1" customWidth="1"/>
    <col min="87" max="87" width="15" bestFit="1" customWidth="1"/>
    <col min="88" max="88" width="8.5703125" bestFit="1" customWidth="1"/>
    <col min="89" max="90" width="9.140625" bestFit="1" customWidth="1"/>
    <col min="91" max="91" width="8.5703125" bestFit="1" customWidth="1"/>
    <col min="92" max="93" width="9.140625" bestFit="1" customWidth="1"/>
    <col min="94" max="94" width="9.7109375" bestFit="1" customWidth="1"/>
    <col min="95" max="95" width="10.7109375" bestFit="1" customWidth="1"/>
    <col min="96" max="96" width="15" bestFit="1" customWidth="1"/>
    <col min="97" max="97" width="8.5703125" bestFit="1" customWidth="1"/>
    <col min="98" max="99" width="9.140625" bestFit="1" customWidth="1"/>
    <col min="100" max="100" width="8.5703125" bestFit="1" customWidth="1"/>
    <col min="101" max="102" width="9.140625" bestFit="1" customWidth="1"/>
    <col min="103" max="103" width="9.7109375" bestFit="1" customWidth="1"/>
    <col min="104" max="104" width="10.7109375" bestFit="1" customWidth="1"/>
    <col min="105" max="105" width="15" bestFit="1" customWidth="1"/>
    <col min="106" max="106" width="8.5703125" bestFit="1" customWidth="1"/>
    <col min="107" max="108" width="9.140625" bestFit="1" customWidth="1"/>
    <col min="109" max="109" width="8.5703125" bestFit="1" customWidth="1"/>
    <col min="110" max="111" width="9.140625" bestFit="1" customWidth="1"/>
    <col min="112" max="112" width="9.7109375" bestFit="1" customWidth="1"/>
    <col min="113" max="113" width="10.7109375" bestFit="1" customWidth="1"/>
    <col min="114" max="114" width="15" bestFit="1" customWidth="1"/>
    <col min="115" max="115" width="8.5703125" bestFit="1" customWidth="1"/>
    <col min="116" max="117" width="9.140625" bestFit="1" customWidth="1"/>
    <col min="118" max="118" width="8.5703125" bestFit="1" customWidth="1"/>
    <col min="119" max="120" width="9.140625" bestFit="1" customWidth="1"/>
    <col min="121" max="121" width="9.7109375" bestFit="1" customWidth="1"/>
    <col min="122" max="122" width="10.7109375" bestFit="1" customWidth="1"/>
    <col min="123" max="123" width="15" bestFit="1" customWidth="1"/>
    <col min="124" max="124" width="8.5703125" bestFit="1" customWidth="1"/>
    <col min="125" max="126" width="9.140625" bestFit="1" customWidth="1"/>
    <col min="127" max="127" width="8.5703125" bestFit="1" customWidth="1"/>
    <col min="128" max="129" width="9.140625" bestFit="1" customWidth="1"/>
    <col min="130" max="130" width="9.7109375" bestFit="1" customWidth="1"/>
    <col min="131" max="131" width="10.7109375" bestFit="1" customWidth="1"/>
    <col min="132" max="132" width="15" bestFit="1" customWidth="1"/>
    <col min="133" max="133" width="8.5703125" bestFit="1" customWidth="1"/>
    <col min="134" max="135" width="9.140625" bestFit="1" customWidth="1"/>
    <col min="136" max="136" width="8.5703125" bestFit="1" customWidth="1"/>
    <col min="137" max="138" width="9.140625" bestFit="1" customWidth="1"/>
    <col min="139" max="139" width="9.7109375" bestFit="1" customWidth="1"/>
    <col min="140" max="140" width="10.7109375" bestFit="1" customWidth="1"/>
    <col min="141" max="141" width="15" bestFit="1" customWidth="1"/>
    <col min="142" max="142" width="8.5703125" bestFit="1" customWidth="1"/>
    <col min="143" max="144" width="9.140625" bestFit="1" customWidth="1"/>
    <col min="145" max="145" width="8.5703125" bestFit="1" customWidth="1"/>
    <col min="146" max="147" width="9.140625" bestFit="1" customWidth="1"/>
    <col min="148" max="148" width="9.7109375" bestFit="1" customWidth="1"/>
    <col min="149" max="149" width="10.7109375" bestFit="1" customWidth="1"/>
    <col min="150" max="150" width="15" bestFit="1" customWidth="1"/>
    <col min="151" max="151" width="8.5703125" bestFit="1" customWidth="1"/>
    <col min="152" max="153" width="9.140625" bestFit="1" customWidth="1"/>
    <col min="154" max="154" width="8.5703125" bestFit="1" customWidth="1"/>
    <col min="155" max="156" width="9.140625" bestFit="1" customWidth="1"/>
    <col min="157" max="157" width="9.7109375" bestFit="1" customWidth="1"/>
    <col min="158" max="158" width="10.7109375" bestFit="1" customWidth="1"/>
    <col min="159" max="159" width="15" bestFit="1" customWidth="1"/>
    <col min="160" max="160" width="8.5703125" bestFit="1" customWidth="1"/>
    <col min="161" max="162" width="9.140625" bestFit="1" customWidth="1"/>
    <col min="163" max="163" width="8.5703125" bestFit="1" customWidth="1"/>
    <col min="164" max="165" width="9.140625" bestFit="1" customWidth="1"/>
    <col min="166" max="166" width="9.7109375" bestFit="1" customWidth="1"/>
  </cols>
  <sheetData>
    <row r="1" spans="1:166">
      <c r="A1" t="s">
        <v>336</v>
      </c>
      <c r="B1" t="s">
        <v>1</v>
      </c>
      <c r="C1" t="s">
        <v>2</v>
      </c>
      <c r="D1" t="s">
        <v>337</v>
      </c>
      <c r="E1" t="s">
        <v>338</v>
      </c>
      <c r="F1" t="s">
        <v>339</v>
      </c>
      <c r="G1" t="s">
        <v>340</v>
      </c>
      <c r="H1" t="s">
        <v>341</v>
      </c>
      <c r="I1" t="s">
        <v>342</v>
      </c>
      <c r="J1" t="s">
        <v>343</v>
      </c>
      <c r="K1" t="s">
        <v>344</v>
      </c>
      <c r="L1" t="s">
        <v>345</v>
      </c>
      <c r="M1" t="s">
        <v>346</v>
      </c>
      <c r="N1" t="s">
        <v>338</v>
      </c>
      <c r="O1" t="s">
        <v>339</v>
      </c>
      <c r="P1" t="s">
        <v>340</v>
      </c>
      <c r="Q1" t="s">
        <v>341</v>
      </c>
      <c r="R1" t="s">
        <v>342</v>
      </c>
      <c r="S1" t="s">
        <v>343</v>
      </c>
      <c r="T1" t="s">
        <v>344</v>
      </c>
      <c r="U1" t="s">
        <v>345</v>
      </c>
      <c r="V1" t="s">
        <v>346</v>
      </c>
      <c r="W1" t="s">
        <v>338</v>
      </c>
      <c r="X1" t="s">
        <v>339</v>
      </c>
      <c r="Y1" t="s">
        <v>340</v>
      </c>
      <c r="Z1" t="s">
        <v>341</v>
      </c>
      <c r="AA1" t="s">
        <v>342</v>
      </c>
      <c r="AB1" t="s">
        <v>343</v>
      </c>
      <c r="AC1" t="s">
        <v>344</v>
      </c>
      <c r="AD1" t="s">
        <v>345</v>
      </c>
      <c r="AE1" t="s">
        <v>346</v>
      </c>
      <c r="AF1" t="s">
        <v>338</v>
      </c>
      <c r="AG1" t="s">
        <v>339</v>
      </c>
      <c r="AH1" t="s">
        <v>340</v>
      </c>
      <c r="AI1" t="s">
        <v>341</v>
      </c>
      <c r="AJ1" t="s">
        <v>342</v>
      </c>
      <c r="AK1" t="s">
        <v>343</v>
      </c>
      <c r="AL1" t="s">
        <v>344</v>
      </c>
      <c r="AM1" t="s">
        <v>345</v>
      </c>
      <c r="AN1" t="s">
        <v>346</v>
      </c>
      <c r="AO1" t="s">
        <v>338</v>
      </c>
      <c r="AP1" t="s">
        <v>339</v>
      </c>
      <c r="AQ1" t="s">
        <v>340</v>
      </c>
      <c r="AR1" t="s">
        <v>341</v>
      </c>
      <c r="AS1" t="s">
        <v>342</v>
      </c>
      <c r="AT1" t="s">
        <v>343</v>
      </c>
      <c r="AU1" t="s">
        <v>344</v>
      </c>
      <c r="AV1" t="s">
        <v>345</v>
      </c>
      <c r="AW1" t="s">
        <v>346</v>
      </c>
      <c r="AX1" t="s">
        <v>338</v>
      </c>
      <c r="AY1" t="s">
        <v>339</v>
      </c>
      <c r="AZ1" t="s">
        <v>340</v>
      </c>
      <c r="BA1" t="s">
        <v>341</v>
      </c>
      <c r="BB1" t="s">
        <v>342</v>
      </c>
      <c r="BC1" t="s">
        <v>343</v>
      </c>
      <c r="BD1" t="s">
        <v>344</v>
      </c>
      <c r="BE1" t="s">
        <v>345</v>
      </c>
      <c r="BF1" t="s">
        <v>346</v>
      </c>
      <c r="BG1" t="s">
        <v>338</v>
      </c>
      <c r="BH1" t="s">
        <v>339</v>
      </c>
      <c r="BI1" t="s">
        <v>340</v>
      </c>
      <c r="BJ1" t="s">
        <v>341</v>
      </c>
      <c r="BK1" t="s">
        <v>342</v>
      </c>
      <c r="BL1" t="s">
        <v>343</v>
      </c>
      <c r="BM1" t="s">
        <v>344</v>
      </c>
      <c r="BN1" t="s">
        <v>345</v>
      </c>
      <c r="BO1" t="s">
        <v>346</v>
      </c>
      <c r="BP1" t="s">
        <v>338</v>
      </c>
      <c r="BQ1" t="s">
        <v>339</v>
      </c>
      <c r="BR1" t="s">
        <v>340</v>
      </c>
      <c r="BS1" t="s">
        <v>341</v>
      </c>
      <c r="BT1" t="s">
        <v>342</v>
      </c>
      <c r="BU1" t="s">
        <v>343</v>
      </c>
      <c r="BV1" t="s">
        <v>344</v>
      </c>
      <c r="BW1" t="s">
        <v>345</v>
      </c>
      <c r="BX1" t="s">
        <v>346</v>
      </c>
      <c r="BY1" t="s">
        <v>338</v>
      </c>
      <c r="BZ1" t="s">
        <v>339</v>
      </c>
      <c r="CA1" t="s">
        <v>340</v>
      </c>
      <c r="CB1" t="s">
        <v>341</v>
      </c>
      <c r="CC1" t="s">
        <v>342</v>
      </c>
      <c r="CD1" t="s">
        <v>343</v>
      </c>
      <c r="CE1" t="s">
        <v>344</v>
      </c>
      <c r="CF1" t="s">
        <v>345</v>
      </c>
      <c r="CG1" t="s">
        <v>346</v>
      </c>
      <c r="CH1" t="s">
        <v>338</v>
      </c>
      <c r="CI1" t="s">
        <v>339</v>
      </c>
      <c r="CJ1" t="s">
        <v>340</v>
      </c>
      <c r="CK1" t="s">
        <v>341</v>
      </c>
      <c r="CL1" t="s">
        <v>342</v>
      </c>
      <c r="CM1" t="s">
        <v>343</v>
      </c>
      <c r="CN1" t="s">
        <v>344</v>
      </c>
      <c r="CO1" t="s">
        <v>345</v>
      </c>
      <c r="CP1" t="s">
        <v>346</v>
      </c>
      <c r="CQ1" t="s">
        <v>338</v>
      </c>
      <c r="CR1" t="s">
        <v>339</v>
      </c>
      <c r="CS1" t="s">
        <v>340</v>
      </c>
      <c r="CT1" t="s">
        <v>341</v>
      </c>
      <c r="CU1" t="s">
        <v>342</v>
      </c>
      <c r="CV1" t="s">
        <v>343</v>
      </c>
      <c r="CW1" t="s">
        <v>344</v>
      </c>
      <c r="CX1" t="s">
        <v>345</v>
      </c>
      <c r="CY1" t="s">
        <v>346</v>
      </c>
      <c r="CZ1" t="s">
        <v>338</v>
      </c>
      <c r="DA1" t="s">
        <v>339</v>
      </c>
      <c r="DB1" t="s">
        <v>340</v>
      </c>
      <c r="DC1" t="s">
        <v>341</v>
      </c>
      <c r="DD1" t="s">
        <v>342</v>
      </c>
      <c r="DE1" t="s">
        <v>343</v>
      </c>
      <c r="DF1" t="s">
        <v>344</v>
      </c>
      <c r="DG1" t="s">
        <v>345</v>
      </c>
      <c r="DH1" t="s">
        <v>346</v>
      </c>
      <c r="DI1" t="s">
        <v>338</v>
      </c>
      <c r="DJ1" t="s">
        <v>339</v>
      </c>
      <c r="DK1" t="s">
        <v>340</v>
      </c>
      <c r="DL1" t="s">
        <v>341</v>
      </c>
      <c r="DM1" t="s">
        <v>342</v>
      </c>
      <c r="DN1" t="s">
        <v>343</v>
      </c>
      <c r="DO1" t="s">
        <v>344</v>
      </c>
      <c r="DP1" t="s">
        <v>345</v>
      </c>
      <c r="DQ1" t="s">
        <v>346</v>
      </c>
      <c r="DR1" t="s">
        <v>338</v>
      </c>
      <c r="DS1" t="s">
        <v>339</v>
      </c>
      <c r="DT1" t="s">
        <v>340</v>
      </c>
      <c r="DU1" t="s">
        <v>341</v>
      </c>
      <c r="DV1" t="s">
        <v>342</v>
      </c>
      <c r="DW1" t="s">
        <v>343</v>
      </c>
      <c r="DX1" t="s">
        <v>344</v>
      </c>
      <c r="DY1" t="s">
        <v>345</v>
      </c>
      <c r="DZ1" t="s">
        <v>346</v>
      </c>
      <c r="EA1" t="s">
        <v>338</v>
      </c>
      <c r="EB1" t="s">
        <v>339</v>
      </c>
      <c r="EC1" t="s">
        <v>340</v>
      </c>
      <c r="ED1" t="s">
        <v>341</v>
      </c>
      <c r="EE1" t="s">
        <v>342</v>
      </c>
      <c r="EF1" t="s">
        <v>343</v>
      </c>
      <c r="EG1" t="s">
        <v>344</v>
      </c>
      <c r="EH1" t="s">
        <v>345</v>
      </c>
      <c r="EI1" t="s">
        <v>346</v>
      </c>
      <c r="EJ1" t="s">
        <v>338</v>
      </c>
      <c r="EK1" t="s">
        <v>339</v>
      </c>
      <c r="EL1" t="s">
        <v>340</v>
      </c>
      <c r="EM1" t="s">
        <v>341</v>
      </c>
      <c r="EN1" t="s">
        <v>342</v>
      </c>
      <c r="EO1" t="s">
        <v>343</v>
      </c>
      <c r="EP1" t="s">
        <v>344</v>
      </c>
      <c r="EQ1" t="s">
        <v>345</v>
      </c>
      <c r="ER1" t="s">
        <v>346</v>
      </c>
      <c r="ES1" t="s">
        <v>338</v>
      </c>
      <c r="ET1" t="s">
        <v>339</v>
      </c>
      <c r="EU1" t="s">
        <v>340</v>
      </c>
      <c r="EV1" t="s">
        <v>341</v>
      </c>
      <c r="EW1" t="s">
        <v>342</v>
      </c>
      <c r="EX1" t="s">
        <v>343</v>
      </c>
      <c r="EY1" t="s">
        <v>344</v>
      </c>
      <c r="EZ1" t="s">
        <v>345</v>
      </c>
      <c r="FA1" t="s">
        <v>346</v>
      </c>
      <c r="FB1" t="s">
        <v>338</v>
      </c>
      <c r="FC1" t="s">
        <v>339</v>
      </c>
      <c r="FD1" t="s">
        <v>340</v>
      </c>
      <c r="FE1" t="s">
        <v>341</v>
      </c>
      <c r="FF1" t="s">
        <v>342</v>
      </c>
      <c r="FG1" t="s">
        <v>343</v>
      </c>
      <c r="FH1" t="s">
        <v>344</v>
      </c>
      <c r="FI1" t="s">
        <v>345</v>
      </c>
      <c r="FJ1" t="s">
        <v>346</v>
      </c>
    </row>
    <row r="2" spans="1:166">
      <c r="A2" t="s">
        <v>21</v>
      </c>
      <c r="B2" t="s">
        <v>22</v>
      </c>
      <c r="C2" t="s">
        <v>23</v>
      </c>
      <c r="D2">
        <v>2016</v>
      </c>
      <c r="E2">
        <v>27</v>
      </c>
      <c r="F2" s="5">
        <v>41093</v>
      </c>
      <c r="G2" t="s">
        <v>347</v>
      </c>
      <c r="H2" t="s">
        <v>348</v>
      </c>
      <c r="I2" t="s">
        <v>349</v>
      </c>
      <c r="J2" t="s">
        <v>350</v>
      </c>
      <c r="K2" t="s">
        <v>347</v>
      </c>
      <c r="L2" t="s">
        <v>347</v>
      </c>
      <c r="M2" t="s">
        <v>347</v>
      </c>
      <c r="N2">
        <v>28</v>
      </c>
      <c r="O2" s="5">
        <v>41100</v>
      </c>
      <c r="P2" t="s">
        <v>354</v>
      </c>
      <c r="Q2" t="s">
        <v>350</v>
      </c>
      <c r="R2" t="s">
        <v>347</v>
      </c>
      <c r="S2" t="s">
        <v>347</v>
      </c>
      <c r="T2" t="s">
        <v>354</v>
      </c>
      <c r="U2" t="s">
        <v>348</v>
      </c>
      <c r="V2" t="s">
        <v>349</v>
      </c>
      <c r="W2">
        <v>29</v>
      </c>
      <c r="X2" s="5">
        <v>41107</v>
      </c>
      <c r="Y2" t="s">
        <v>350</v>
      </c>
      <c r="Z2" t="s">
        <v>347</v>
      </c>
      <c r="AA2" t="s">
        <v>347</v>
      </c>
      <c r="AB2" t="s">
        <v>354</v>
      </c>
      <c r="AC2" t="s">
        <v>348</v>
      </c>
      <c r="AD2" t="s">
        <v>349</v>
      </c>
      <c r="AE2" t="s">
        <v>350</v>
      </c>
      <c r="AF2">
        <v>30</v>
      </c>
      <c r="AG2" s="5">
        <v>41114</v>
      </c>
      <c r="AH2" t="s">
        <v>347</v>
      </c>
      <c r="AI2" t="s">
        <v>347</v>
      </c>
      <c r="AJ2" t="s">
        <v>354</v>
      </c>
      <c r="AK2" t="s">
        <v>347</v>
      </c>
      <c r="AL2" t="s">
        <v>354</v>
      </c>
      <c r="AM2" t="s">
        <v>350</v>
      </c>
      <c r="AN2" t="s">
        <v>347</v>
      </c>
      <c r="AO2">
        <v>31</v>
      </c>
      <c r="AP2" s="5">
        <v>41121</v>
      </c>
      <c r="AQ2" t="s">
        <v>347</v>
      </c>
      <c r="AR2" t="s">
        <v>354</v>
      </c>
      <c r="AS2" t="s">
        <v>348</v>
      </c>
      <c r="AT2" t="s">
        <v>349</v>
      </c>
      <c r="AU2" t="s">
        <v>350</v>
      </c>
      <c r="AV2" t="s">
        <v>347</v>
      </c>
      <c r="AW2" t="s">
        <v>354</v>
      </c>
      <c r="AX2">
        <v>32</v>
      </c>
      <c r="AY2" s="5">
        <v>41128</v>
      </c>
      <c r="AZ2" t="s">
        <v>347</v>
      </c>
      <c r="BA2" t="s">
        <v>347</v>
      </c>
      <c r="BB2" t="s">
        <v>347</v>
      </c>
      <c r="BC2" t="s">
        <v>350</v>
      </c>
      <c r="BD2" t="s">
        <v>347</v>
      </c>
      <c r="BE2" t="s">
        <v>354</v>
      </c>
      <c r="BF2" t="s">
        <v>354</v>
      </c>
      <c r="BG2">
        <v>33</v>
      </c>
      <c r="BH2" s="5">
        <v>41135</v>
      </c>
      <c r="BI2" t="s">
        <v>348</v>
      </c>
      <c r="BJ2" t="s">
        <v>349</v>
      </c>
      <c r="BK2" t="s">
        <v>350</v>
      </c>
      <c r="BL2" t="s">
        <v>347</v>
      </c>
      <c r="BM2" t="s">
        <v>354</v>
      </c>
      <c r="BN2" t="s">
        <v>354</v>
      </c>
      <c r="BO2" t="s">
        <v>348</v>
      </c>
      <c r="BP2">
        <v>34</v>
      </c>
      <c r="BQ2" s="5">
        <v>41142</v>
      </c>
      <c r="BR2" t="s">
        <v>349</v>
      </c>
      <c r="BS2" t="s">
        <v>350</v>
      </c>
      <c r="BT2" t="s">
        <v>347</v>
      </c>
      <c r="BU2" t="s">
        <v>347</v>
      </c>
      <c r="BV2" t="s">
        <v>354</v>
      </c>
      <c r="BW2" t="s">
        <v>354</v>
      </c>
      <c r="BX2" t="s">
        <v>347</v>
      </c>
      <c r="BY2">
        <v>35</v>
      </c>
      <c r="BZ2" s="5">
        <v>41149</v>
      </c>
      <c r="CA2" t="s">
        <v>350</v>
      </c>
      <c r="CB2" t="s">
        <v>347</v>
      </c>
      <c r="CC2" t="s">
        <v>354</v>
      </c>
      <c r="CD2" t="s">
        <v>347</v>
      </c>
      <c r="CE2" t="s">
        <v>347</v>
      </c>
      <c r="CF2" t="s">
        <v>354</v>
      </c>
      <c r="CG2" t="s">
        <v>350</v>
      </c>
      <c r="CH2">
        <v>36</v>
      </c>
      <c r="CI2" s="5">
        <v>41156</v>
      </c>
      <c r="CJ2" t="s">
        <v>347</v>
      </c>
      <c r="CK2" t="s">
        <v>347</v>
      </c>
      <c r="CL2" t="s">
        <v>347</v>
      </c>
      <c r="CM2" t="s">
        <v>348</v>
      </c>
      <c r="CN2" t="s">
        <v>349</v>
      </c>
      <c r="CO2" t="s">
        <v>350</v>
      </c>
      <c r="CP2" t="s">
        <v>347</v>
      </c>
      <c r="CQ2">
        <v>37</v>
      </c>
      <c r="CR2" s="5">
        <v>41163</v>
      </c>
      <c r="CS2" t="s">
        <v>347</v>
      </c>
      <c r="CT2" t="s">
        <v>347</v>
      </c>
      <c r="CU2" t="s">
        <v>354</v>
      </c>
      <c r="CV2" t="s">
        <v>350</v>
      </c>
      <c r="CW2" t="s">
        <v>347</v>
      </c>
      <c r="CX2" t="s">
        <v>347</v>
      </c>
      <c r="CY2" t="s">
        <v>347</v>
      </c>
      <c r="CZ2">
        <v>38</v>
      </c>
      <c r="DA2" s="5">
        <v>41170</v>
      </c>
      <c r="DB2" t="s">
        <v>347</v>
      </c>
      <c r="DC2" t="s">
        <v>348</v>
      </c>
      <c r="DD2" t="s">
        <v>349</v>
      </c>
      <c r="DE2" t="s">
        <v>350</v>
      </c>
      <c r="DF2" t="s">
        <v>347</v>
      </c>
      <c r="DG2" t="s">
        <v>347</v>
      </c>
      <c r="DH2" t="s">
        <v>347</v>
      </c>
      <c r="DI2">
        <v>39</v>
      </c>
      <c r="DJ2" s="5">
        <v>41177</v>
      </c>
      <c r="DK2" t="s">
        <v>354</v>
      </c>
      <c r="DL2" t="s">
        <v>347</v>
      </c>
      <c r="DM2" t="s">
        <v>350</v>
      </c>
      <c r="DN2" t="s">
        <v>347</v>
      </c>
      <c r="DO2" t="s">
        <v>347</v>
      </c>
      <c r="DP2" t="s">
        <v>348</v>
      </c>
      <c r="DQ2" t="s">
        <v>349</v>
      </c>
      <c r="DR2">
        <v>40</v>
      </c>
      <c r="DS2" s="5">
        <v>41184</v>
      </c>
      <c r="DT2" t="s">
        <v>350</v>
      </c>
      <c r="DU2" t="s">
        <v>347</v>
      </c>
      <c r="DV2" t="s">
        <v>354</v>
      </c>
      <c r="DW2" t="s">
        <v>354</v>
      </c>
      <c r="DX2" t="s">
        <v>348</v>
      </c>
      <c r="DY2" t="s">
        <v>349</v>
      </c>
      <c r="DZ2" t="s">
        <v>350</v>
      </c>
      <c r="EA2">
        <v>41</v>
      </c>
      <c r="EB2" s="5">
        <v>41191</v>
      </c>
      <c r="EC2" t="s">
        <v>347</v>
      </c>
      <c r="ED2" t="s">
        <v>354</v>
      </c>
      <c r="EE2" t="s">
        <v>354</v>
      </c>
      <c r="EF2" t="s">
        <v>354</v>
      </c>
      <c r="EG2" t="s">
        <v>354</v>
      </c>
      <c r="EH2" t="s">
        <v>350</v>
      </c>
      <c r="EI2" t="s">
        <v>354</v>
      </c>
      <c r="EJ2">
        <v>42</v>
      </c>
      <c r="EK2" s="5">
        <v>41198</v>
      </c>
      <c r="EL2" t="s">
        <v>347</v>
      </c>
      <c r="EM2" t="s">
        <v>354</v>
      </c>
      <c r="EN2" t="s">
        <v>348</v>
      </c>
      <c r="EO2" t="s">
        <v>349</v>
      </c>
      <c r="EP2" t="s">
        <v>350</v>
      </c>
      <c r="EQ2" t="s">
        <v>347</v>
      </c>
      <c r="ER2" t="s">
        <v>354</v>
      </c>
      <c r="ES2">
        <v>43</v>
      </c>
      <c r="ET2" s="5">
        <v>41205</v>
      </c>
      <c r="EU2" t="s">
        <v>354</v>
      </c>
      <c r="EV2" t="s">
        <v>354</v>
      </c>
      <c r="EW2" t="s">
        <v>347</v>
      </c>
      <c r="EX2" t="s">
        <v>350</v>
      </c>
      <c r="EY2" t="s">
        <v>347</v>
      </c>
      <c r="EZ2" t="s">
        <v>347</v>
      </c>
      <c r="FA2" t="s">
        <v>354</v>
      </c>
      <c r="FB2">
        <v>44</v>
      </c>
      <c r="FC2" s="5">
        <v>41212</v>
      </c>
      <c r="FD2" t="s">
        <v>348</v>
      </c>
      <c r="FE2" t="s">
        <v>349</v>
      </c>
      <c r="FF2" t="s">
        <v>350</v>
      </c>
      <c r="FG2" t="s">
        <v>347</v>
      </c>
      <c r="FH2" t="s">
        <v>354</v>
      </c>
      <c r="FI2" t="s">
        <v>354</v>
      </c>
      <c r="FJ2" t="s">
        <v>348</v>
      </c>
    </row>
    <row r="3" spans="1:166">
      <c r="A3" t="s">
        <v>29</v>
      </c>
      <c r="B3" t="s">
        <v>30</v>
      </c>
      <c r="C3" t="s">
        <v>31</v>
      </c>
      <c r="D3">
        <v>2016</v>
      </c>
      <c r="E3">
        <v>27</v>
      </c>
      <c r="F3" s="5">
        <v>41093</v>
      </c>
      <c r="G3" t="s">
        <v>351</v>
      </c>
      <c r="H3" t="s">
        <v>351</v>
      </c>
      <c r="I3" t="s">
        <v>350</v>
      </c>
      <c r="J3" t="s">
        <v>351</v>
      </c>
      <c r="K3" t="s">
        <v>351</v>
      </c>
      <c r="L3" t="s">
        <v>351</v>
      </c>
      <c r="M3" t="s">
        <v>350</v>
      </c>
      <c r="N3">
        <v>28</v>
      </c>
      <c r="O3" s="5">
        <v>41100</v>
      </c>
      <c r="P3" t="s">
        <v>353</v>
      </c>
      <c r="Q3" t="s">
        <v>347</v>
      </c>
      <c r="R3" t="s">
        <v>347</v>
      </c>
      <c r="S3" t="s">
        <v>354</v>
      </c>
      <c r="T3" t="s">
        <v>348</v>
      </c>
      <c r="U3" t="s">
        <v>349</v>
      </c>
      <c r="V3" t="s">
        <v>350</v>
      </c>
      <c r="W3">
        <v>29</v>
      </c>
      <c r="X3" s="5">
        <v>41107</v>
      </c>
      <c r="Y3" t="s">
        <v>347</v>
      </c>
      <c r="Z3" t="s">
        <v>354</v>
      </c>
      <c r="AA3" t="s">
        <v>354</v>
      </c>
      <c r="AB3" t="s">
        <v>354</v>
      </c>
      <c r="AC3" t="s">
        <v>354</v>
      </c>
      <c r="AD3" t="s">
        <v>354</v>
      </c>
      <c r="AE3" t="s">
        <v>350</v>
      </c>
      <c r="AF3">
        <v>30</v>
      </c>
      <c r="AG3" s="5">
        <v>41114</v>
      </c>
      <c r="AH3" t="s">
        <v>354</v>
      </c>
      <c r="AI3" t="s">
        <v>354</v>
      </c>
      <c r="AJ3" t="s">
        <v>348</v>
      </c>
      <c r="AK3" t="s">
        <v>349</v>
      </c>
      <c r="AL3" t="s">
        <v>350</v>
      </c>
      <c r="AM3" t="s">
        <v>347</v>
      </c>
      <c r="AN3" t="s">
        <v>354</v>
      </c>
      <c r="AO3">
        <v>31</v>
      </c>
      <c r="AP3" s="5">
        <v>41121</v>
      </c>
      <c r="AQ3" t="s">
        <v>347</v>
      </c>
      <c r="AR3" t="s">
        <v>354</v>
      </c>
      <c r="AS3" t="s">
        <v>347</v>
      </c>
      <c r="AT3" t="s">
        <v>350</v>
      </c>
      <c r="AU3" t="s">
        <v>347</v>
      </c>
      <c r="AV3" t="s">
        <v>354</v>
      </c>
      <c r="AW3" t="s">
        <v>354</v>
      </c>
      <c r="AX3">
        <v>32</v>
      </c>
      <c r="AY3" s="5">
        <v>41128</v>
      </c>
      <c r="AZ3" t="s">
        <v>348</v>
      </c>
      <c r="BA3" t="s">
        <v>349</v>
      </c>
      <c r="BB3" t="s">
        <v>350</v>
      </c>
      <c r="BC3" t="s">
        <v>347</v>
      </c>
      <c r="BD3" t="s">
        <v>354</v>
      </c>
      <c r="BE3" t="s">
        <v>351</v>
      </c>
      <c r="BF3" t="s">
        <v>348</v>
      </c>
      <c r="BG3">
        <v>33</v>
      </c>
      <c r="BH3" s="5">
        <v>41135</v>
      </c>
      <c r="BI3" t="s">
        <v>349</v>
      </c>
      <c r="BJ3" t="s">
        <v>350</v>
      </c>
      <c r="BK3" t="s">
        <v>347</v>
      </c>
      <c r="BL3" t="s">
        <v>354</v>
      </c>
      <c r="BM3" t="s">
        <v>347</v>
      </c>
      <c r="BN3" t="s">
        <v>354</v>
      </c>
      <c r="BO3" t="s">
        <v>347</v>
      </c>
      <c r="BP3">
        <v>34</v>
      </c>
      <c r="BQ3" s="5">
        <v>41142</v>
      </c>
      <c r="BR3" t="s">
        <v>350</v>
      </c>
      <c r="BS3" t="s">
        <v>347</v>
      </c>
      <c r="BT3" t="s">
        <v>354</v>
      </c>
      <c r="BU3" t="s">
        <v>347</v>
      </c>
      <c r="BV3" t="s">
        <v>347</v>
      </c>
      <c r="BW3" t="s">
        <v>354</v>
      </c>
      <c r="BX3" t="s">
        <v>354</v>
      </c>
      <c r="BY3">
        <v>35</v>
      </c>
      <c r="BZ3" s="5">
        <v>41149</v>
      </c>
      <c r="CA3" t="s">
        <v>350</v>
      </c>
      <c r="CB3" t="s">
        <v>354</v>
      </c>
      <c r="CC3" t="s">
        <v>354</v>
      </c>
      <c r="CD3" t="s">
        <v>348</v>
      </c>
      <c r="CE3" t="s">
        <v>349</v>
      </c>
      <c r="CF3" t="s">
        <v>350</v>
      </c>
      <c r="CG3" t="s">
        <v>347</v>
      </c>
      <c r="CH3">
        <v>36</v>
      </c>
      <c r="CI3" s="5">
        <v>41156</v>
      </c>
      <c r="CJ3" t="s">
        <v>354</v>
      </c>
      <c r="CK3" t="s">
        <v>354</v>
      </c>
      <c r="CL3" t="s">
        <v>354</v>
      </c>
      <c r="CM3" t="s">
        <v>350</v>
      </c>
      <c r="CN3" t="s">
        <v>347</v>
      </c>
      <c r="CO3" t="s">
        <v>354</v>
      </c>
      <c r="CP3" t="s">
        <v>347</v>
      </c>
      <c r="CQ3">
        <v>37</v>
      </c>
      <c r="CR3" s="5">
        <v>41163</v>
      </c>
      <c r="CS3" t="s">
        <v>354</v>
      </c>
      <c r="CT3" t="s">
        <v>348</v>
      </c>
      <c r="CU3" t="s">
        <v>349</v>
      </c>
      <c r="CV3" t="s">
        <v>350</v>
      </c>
      <c r="CW3" t="s">
        <v>347</v>
      </c>
      <c r="CX3" t="s">
        <v>354</v>
      </c>
      <c r="CY3" t="s">
        <v>354</v>
      </c>
      <c r="CZ3">
        <v>38</v>
      </c>
      <c r="DA3" s="5">
        <v>41170</v>
      </c>
      <c r="DB3" t="s">
        <v>354</v>
      </c>
      <c r="DC3" t="s">
        <v>354</v>
      </c>
      <c r="DD3" t="s">
        <v>350</v>
      </c>
      <c r="DE3" t="s">
        <v>347</v>
      </c>
      <c r="DF3" t="s">
        <v>354</v>
      </c>
      <c r="DG3" t="s">
        <v>348</v>
      </c>
      <c r="DH3" t="s">
        <v>349</v>
      </c>
      <c r="DI3">
        <v>39</v>
      </c>
      <c r="DJ3" s="5">
        <v>41177</v>
      </c>
      <c r="DK3" t="s">
        <v>350</v>
      </c>
      <c r="DL3" t="s">
        <v>347</v>
      </c>
      <c r="DM3" t="s">
        <v>347</v>
      </c>
      <c r="DN3" t="s">
        <v>354</v>
      </c>
      <c r="DO3" t="s">
        <v>348</v>
      </c>
      <c r="DP3" t="s">
        <v>349</v>
      </c>
      <c r="DQ3" t="s">
        <v>350</v>
      </c>
      <c r="DR3">
        <v>40</v>
      </c>
      <c r="DS3" s="5">
        <v>41184</v>
      </c>
      <c r="DT3" t="s">
        <v>347</v>
      </c>
      <c r="DU3" t="s">
        <v>354</v>
      </c>
      <c r="DV3" t="s">
        <v>354</v>
      </c>
      <c r="DW3" t="s">
        <v>354</v>
      </c>
      <c r="DX3" t="s">
        <v>354</v>
      </c>
      <c r="DY3" t="s">
        <v>350</v>
      </c>
      <c r="DZ3" t="s">
        <v>354</v>
      </c>
      <c r="EA3">
        <v>41</v>
      </c>
      <c r="EB3" s="5">
        <v>41191</v>
      </c>
      <c r="EC3" t="s">
        <v>347</v>
      </c>
      <c r="ED3" t="s">
        <v>354</v>
      </c>
      <c r="EE3" t="s">
        <v>348</v>
      </c>
      <c r="EF3" t="s">
        <v>349</v>
      </c>
      <c r="EG3" t="s">
        <v>350</v>
      </c>
      <c r="EH3" t="s">
        <v>347</v>
      </c>
      <c r="EI3" t="s">
        <v>354</v>
      </c>
      <c r="EJ3">
        <v>42</v>
      </c>
      <c r="EK3" s="5">
        <v>41198</v>
      </c>
      <c r="EL3" t="s">
        <v>347</v>
      </c>
      <c r="EM3" t="s">
        <v>354</v>
      </c>
      <c r="EN3" t="s">
        <v>347</v>
      </c>
      <c r="EO3" t="s">
        <v>350</v>
      </c>
      <c r="EP3" t="s">
        <v>347</v>
      </c>
      <c r="EQ3" t="s">
        <v>347</v>
      </c>
      <c r="ER3" t="s">
        <v>354</v>
      </c>
      <c r="ES3">
        <v>43</v>
      </c>
      <c r="ET3" s="5">
        <v>41205</v>
      </c>
      <c r="EU3" t="s">
        <v>348</v>
      </c>
      <c r="EV3" t="s">
        <v>349</v>
      </c>
      <c r="EW3" t="s">
        <v>350</v>
      </c>
      <c r="EX3" t="s">
        <v>347</v>
      </c>
      <c r="EY3" t="s">
        <v>354</v>
      </c>
      <c r="EZ3" t="s">
        <v>354</v>
      </c>
      <c r="FA3" t="s">
        <v>348</v>
      </c>
      <c r="FB3">
        <v>44</v>
      </c>
      <c r="FC3" s="5">
        <v>41212</v>
      </c>
      <c r="FD3" t="s">
        <v>349</v>
      </c>
      <c r="FE3" t="s">
        <v>350</v>
      </c>
      <c r="FF3" t="s">
        <v>347</v>
      </c>
      <c r="FG3" t="s">
        <v>347</v>
      </c>
      <c r="FH3" t="s">
        <v>354</v>
      </c>
      <c r="FI3" t="s">
        <v>354</v>
      </c>
      <c r="FJ3" t="s">
        <v>347</v>
      </c>
    </row>
    <row r="4" spans="1:166">
      <c r="A4" t="s">
        <v>33</v>
      </c>
      <c r="B4" t="s">
        <v>34</v>
      </c>
      <c r="C4" t="s">
        <v>35</v>
      </c>
      <c r="D4">
        <v>2016</v>
      </c>
      <c r="E4">
        <v>27</v>
      </c>
      <c r="F4" s="5">
        <v>41093</v>
      </c>
      <c r="G4" t="s">
        <v>352</v>
      </c>
      <c r="H4" t="s">
        <v>353</v>
      </c>
      <c r="I4" t="s">
        <v>350</v>
      </c>
      <c r="J4" t="s">
        <v>347</v>
      </c>
      <c r="K4" t="s">
        <v>354</v>
      </c>
      <c r="L4" t="s">
        <v>354</v>
      </c>
      <c r="M4" t="s">
        <v>348</v>
      </c>
      <c r="N4">
        <v>28</v>
      </c>
      <c r="O4" s="5">
        <v>41100</v>
      </c>
      <c r="P4" t="s">
        <v>349</v>
      </c>
      <c r="Q4" t="s">
        <v>350</v>
      </c>
      <c r="R4" t="s">
        <v>347</v>
      </c>
      <c r="S4" t="s">
        <v>354</v>
      </c>
      <c r="T4" t="s">
        <v>354</v>
      </c>
      <c r="U4" t="s">
        <v>351</v>
      </c>
      <c r="V4" t="s">
        <v>351</v>
      </c>
      <c r="W4">
        <v>29</v>
      </c>
      <c r="X4" s="5">
        <v>41107</v>
      </c>
      <c r="Y4" t="s">
        <v>350</v>
      </c>
      <c r="Z4" t="s">
        <v>351</v>
      </c>
      <c r="AA4" t="s">
        <v>351</v>
      </c>
      <c r="AB4" t="s">
        <v>351</v>
      </c>
      <c r="AC4" t="s">
        <v>351</v>
      </c>
      <c r="AD4" t="s">
        <v>351</v>
      </c>
      <c r="AE4" t="s">
        <v>350</v>
      </c>
      <c r="AF4">
        <v>30</v>
      </c>
      <c r="AG4" s="5">
        <v>41114</v>
      </c>
      <c r="AH4" t="s">
        <v>351</v>
      </c>
      <c r="AI4" t="s">
        <v>351</v>
      </c>
      <c r="AJ4" t="s">
        <v>351</v>
      </c>
      <c r="AK4" t="s">
        <v>351</v>
      </c>
      <c r="AL4" t="s">
        <v>351</v>
      </c>
      <c r="AM4" t="s">
        <v>350</v>
      </c>
      <c r="AN4" t="s">
        <v>354</v>
      </c>
      <c r="AO4">
        <v>31</v>
      </c>
      <c r="AP4" s="5">
        <v>41121</v>
      </c>
      <c r="AQ4" t="s">
        <v>354</v>
      </c>
      <c r="AR4" t="s">
        <v>347</v>
      </c>
      <c r="AS4" t="s">
        <v>347</v>
      </c>
      <c r="AT4" t="s">
        <v>354</v>
      </c>
      <c r="AU4" t="s">
        <v>350</v>
      </c>
      <c r="AV4" t="s">
        <v>347</v>
      </c>
      <c r="AW4" t="s">
        <v>354</v>
      </c>
      <c r="AX4">
        <v>32</v>
      </c>
      <c r="AY4" s="5">
        <v>41128</v>
      </c>
      <c r="AZ4" t="s">
        <v>354</v>
      </c>
      <c r="BA4" t="s">
        <v>348</v>
      </c>
      <c r="BB4" t="s">
        <v>349</v>
      </c>
      <c r="BC4" t="s">
        <v>350</v>
      </c>
      <c r="BD4" t="s">
        <v>347</v>
      </c>
      <c r="BE4" t="s">
        <v>354</v>
      </c>
      <c r="BF4" t="s">
        <v>354</v>
      </c>
      <c r="BG4">
        <v>33</v>
      </c>
      <c r="BH4" s="5">
        <v>41135</v>
      </c>
      <c r="BI4" t="s">
        <v>347</v>
      </c>
      <c r="BJ4" t="s">
        <v>354</v>
      </c>
      <c r="BK4" t="s">
        <v>350</v>
      </c>
      <c r="BL4" t="s">
        <v>354</v>
      </c>
      <c r="BM4" t="s">
        <v>354</v>
      </c>
      <c r="BN4" t="s">
        <v>348</v>
      </c>
      <c r="BO4" t="s">
        <v>349</v>
      </c>
      <c r="BP4">
        <v>34</v>
      </c>
      <c r="BQ4" s="5">
        <v>41142</v>
      </c>
      <c r="BR4" t="s">
        <v>350</v>
      </c>
      <c r="BS4" t="s">
        <v>347</v>
      </c>
      <c r="BT4" t="s">
        <v>354</v>
      </c>
      <c r="BU4" t="s">
        <v>354</v>
      </c>
      <c r="BV4" t="s">
        <v>348</v>
      </c>
      <c r="BW4" t="s">
        <v>349</v>
      </c>
      <c r="BX4" t="s">
        <v>350</v>
      </c>
      <c r="BY4">
        <v>35</v>
      </c>
      <c r="BZ4" s="5">
        <v>41149</v>
      </c>
      <c r="CA4" t="s">
        <v>347</v>
      </c>
      <c r="CB4" t="s">
        <v>354</v>
      </c>
      <c r="CC4" t="s">
        <v>354</v>
      </c>
      <c r="CD4" t="s">
        <v>354</v>
      </c>
      <c r="CE4" t="s">
        <v>354</v>
      </c>
      <c r="CF4" t="s">
        <v>350</v>
      </c>
      <c r="CG4" t="s">
        <v>354</v>
      </c>
      <c r="CH4">
        <v>36</v>
      </c>
      <c r="CI4" s="5">
        <v>41156</v>
      </c>
      <c r="CJ4" t="s">
        <v>354</v>
      </c>
      <c r="CK4" t="s">
        <v>354</v>
      </c>
      <c r="CL4" t="s">
        <v>348</v>
      </c>
      <c r="CM4" t="s">
        <v>349</v>
      </c>
      <c r="CN4" t="s">
        <v>350</v>
      </c>
      <c r="CO4" t="s">
        <v>347</v>
      </c>
      <c r="CP4" t="s">
        <v>356</v>
      </c>
      <c r="CQ4">
        <v>37</v>
      </c>
      <c r="CR4" s="5">
        <v>41163</v>
      </c>
      <c r="CS4" t="s">
        <v>354</v>
      </c>
      <c r="CT4" t="s">
        <v>354</v>
      </c>
      <c r="CU4" t="s">
        <v>354</v>
      </c>
      <c r="CV4" t="s">
        <v>350</v>
      </c>
      <c r="CW4" t="s">
        <v>347</v>
      </c>
      <c r="CX4" t="s">
        <v>347</v>
      </c>
      <c r="CY4" t="s">
        <v>354</v>
      </c>
      <c r="CZ4">
        <v>38</v>
      </c>
      <c r="DA4" s="5">
        <v>41170</v>
      </c>
      <c r="DB4" t="s">
        <v>348</v>
      </c>
      <c r="DC4" t="s">
        <v>349</v>
      </c>
      <c r="DD4" t="s">
        <v>350</v>
      </c>
      <c r="DE4" t="s">
        <v>347</v>
      </c>
      <c r="DF4" t="s">
        <v>354</v>
      </c>
      <c r="DG4" t="s">
        <v>354</v>
      </c>
      <c r="DH4" t="s">
        <v>348</v>
      </c>
      <c r="DI4">
        <v>39</v>
      </c>
      <c r="DJ4" s="5">
        <v>41177</v>
      </c>
      <c r="DK4" t="s">
        <v>349</v>
      </c>
      <c r="DL4" t="s">
        <v>350</v>
      </c>
      <c r="DM4" t="s">
        <v>347</v>
      </c>
      <c r="DN4" t="s">
        <v>354</v>
      </c>
      <c r="DO4" t="s">
        <v>354</v>
      </c>
      <c r="DP4" t="s">
        <v>354</v>
      </c>
      <c r="DQ4" t="s">
        <v>347</v>
      </c>
      <c r="DR4">
        <v>40</v>
      </c>
      <c r="DS4" s="5">
        <v>41184</v>
      </c>
      <c r="DT4" t="s">
        <v>350</v>
      </c>
      <c r="DU4" t="s">
        <v>347</v>
      </c>
      <c r="DV4" t="s">
        <v>354</v>
      </c>
      <c r="DW4" t="s">
        <v>347</v>
      </c>
      <c r="DX4" t="s">
        <v>347</v>
      </c>
      <c r="DY4" t="s">
        <v>354</v>
      </c>
      <c r="DZ4" t="s">
        <v>350</v>
      </c>
      <c r="EA4">
        <v>41</v>
      </c>
      <c r="EB4" s="5">
        <v>41191</v>
      </c>
      <c r="EC4" t="s">
        <v>354</v>
      </c>
      <c r="ED4" t="s">
        <v>354</v>
      </c>
      <c r="EE4" t="s">
        <v>354</v>
      </c>
      <c r="EF4" t="s">
        <v>348</v>
      </c>
      <c r="EG4" t="s">
        <v>349</v>
      </c>
      <c r="EH4" t="s">
        <v>350</v>
      </c>
      <c r="EI4" t="s">
        <v>347</v>
      </c>
      <c r="EJ4">
        <v>42</v>
      </c>
      <c r="EK4" s="5">
        <v>41198</v>
      </c>
      <c r="EL4" t="s">
        <v>354</v>
      </c>
      <c r="EM4" t="s">
        <v>347</v>
      </c>
      <c r="EN4" t="s">
        <v>347</v>
      </c>
      <c r="EO4" t="s">
        <v>354</v>
      </c>
      <c r="EP4" t="s">
        <v>350</v>
      </c>
      <c r="EQ4" t="s">
        <v>347</v>
      </c>
      <c r="ER4" t="s">
        <v>347</v>
      </c>
      <c r="ES4">
        <v>43</v>
      </c>
      <c r="ET4" s="5">
        <v>41205</v>
      </c>
      <c r="EU4" t="s">
        <v>354</v>
      </c>
      <c r="EV4" t="s">
        <v>348</v>
      </c>
      <c r="EW4" t="s">
        <v>349</v>
      </c>
      <c r="EX4" t="s">
        <v>350</v>
      </c>
      <c r="EY4" t="s">
        <v>347</v>
      </c>
      <c r="EZ4" t="s">
        <v>354</v>
      </c>
      <c r="FA4" t="s">
        <v>354</v>
      </c>
      <c r="FB4">
        <v>44</v>
      </c>
      <c r="FC4" s="5">
        <v>41212</v>
      </c>
      <c r="FD4" t="s">
        <v>354</v>
      </c>
      <c r="FE4" t="s">
        <v>354</v>
      </c>
      <c r="FF4" t="s">
        <v>350</v>
      </c>
      <c r="FG4" t="s">
        <v>354</v>
      </c>
      <c r="FH4" t="s">
        <v>354</v>
      </c>
      <c r="FI4" t="s">
        <v>348</v>
      </c>
      <c r="FJ4" t="s">
        <v>349</v>
      </c>
    </row>
    <row r="5" spans="1:166">
      <c r="A5" t="s">
        <v>37</v>
      </c>
      <c r="B5" t="s">
        <v>38</v>
      </c>
      <c r="C5" t="s">
        <v>39</v>
      </c>
      <c r="D5">
        <v>2016</v>
      </c>
      <c r="E5">
        <v>27</v>
      </c>
      <c r="F5" s="5">
        <v>41093</v>
      </c>
      <c r="G5" t="s">
        <v>354</v>
      </c>
      <c r="H5" t="s">
        <v>354</v>
      </c>
      <c r="I5" t="s">
        <v>354</v>
      </c>
      <c r="J5" t="s">
        <v>348</v>
      </c>
      <c r="K5" t="s">
        <v>349</v>
      </c>
      <c r="L5" t="s">
        <v>350</v>
      </c>
      <c r="M5" t="s">
        <v>347</v>
      </c>
      <c r="N5">
        <v>28</v>
      </c>
      <c r="O5" s="5">
        <v>41100</v>
      </c>
      <c r="P5" t="s">
        <v>354</v>
      </c>
      <c r="Q5" t="s">
        <v>354</v>
      </c>
      <c r="R5" t="s">
        <v>348</v>
      </c>
      <c r="S5" t="s">
        <v>349</v>
      </c>
      <c r="T5" t="s">
        <v>350</v>
      </c>
      <c r="U5" t="s">
        <v>347</v>
      </c>
      <c r="V5" t="s">
        <v>354</v>
      </c>
      <c r="W5">
        <v>29</v>
      </c>
      <c r="X5" s="5">
        <v>41107</v>
      </c>
      <c r="Y5" t="s">
        <v>354</v>
      </c>
      <c r="Z5" t="s">
        <v>348</v>
      </c>
      <c r="AA5" t="s">
        <v>349</v>
      </c>
      <c r="AB5" t="s">
        <v>350</v>
      </c>
      <c r="AC5" t="s">
        <v>347</v>
      </c>
      <c r="AD5" t="s">
        <v>354</v>
      </c>
      <c r="AE5" t="s">
        <v>354</v>
      </c>
      <c r="AF5">
        <v>30</v>
      </c>
      <c r="AG5" s="5">
        <v>41114</v>
      </c>
      <c r="AH5" t="s">
        <v>351</v>
      </c>
      <c r="AI5" t="s">
        <v>351</v>
      </c>
      <c r="AJ5" t="s">
        <v>350</v>
      </c>
      <c r="AK5" t="s">
        <v>351</v>
      </c>
      <c r="AL5" t="s">
        <v>351</v>
      </c>
      <c r="AM5" t="s">
        <v>351</v>
      </c>
      <c r="AN5" t="s">
        <v>351</v>
      </c>
      <c r="AO5">
        <v>31</v>
      </c>
      <c r="AP5" s="5">
        <v>41121</v>
      </c>
      <c r="AQ5" t="s">
        <v>354</v>
      </c>
      <c r="AR5" t="s">
        <v>348</v>
      </c>
      <c r="AS5" t="s">
        <v>349</v>
      </c>
      <c r="AT5" t="s">
        <v>350</v>
      </c>
      <c r="AU5" t="s">
        <v>347</v>
      </c>
      <c r="AV5" t="s">
        <v>354</v>
      </c>
      <c r="AW5" t="s">
        <v>354</v>
      </c>
      <c r="AX5">
        <v>32</v>
      </c>
      <c r="AY5" s="5">
        <v>41128</v>
      </c>
      <c r="AZ5" t="s">
        <v>354</v>
      </c>
      <c r="BA5" t="s">
        <v>354</v>
      </c>
      <c r="BB5" t="s">
        <v>350</v>
      </c>
      <c r="BC5" t="s">
        <v>354</v>
      </c>
      <c r="BD5" t="s">
        <v>354</v>
      </c>
      <c r="BE5" t="s">
        <v>348</v>
      </c>
      <c r="BF5" t="s">
        <v>349</v>
      </c>
      <c r="BG5">
        <v>33</v>
      </c>
      <c r="BH5" s="5">
        <v>41135</v>
      </c>
      <c r="BI5" t="s">
        <v>350</v>
      </c>
      <c r="BJ5" t="s">
        <v>347</v>
      </c>
      <c r="BK5" t="s">
        <v>354</v>
      </c>
      <c r="BL5" t="s">
        <v>354</v>
      </c>
      <c r="BM5" t="s">
        <v>351</v>
      </c>
      <c r="BN5" t="s">
        <v>351</v>
      </c>
      <c r="BO5" t="s">
        <v>350</v>
      </c>
      <c r="BP5">
        <v>34</v>
      </c>
      <c r="BQ5" s="5">
        <v>41142</v>
      </c>
      <c r="BR5" t="s">
        <v>347</v>
      </c>
      <c r="BS5" t="s">
        <v>354</v>
      </c>
      <c r="BT5" t="s">
        <v>347</v>
      </c>
      <c r="BU5" t="s">
        <v>354</v>
      </c>
      <c r="BV5" t="s">
        <v>350</v>
      </c>
      <c r="BW5" t="s">
        <v>354</v>
      </c>
      <c r="BX5" t="s">
        <v>354</v>
      </c>
      <c r="BY5">
        <v>35</v>
      </c>
      <c r="BZ5" s="5">
        <v>41149</v>
      </c>
      <c r="CA5" t="s">
        <v>347</v>
      </c>
      <c r="CB5" t="s">
        <v>354</v>
      </c>
      <c r="CC5" t="s">
        <v>348</v>
      </c>
      <c r="CD5" t="s">
        <v>349</v>
      </c>
      <c r="CE5" t="s">
        <v>350</v>
      </c>
      <c r="CF5" t="s">
        <v>347</v>
      </c>
      <c r="CG5" t="s">
        <v>354</v>
      </c>
      <c r="CH5">
        <v>36</v>
      </c>
      <c r="CI5" s="5">
        <v>41156</v>
      </c>
      <c r="CJ5" t="s">
        <v>354</v>
      </c>
      <c r="CK5" t="s">
        <v>354</v>
      </c>
      <c r="CL5" t="s">
        <v>347</v>
      </c>
      <c r="CM5" t="s">
        <v>354</v>
      </c>
      <c r="CN5" t="s">
        <v>350</v>
      </c>
      <c r="CO5" t="s">
        <v>351</v>
      </c>
      <c r="CP5" t="s">
        <v>354</v>
      </c>
      <c r="CQ5">
        <v>37</v>
      </c>
      <c r="CR5" s="5">
        <v>41163</v>
      </c>
      <c r="CS5" t="s">
        <v>348</v>
      </c>
      <c r="CT5" t="s">
        <v>349</v>
      </c>
      <c r="CU5" t="s">
        <v>350</v>
      </c>
      <c r="CV5" t="s">
        <v>347</v>
      </c>
      <c r="CW5" t="s">
        <v>354</v>
      </c>
      <c r="CX5" t="s">
        <v>354</v>
      </c>
      <c r="CY5" t="s">
        <v>348</v>
      </c>
      <c r="CZ5">
        <v>38</v>
      </c>
      <c r="DA5" s="5">
        <v>41170</v>
      </c>
      <c r="DB5" t="s">
        <v>349</v>
      </c>
      <c r="DC5" t="s">
        <v>350</v>
      </c>
      <c r="DD5" t="s">
        <v>347</v>
      </c>
      <c r="DE5" t="s">
        <v>347</v>
      </c>
      <c r="DF5" t="s">
        <v>354</v>
      </c>
      <c r="DG5" t="s">
        <v>354</v>
      </c>
      <c r="DH5" t="s">
        <v>354</v>
      </c>
      <c r="DI5">
        <v>39</v>
      </c>
      <c r="DJ5" s="5">
        <v>41177</v>
      </c>
      <c r="DK5" t="s">
        <v>350</v>
      </c>
      <c r="DL5" t="s">
        <v>347</v>
      </c>
      <c r="DM5" t="s">
        <v>354</v>
      </c>
      <c r="DN5" t="s">
        <v>347</v>
      </c>
      <c r="DO5" t="s">
        <v>354</v>
      </c>
      <c r="DP5" t="s">
        <v>354</v>
      </c>
      <c r="DQ5" t="s">
        <v>350</v>
      </c>
      <c r="DR5">
        <v>40</v>
      </c>
      <c r="DS5" s="5">
        <v>41184</v>
      </c>
      <c r="DT5" t="s">
        <v>354</v>
      </c>
      <c r="DU5" t="s">
        <v>354</v>
      </c>
      <c r="DV5" t="s">
        <v>354</v>
      </c>
      <c r="DW5" t="s">
        <v>348</v>
      </c>
      <c r="DX5" t="s">
        <v>349</v>
      </c>
      <c r="DY5" t="s">
        <v>350</v>
      </c>
      <c r="DZ5" t="s">
        <v>347</v>
      </c>
      <c r="EA5">
        <v>41</v>
      </c>
      <c r="EB5" s="5">
        <v>41191</v>
      </c>
      <c r="EC5" t="s">
        <v>354</v>
      </c>
      <c r="ED5" t="s">
        <v>347</v>
      </c>
      <c r="EE5" t="s">
        <v>347</v>
      </c>
      <c r="EF5" t="s">
        <v>354</v>
      </c>
      <c r="EG5" t="s">
        <v>350</v>
      </c>
      <c r="EH5" t="s">
        <v>347</v>
      </c>
      <c r="EI5" t="s">
        <v>347</v>
      </c>
      <c r="EJ5">
        <v>42</v>
      </c>
      <c r="EK5" s="5">
        <v>41198</v>
      </c>
      <c r="EL5" t="s">
        <v>354</v>
      </c>
      <c r="EM5" t="s">
        <v>348</v>
      </c>
      <c r="EN5" t="s">
        <v>349</v>
      </c>
      <c r="EO5" t="s">
        <v>350</v>
      </c>
      <c r="EP5" t="s">
        <v>347</v>
      </c>
      <c r="EQ5" t="s">
        <v>354</v>
      </c>
      <c r="ER5" t="s">
        <v>354</v>
      </c>
      <c r="ES5">
        <v>43</v>
      </c>
      <c r="ET5" s="5">
        <v>41205</v>
      </c>
      <c r="EU5" t="s">
        <v>354</v>
      </c>
      <c r="EV5" t="s">
        <v>354</v>
      </c>
      <c r="EW5" t="s">
        <v>350</v>
      </c>
      <c r="EX5" t="s">
        <v>354</v>
      </c>
      <c r="EY5" t="s">
        <v>354</v>
      </c>
      <c r="EZ5" t="s">
        <v>348</v>
      </c>
      <c r="FA5" t="s">
        <v>349</v>
      </c>
      <c r="FB5">
        <v>44</v>
      </c>
      <c r="FC5" s="5">
        <v>41212</v>
      </c>
      <c r="FD5" t="s">
        <v>350</v>
      </c>
      <c r="FE5" t="s">
        <v>347</v>
      </c>
      <c r="FF5" t="s">
        <v>354</v>
      </c>
      <c r="FG5" t="s">
        <v>354</v>
      </c>
      <c r="FH5" t="s">
        <v>348</v>
      </c>
      <c r="FI5" t="s">
        <v>349</v>
      </c>
      <c r="FJ5" t="s">
        <v>350</v>
      </c>
    </row>
    <row r="6" spans="1:166">
      <c r="A6" t="s">
        <v>40</v>
      </c>
      <c r="B6" t="s">
        <v>41</v>
      </c>
      <c r="C6" t="s">
        <v>42</v>
      </c>
      <c r="D6">
        <v>2016</v>
      </c>
      <c r="E6">
        <v>27</v>
      </c>
      <c r="F6" s="5">
        <v>41093</v>
      </c>
      <c r="G6" t="s">
        <v>350</v>
      </c>
      <c r="H6" t="s">
        <v>347</v>
      </c>
      <c r="I6" t="s">
        <v>354</v>
      </c>
      <c r="J6" t="s">
        <v>354</v>
      </c>
      <c r="K6" t="s">
        <v>354</v>
      </c>
      <c r="L6" t="s">
        <v>354</v>
      </c>
      <c r="M6" t="s">
        <v>350</v>
      </c>
      <c r="N6">
        <v>28</v>
      </c>
      <c r="O6" s="5">
        <v>41100</v>
      </c>
      <c r="P6" t="s">
        <v>347</v>
      </c>
      <c r="Q6" t="s">
        <v>354</v>
      </c>
      <c r="R6" t="s">
        <v>354</v>
      </c>
      <c r="S6" t="s">
        <v>348</v>
      </c>
      <c r="T6" t="s">
        <v>349</v>
      </c>
      <c r="U6" t="s">
        <v>350</v>
      </c>
      <c r="V6" t="s">
        <v>347</v>
      </c>
      <c r="W6">
        <v>29</v>
      </c>
      <c r="X6" s="5">
        <v>41107</v>
      </c>
      <c r="Y6" t="s">
        <v>354</v>
      </c>
      <c r="Z6" t="s">
        <v>354</v>
      </c>
      <c r="AA6" t="s">
        <v>348</v>
      </c>
      <c r="AB6" t="s">
        <v>349</v>
      </c>
      <c r="AC6" t="s">
        <v>350</v>
      </c>
      <c r="AD6" t="s">
        <v>347</v>
      </c>
      <c r="AE6" t="s">
        <v>354</v>
      </c>
      <c r="AF6">
        <v>30</v>
      </c>
      <c r="AG6" s="5">
        <v>41114</v>
      </c>
      <c r="AH6" t="s">
        <v>354</v>
      </c>
      <c r="AI6" t="s">
        <v>348</v>
      </c>
      <c r="AJ6" t="s">
        <v>349</v>
      </c>
      <c r="AK6" t="s">
        <v>350</v>
      </c>
      <c r="AL6" t="s">
        <v>347</v>
      </c>
      <c r="AM6" t="s">
        <v>354</v>
      </c>
      <c r="AN6" t="s">
        <v>354</v>
      </c>
      <c r="AO6">
        <v>31</v>
      </c>
      <c r="AP6" s="5">
        <v>41121</v>
      </c>
      <c r="AQ6" t="s">
        <v>354</v>
      </c>
      <c r="AR6" t="s">
        <v>350</v>
      </c>
      <c r="AS6" t="s">
        <v>347</v>
      </c>
      <c r="AT6" t="s">
        <v>354</v>
      </c>
      <c r="AU6" t="s">
        <v>354</v>
      </c>
      <c r="AV6" t="s">
        <v>348</v>
      </c>
      <c r="AW6" t="s">
        <v>349</v>
      </c>
      <c r="AX6">
        <v>32</v>
      </c>
      <c r="AY6" s="5">
        <v>41128</v>
      </c>
      <c r="AZ6" t="s">
        <v>350</v>
      </c>
      <c r="BA6" t="s">
        <v>351</v>
      </c>
      <c r="BB6" t="s">
        <v>351</v>
      </c>
      <c r="BC6" t="s">
        <v>351</v>
      </c>
      <c r="BD6" t="s">
        <v>351</v>
      </c>
      <c r="BE6" t="s">
        <v>351</v>
      </c>
      <c r="BF6" t="s">
        <v>350</v>
      </c>
      <c r="BG6">
        <v>33</v>
      </c>
      <c r="BH6" s="5">
        <v>41135</v>
      </c>
      <c r="BI6" t="s">
        <v>351</v>
      </c>
      <c r="BJ6" t="s">
        <v>351</v>
      </c>
      <c r="BK6" t="s">
        <v>351</v>
      </c>
      <c r="BL6" t="s">
        <v>351</v>
      </c>
      <c r="BM6" t="s">
        <v>351</v>
      </c>
      <c r="BN6" t="s">
        <v>350</v>
      </c>
      <c r="BO6" t="s">
        <v>351</v>
      </c>
      <c r="BP6">
        <v>34</v>
      </c>
      <c r="BQ6" s="5">
        <v>41142</v>
      </c>
      <c r="BR6" t="s">
        <v>347</v>
      </c>
      <c r="BS6" t="s">
        <v>354</v>
      </c>
      <c r="BT6" t="s">
        <v>348</v>
      </c>
      <c r="BU6" t="s">
        <v>349</v>
      </c>
      <c r="BV6" t="s">
        <v>350</v>
      </c>
      <c r="BW6" t="s">
        <v>347</v>
      </c>
      <c r="BX6" t="s">
        <v>347</v>
      </c>
      <c r="BY6">
        <v>35</v>
      </c>
      <c r="BZ6" s="5">
        <v>41149</v>
      </c>
      <c r="CA6" t="s">
        <v>347</v>
      </c>
      <c r="CB6" t="s">
        <v>354</v>
      </c>
      <c r="CC6" t="s">
        <v>347</v>
      </c>
      <c r="CD6" t="s">
        <v>350</v>
      </c>
      <c r="CE6" t="s">
        <v>347</v>
      </c>
      <c r="CF6" t="s">
        <v>347</v>
      </c>
      <c r="CG6" t="s">
        <v>354</v>
      </c>
      <c r="CH6">
        <v>36</v>
      </c>
      <c r="CI6" s="5">
        <v>41156</v>
      </c>
      <c r="CJ6" t="s">
        <v>348</v>
      </c>
      <c r="CK6" t="s">
        <v>349</v>
      </c>
      <c r="CL6" t="s">
        <v>350</v>
      </c>
      <c r="CM6" t="s">
        <v>347</v>
      </c>
      <c r="CN6" t="s">
        <v>354</v>
      </c>
      <c r="CO6" t="s">
        <v>354</v>
      </c>
      <c r="CP6" t="s">
        <v>348</v>
      </c>
      <c r="CQ6">
        <v>37</v>
      </c>
      <c r="CR6" s="5">
        <v>41163</v>
      </c>
      <c r="CS6" t="s">
        <v>349</v>
      </c>
      <c r="CT6" t="s">
        <v>350</v>
      </c>
      <c r="CU6" t="s">
        <v>347</v>
      </c>
      <c r="CV6" t="s">
        <v>354</v>
      </c>
      <c r="CW6" t="s">
        <v>354</v>
      </c>
      <c r="CX6" t="s">
        <v>354</v>
      </c>
      <c r="CY6" t="s">
        <v>354</v>
      </c>
      <c r="CZ6">
        <v>38</v>
      </c>
      <c r="DA6" s="5">
        <v>41170</v>
      </c>
      <c r="DB6" t="s">
        <v>350</v>
      </c>
      <c r="DC6" t="s">
        <v>347</v>
      </c>
      <c r="DD6" t="s">
        <v>354</v>
      </c>
      <c r="DE6" t="s">
        <v>354</v>
      </c>
      <c r="DF6" t="s">
        <v>347</v>
      </c>
      <c r="DG6" t="s">
        <v>354</v>
      </c>
      <c r="DH6" t="s">
        <v>350</v>
      </c>
      <c r="DI6">
        <v>39</v>
      </c>
      <c r="DJ6" s="5">
        <v>41177</v>
      </c>
      <c r="DK6" t="s">
        <v>347</v>
      </c>
      <c r="DL6" t="s">
        <v>354</v>
      </c>
      <c r="DM6" t="s">
        <v>354</v>
      </c>
      <c r="DN6" t="s">
        <v>348</v>
      </c>
      <c r="DO6" t="s">
        <v>349</v>
      </c>
      <c r="DP6" t="s">
        <v>350</v>
      </c>
      <c r="DQ6" t="s">
        <v>347</v>
      </c>
      <c r="DR6">
        <v>40</v>
      </c>
      <c r="DS6" s="5">
        <v>41184</v>
      </c>
      <c r="DT6" t="s">
        <v>354</v>
      </c>
      <c r="DU6" t="s">
        <v>347</v>
      </c>
      <c r="DV6" t="s">
        <v>347</v>
      </c>
      <c r="DW6" t="s">
        <v>354</v>
      </c>
      <c r="DX6" t="s">
        <v>350</v>
      </c>
      <c r="DY6" t="s">
        <v>347</v>
      </c>
      <c r="DZ6" t="s">
        <v>347</v>
      </c>
      <c r="EA6">
        <v>41</v>
      </c>
      <c r="EB6" s="5">
        <v>41191</v>
      </c>
      <c r="EC6" t="s">
        <v>354</v>
      </c>
      <c r="ED6" t="s">
        <v>348</v>
      </c>
      <c r="EE6" t="s">
        <v>349</v>
      </c>
      <c r="EF6" t="s">
        <v>350</v>
      </c>
      <c r="EG6" t="s">
        <v>347</v>
      </c>
      <c r="EH6" t="s">
        <v>354</v>
      </c>
      <c r="EI6" t="s">
        <v>354</v>
      </c>
      <c r="EJ6">
        <v>42</v>
      </c>
      <c r="EK6" s="5">
        <v>41198</v>
      </c>
      <c r="EL6" t="s">
        <v>354</v>
      </c>
      <c r="EM6" t="s">
        <v>354</v>
      </c>
      <c r="EN6" t="s">
        <v>350</v>
      </c>
      <c r="EO6" t="s">
        <v>354</v>
      </c>
      <c r="EP6" t="s">
        <v>354</v>
      </c>
      <c r="EQ6" t="s">
        <v>348</v>
      </c>
      <c r="ER6" t="s">
        <v>349</v>
      </c>
      <c r="ES6">
        <v>43</v>
      </c>
      <c r="ET6" s="5">
        <v>41205</v>
      </c>
      <c r="EU6" t="s">
        <v>350</v>
      </c>
      <c r="EV6" t="s">
        <v>347</v>
      </c>
      <c r="EW6" t="s">
        <v>354</v>
      </c>
      <c r="EX6" t="s">
        <v>354</v>
      </c>
      <c r="EY6" t="s">
        <v>348</v>
      </c>
      <c r="EZ6" t="s">
        <v>349</v>
      </c>
      <c r="FA6" t="s">
        <v>350</v>
      </c>
      <c r="FB6">
        <v>44</v>
      </c>
      <c r="FC6" s="5">
        <v>41212</v>
      </c>
      <c r="FD6" t="s">
        <v>347</v>
      </c>
      <c r="FE6" t="s">
        <v>354</v>
      </c>
      <c r="FF6" t="s">
        <v>354</v>
      </c>
      <c r="FG6" t="s">
        <v>354</v>
      </c>
      <c r="FH6" t="s">
        <v>354</v>
      </c>
      <c r="FI6" t="s">
        <v>350</v>
      </c>
      <c r="FJ6" t="s">
        <v>354</v>
      </c>
    </row>
    <row r="7" spans="1:166">
      <c r="A7" t="s">
        <v>43</v>
      </c>
      <c r="B7" t="s">
        <v>44</v>
      </c>
      <c r="C7" t="s">
        <v>45</v>
      </c>
      <c r="D7">
        <v>2016</v>
      </c>
      <c r="E7">
        <v>27</v>
      </c>
      <c r="F7" s="5">
        <v>41093</v>
      </c>
      <c r="G7" t="s">
        <v>350</v>
      </c>
      <c r="H7" t="s">
        <v>355</v>
      </c>
      <c r="I7" t="s">
        <v>354</v>
      </c>
      <c r="J7" t="s">
        <v>347</v>
      </c>
      <c r="K7" t="s">
        <v>355</v>
      </c>
      <c r="L7" t="s">
        <v>351</v>
      </c>
      <c r="M7" t="s">
        <v>350</v>
      </c>
      <c r="N7">
        <v>28</v>
      </c>
      <c r="O7" s="5">
        <v>41100</v>
      </c>
      <c r="P7" t="s">
        <v>347</v>
      </c>
      <c r="Q7" t="s">
        <v>355</v>
      </c>
      <c r="R7" t="s">
        <v>354</v>
      </c>
      <c r="S7" t="s">
        <v>354</v>
      </c>
      <c r="T7" t="s">
        <v>354</v>
      </c>
      <c r="U7" t="s">
        <v>350</v>
      </c>
      <c r="V7" t="s">
        <v>347</v>
      </c>
      <c r="W7">
        <v>29</v>
      </c>
      <c r="X7" s="5">
        <v>41107</v>
      </c>
      <c r="Y7" t="s">
        <v>353</v>
      </c>
      <c r="Z7" t="s">
        <v>352</v>
      </c>
      <c r="AA7" t="s">
        <v>353</v>
      </c>
      <c r="AB7" t="s">
        <v>353</v>
      </c>
      <c r="AC7" t="s">
        <v>350</v>
      </c>
      <c r="AD7" t="s">
        <v>352</v>
      </c>
      <c r="AE7" t="s">
        <v>353</v>
      </c>
      <c r="AF7">
        <v>30</v>
      </c>
      <c r="AG7" s="5">
        <v>41114</v>
      </c>
      <c r="AH7" t="s">
        <v>352</v>
      </c>
      <c r="AI7" t="s">
        <v>353</v>
      </c>
      <c r="AJ7" t="s">
        <v>353</v>
      </c>
      <c r="AK7" t="s">
        <v>350</v>
      </c>
      <c r="AL7" t="s">
        <v>352</v>
      </c>
      <c r="AM7" t="s">
        <v>352</v>
      </c>
      <c r="AN7" t="s">
        <v>353</v>
      </c>
      <c r="AO7">
        <v>31</v>
      </c>
      <c r="AP7" s="5">
        <v>41121</v>
      </c>
      <c r="AQ7" t="s">
        <v>352</v>
      </c>
      <c r="AR7" t="s">
        <v>352</v>
      </c>
      <c r="AS7" t="s">
        <v>350</v>
      </c>
      <c r="AT7" t="s">
        <v>353</v>
      </c>
      <c r="AU7" t="s">
        <v>353</v>
      </c>
      <c r="AV7" t="s">
        <v>352</v>
      </c>
      <c r="AW7" t="s">
        <v>353</v>
      </c>
      <c r="AX7">
        <v>32</v>
      </c>
      <c r="AY7" s="5">
        <v>41128</v>
      </c>
      <c r="AZ7" t="s">
        <v>355</v>
      </c>
      <c r="BA7" t="s">
        <v>350</v>
      </c>
      <c r="BB7" t="s">
        <v>353</v>
      </c>
      <c r="BC7" t="s">
        <v>352</v>
      </c>
      <c r="BD7" t="s">
        <v>353</v>
      </c>
      <c r="BE7" t="s">
        <v>353</v>
      </c>
      <c r="BF7" t="s">
        <v>355</v>
      </c>
      <c r="BG7">
        <v>33</v>
      </c>
      <c r="BH7" s="5">
        <v>41135</v>
      </c>
      <c r="BI7" t="s">
        <v>350</v>
      </c>
      <c r="BJ7" t="s">
        <v>354</v>
      </c>
      <c r="BK7" t="s">
        <v>354</v>
      </c>
      <c r="BL7" t="s">
        <v>347</v>
      </c>
      <c r="BM7" t="s">
        <v>354</v>
      </c>
      <c r="BN7" t="s">
        <v>355</v>
      </c>
      <c r="BO7" t="s">
        <v>350</v>
      </c>
      <c r="BP7">
        <v>34</v>
      </c>
      <c r="BQ7" s="5">
        <v>41142</v>
      </c>
      <c r="BR7" t="s">
        <v>354</v>
      </c>
      <c r="BS7" t="s">
        <v>354</v>
      </c>
      <c r="BT7" t="s">
        <v>354</v>
      </c>
      <c r="BU7" t="s">
        <v>347</v>
      </c>
      <c r="BV7" t="s">
        <v>354</v>
      </c>
      <c r="BW7" t="s">
        <v>350</v>
      </c>
      <c r="BX7" t="s">
        <v>354</v>
      </c>
      <c r="BY7">
        <v>35</v>
      </c>
      <c r="BZ7" s="5">
        <v>41149</v>
      </c>
      <c r="CA7" t="s">
        <v>352</v>
      </c>
      <c r="CB7" t="s">
        <v>353</v>
      </c>
      <c r="CC7" t="s">
        <v>353</v>
      </c>
      <c r="CD7" t="s">
        <v>353</v>
      </c>
      <c r="CE7" t="s">
        <v>350</v>
      </c>
      <c r="CF7" t="s">
        <v>352</v>
      </c>
      <c r="CG7" t="s">
        <v>352</v>
      </c>
      <c r="CH7">
        <v>36</v>
      </c>
      <c r="CI7" s="5">
        <v>41156</v>
      </c>
      <c r="CJ7" t="s">
        <v>355</v>
      </c>
      <c r="CK7" t="s">
        <v>354</v>
      </c>
      <c r="CL7" t="s">
        <v>354</v>
      </c>
      <c r="CM7" t="s">
        <v>354</v>
      </c>
      <c r="CN7" t="s">
        <v>350</v>
      </c>
      <c r="CO7" t="s">
        <v>354</v>
      </c>
      <c r="CP7" t="s">
        <v>354</v>
      </c>
      <c r="CQ7">
        <v>37</v>
      </c>
      <c r="CR7" s="5">
        <v>41163</v>
      </c>
      <c r="CS7" t="s">
        <v>351</v>
      </c>
      <c r="CT7" t="s">
        <v>351</v>
      </c>
      <c r="CU7" t="s">
        <v>350</v>
      </c>
      <c r="CV7" t="s">
        <v>351</v>
      </c>
      <c r="CW7" t="s">
        <v>351</v>
      </c>
      <c r="CX7" t="s">
        <v>351</v>
      </c>
      <c r="CY7" t="s">
        <v>351</v>
      </c>
      <c r="CZ7">
        <v>38</v>
      </c>
      <c r="DA7" s="5">
        <v>41170</v>
      </c>
      <c r="DB7" t="s">
        <v>351</v>
      </c>
      <c r="DC7" t="s">
        <v>350</v>
      </c>
      <c r="DD7" t="s">
        <v>351</v>
      </c>
      <c r="DE7" t="s">
        <v>351</v>
      </c>
      <c r="DF7" t="s">
        <v>351</v>
      </c>
      <c r="DG7" t="s">
        <v>351</v>
      </c>
      <c r="DH7" t="s">
        <v>351</v>
      </c>
      <c r="DI7">
        <v>39</v>
      </c>
      <c r="DJ7" s="5">
        <v>41177</v>
      </c>
      <c r="DK7" t="s">
        <v>350</v>
      </c>
      <c r="DL7" t="s">
        <v>355</v>
      </c>
      <c r="DM7" t="s">
        <v>354</v>
      </c>
      <c r="DN7" t="s">
        <v>355</v>
      </c>
      <c r="DO7" t="s">
        <v>354</v>
      </c>
      <c r="DP7" t="s">
        <v>354</v>
      </c>
      <c r="DQ7" t="s">
        <v>350</v>
      </c>
      <c r="DR7">
        <v>40</v>
      </c>
      <c r="DS7" s="5">
        <v>41184</v>
      </c>
      <c r="DT7" t="s">
        <v>354</v>
      </c>
      <c r="DU7" t="s">
        <v>347</v>
      </c>
      <c r="DV7" t="s">
        <v>354</v>
      </c>
      <c r="DW7" t="s">
        <v>347</v>
      </c>
      <c r="DX7" t="s">
        <v>354</v>
      </c>
      <c r="DY7" t="s">
        <v>350</v>
      </c>
      <c r="DZ7" t="s">
        <v>354</v>
      </c>
      <c r="EA7">
        <v>41</v>
      </c>
      <c r="EB7" s="5">
        <v>41191</v>
      </c>
      <c r="EC7" t="s">
        <v>354</v>
      </c>
      <c r="ED7" t="s">
        <v>347</v>
      </c>
      <c r="EE7" t="s">
        <v>354</v>
      </c>
      <c r="EF7" t="s">
        <v>354</v>
      </c>
      <c r="EG7" t="s">
        <v>350</v>
      </c>
      <c r="EH7" t="s">
        <v>347</v>
      </c>
      <c r="EI7" t="s">
        <v>347</v>
      </c>
      <c r="EJ7">
        <v>42</v>
      </c>
      <c r="EK7" s="5">
        <v>41198</v>
      </c>
      <c r="EL7" t="s">
        <v>347</v>
      </c>
      <c r="EM7" t="s">
        <v>354</v>
      </c>
      <c r="EN7" t="s">
        <v>347</v>
      </c>
      <c r="EO7" t="s">
        <v>350</v>
      </c>
      <c r="EP7" t="s">
        <v>347</v>
      </c>
      <c r="EQ7" t="s">
        <v>354</v>
      </c>
      <c r="ER7" t="s">
        <v>347</v>
      </c>
      <c r="ES7">
        <v>43</v>
      </c>
      <c r="ET7" s="5">
        <v>41205</v>
      </c>
      <c r="EU7" t="s">
        <v>347</v>
      </c>
      <c r="EV7" t="s">
        <v>347</v>
      </c>
      <c r="EW7" t="s">
        <v>350</v>
      </c>
      <c r="EX7" t="s">
        <v>354</v>
      </c>
      <c r="EY7" t="s">
        <v>354</v>
      </c>
      <c r="EZ7" t="s">
        <v>347</v>
      </c>
      <c r="FA7" t="s">
        <v>354</v>
      </c>
      <c r="FB7">
        <v>44</v>
      </c>
      <c r="FC7" s="5">
        <v>41212</v>
      </c>
      <c r="FD7" t="s">
        <v>354</v>
      </c>
      <c r="FE7" t="s">
        <v>350</v>
      </c>
      <c r="FF7" t="s">
        <v>347</v>
      </c>
      <c r="FG7" t="s">
        <v>354</v>
      </c>
      <c r="FH7" t="s">
        <v>347</v>
      </c>
      <c r="FI7" t="s">
        <v>354</v>
      </c>
      <c r="FJ7" t="s">
        <v>354</v>
      </c>
    </row>
    <row r="8" spans="1:166">
      <c r="A8" t="s">
        <v>50</v>
      </c>
      <c r="B8" t="s">
        <v>44</v>
      </c>
      <c r="C8" t="s">
        <v>51</v>
      </c>
      <c r="D8">
        <v>2016</v>
      </c>
      <c r="E8">
        <v>27</v>
      </c>
      <c r="F8" s="5">
        <v>41093</v>
      </c>
      <c r="G8" t="s">
        <v>349</v>
      </c>
      <c r="H8" t="s">
        <v>350</v>
      </c>
      <c r="I8" t="s">
        <v>347</v>
      </c>
      <c r="J8" t="s">
        <v>347</v>
      </c>
      <c r="K8" t="s">
        <v>354</v>
      </c>
      <c r="L8" t="s">
        <v>348</v>
      </c>
      <c r="M8" t="s">
        <v>349</v>
      </c>
      <c r="N8">
        <v>28</v>
      </c>
      <c r="O8" s="5">
        <v>41100</v>
      </c>
      <c r="P8" t="s">
        <v>350</v>
      </c>
      <c r="Q8" t="s">
        <v>347</v>
      </c>
      <c r="R8" t="s">
        <v>354</v>
      </c>
      <c r="S8" t="s">
        <v>351</v>
      </c>
      <c r="T8" t="s">
        <v>347</v>
      </c>
      <c r="U8" t="s">
        <v>354</v>
      </c>
      <c r="V8" t="s">
        <v>350</v>
      </c>
      <c r="W8">
        <v>29</v>
      </c>
      <c r="X8" s="5">
        <v>41107</v>
      </c>
      <c r="Y8" t="s">
        <v>354</v>
      </c>
      <c r="Z8" t="s">
        <v>354</v>
      </c>
      <c r="AA8" t="s">
        <v>354</v>
      </c>
      <c r="AB8" t="s">
        <v>348</v>
      </c>
      <c r="AC8" t="s">
        <v>349</v>
      </c>
      <c r="AD8" t="s">
        <v>350</v>
      </c>
      <c r="AE8" t="s">
        <v>347</v>
      </c>
      <c r="AF8">
        <v>30</v>
      </c>
      <c r="AG8" s="5">
        <v>41114</v>
      </c>
      <c r="AH8" t="s">
        <v>354</v>
      </c>
      <c r="AI8" t="s">
        <v>354</v>
      </c>
      <c r="AJ8" t="s">
        <v>354</v>
      </c>
      <c r="AK8" t="s">
        <v>354</v>
      </c>
      <c r="AL8" t="s">
        <v>350</v>
      </c>
      <c r="AM8" t="s">
        <v>347</v>
      </c>
      <c r="AN8" t="s">
        <v>354</v>
      </c>
      <c r="AO8">
        <v>31</v>
      </c>
      <c r="AP8" s="5">
        <v>41121</v>
      </c>
      <c r="AQ8" t="s">
        <v>347</v>
      </c>
      <c r="AR8" t="s">
        <v>348</v>
      </c>
      <c r="AS8" t="s">
        <v>349</v>
      </c>
      <c r="AT8" t="s">
        <v>350</v>
      </c>
      <c r="AU8" t="s">
        <v>347</v>
      </c>
      <c r="AV8" t="s">
        <v>347</v>
      </c>
      <c r="AW8" t="s">
        <v>354</v>
      </c>
      <c r="AX8">
        <v>32</v>
      </c>
      <c r="AY8" s="5">
        <v>41128</v>
      </c>
      <c r="AZ8" t="s">
        <v>348</v>
      </c>
      <c r="BA8" t="s">
        <v>349</v>
      </c>
      <c r="BB8" t="s">
        <v>350</v>
      </c>
      <c r="BC8" t="s">
        <v>347</v>
      </c>
      <c r="BD8" t="s">
        <v>354</v>
      </c>
      <c r="BE8" t="s">
        <v>354</v>
      </c>
      <c r="BF8" t="s">
        <v>348</v>
      </c>
      <c r="BG8">
        <v>33</v>
      </c>
      <c r="BH8" s="5">
        <v>41135</v>
      </c>
      <c r="BI8" t="s">
        <v>349</v>
      </c>
      <c r="BJ8" t="s">
        <v>350</v>
      </c>
      <c r="BK8" t="s">
        <v>347</v>
      </c>
      <c r="BL8" t="s">
        <v>347</v>
      </c>
      <c r="BM8" t="s">
        <v>354</v>
      </c>
      <c r="BN8" t="s">
        <v>354</v>
      </c>
      <c r="BO8" t="s">
        <v>347</v>
      </c>
      <c r="BP8">
        <v>34</v>
      </c>
      <c r="BQ8" s="5">
        <v>41142</v>
      </c>
      <c r="BR8" t="s">
        <v>350</v>
      </c>
      <c r="BS8" t="s">
        <v>347</v>
      </c>
      <c r="BT8" t="s">
        <v>354</v>
      </c>
      <c r="BU8" t="s">
        <v>347</v>
      </c>
      <c r="BV8" t="s">
        <v>347</v>
      </c>
      <c r="BW8" t="s">
        <v>354</v>
      </c>
      <c r="BX8" t="s">
        <v>354</v>
      </c>
      <c r="BY8">
        <v>35</v>
      </c>
      <c r="BZ8" s="5">
        <v>41149</v>
      </c>
      <c r="CA8" t="s">
        <v>350</v>
      </c>
      <c r="CB8" t="s">
        <v>354</v>
      </c>
      <c r="CC8" t="s">
        <v>354</v>
      </c>
      <c r="CD8" t="s">
        <v>348</v>
      </c>
      <c r="CE8" t="s">
        <v>349</v>
      </c>
      <c r="CF8" t="s">
        <v>350</v>
      </c>
      <c r="CG8" t="s">
        <v>347</v>
      </c>
      <c r="CH8">
        <v>36</v>
      </c>
      <c r="CI8" s="5">
        <v>41156</v>
      </c>
      <c r="CJ8" t="s">
        <v>351</v>
      </c>
      <c r="CK8" t="s">
        <v>351</v>
      </c>
      <c r="CL8" t="s">
        <v>351</v>
      </c>
      <c r="CM8" t="s">
        <v>351</v>
      </c>
      <c r="CN8" t="s">
        <v>350</v>
      </c>
      <c r="CO8" t="s">
        <v>351</v>
      </c>
      <c r="CP8" t="s">
        <v>351</v>
      </c>
      <c r="CQ8">
        <v>37</v>
      </c>
      <c r="CR8" s="5">
        <v>41163</v>
      </c>
      <c r="CS8" t="s">
        <v>351</v>
      </c>
      <c r="CT8" t="s">
        <v>351</v>
      </c>
      <c r="CU8" t="s">
        <v>351</v>
      </c>
      <c r="CV8" t="s">
        <v>350</v>
      </c>
      <c r="CW8" t="s">
        <v>351</v>
      </c>
      <c r="CX8" t="s">
        <v>351</v>
      </c>
      <c r="CY8" t="s">
        <v>351</v>
      </c>
      <c r="CZ8">
        <v>38</v>
      </c>
      <c r="DA8" s="5">
        <v>41170</v>
      </c>
      <c r="DB8" t="s">
        <v>347</v>
      </c>
      <c r="DC8" t="s">
        <v>358</v>
      </c>
      <c r="DD8" t="s">
        <v>350</v>
      </c>
      <c r="DE8" t="s">
        <v>354</v>
      </c>
      <c r="DF8" t="s">
        <v>354</v>
      </c>
      <c r="DG8" t="s">
        <v>347</v>
      </c>
      <c r="DH8" t="s">
        <v>354</v>
      </c>
      <c r="DI8">
        <v>39</v>
      </c>
      <c r="DJ8" s="5">
        <v>41177</v>
      </c>
      <c r="DK8" t="s">
        <v>354</v>
      </c>
      <c r="DL8" t="s">
        <v>350</v>
      </c>
      <c r="DM8" t="s">
        <v>354</v>
      </c>
      <c r="DN8" t="s">
        <v>354</v>
      </c>
      <c r="DO8" t="s">
        <v>354</v>
      </c>
      <c r="DP8" t="s">
        <v>347</v>
      </c>
      <c r="DQ8" t="s">
        <v>354</v>
      </c>
      <c r="DR8">
        <v>40</v>
      </c>
      <c r="DS8" s="5">
        <v>41184</v>
      </c>
      <c r="DT8" t="s">
        <v>350</v>
      </c>
      <c r="DU8" t="s">
        <v>354</v>
      </c>
      <c r="DV8" t="s">
        <v>354</v>
      </c>
      <c r="DW8" t="s">
        <v>347</v>
      </c>
      <c r="DX8" t="s">
        <v>354</v>
      </c>
      <c r="DY8" t="s">
        <v>354</v>
      </c>
      <c r="DZ8" t="s">
        <v>350</v>
      </c>
      <c r="EA8">
        <v>41</v>
      </c>
      <c r="EB8" s="5">
        <v>41191</v>
      </c>
      <c r="EC8" t="s">
        <v>354</v>
      </c>
      <c r="ED8" t="s">
        <v>347</v>
      </c>
      <c r="EE8" t="s">
        <v>354</v>
      </c>
      <c r="EF8" t="s">
        <v>347</v>
      </c>
      <c r="EG8" t="s">
        <v>354</v>
      </c>
      <c r="EH8" t="s">
        <v>350</v>
      </c>
      <c r="EI8" t="s">
        <v>354</v>
      </c>
      <c r="EJ8">
        <v>42</v>
      </c>
      <c r="EK8" s="5">
        <v>41198</v>
      </c>
      <c r="EL8" t="s">
        <v>354</v>
      </c>
      <c r="EM8" t="s">
        <v>347</v>
      </c>
      <c r="EN8" t="s">
        <v>354</v>
      </c>
      <c r="EO8" t="s">
        <v>354</v>
      </c>
      <c r="EP8" t="s">
        <v>350</v>
      </c>
      <c r="EQ8" t="s">
        <v>347</v>
      </c>
      <c r="ER8" t="s">
        <v>347</v>
      </c>
      <c r="ES8">
        <v>43</v>
      </c>
      <c r="ET8" s="5">
        <v>41205</v>
      </c>
      <c r="EU8" t="s">
        <v>347</v>
      </c>
      <c r="EV8" t="s">
        <v>354</v>
      </c>
      <c r="EW8" t="s">
        <v>347</v>
      </c>
      <c r="EX8" t="s">
        <v>350</v>
      </c>
      <c r="EY8" t="s">
        <v>347</v>
      </c>
      <c r="EZ8" t="s">
        <v>354</v>
      </c>
      <c r="FA8" t="s">
        <v>347</v>
      </c>
      <c r="FB8">
        <v>44</v>
      </c>
      <c r="FC8" s="5">
        <v>41212</v>
      </c>
      <c r="FD8" t="s">
        <v>347</v>
      </c>
      <c r="FE8" t="s">
        <v>347</v>
      </c>
      <c r="FF8" t="s">
        <v>350</v>
      </c>
      <c r="FG8" t="s">
        <v>354</v>
      </c>
      <c r="FH8" t="s">
        <v>354</v>
      </c>
      <c r="FI8" t="s">
        <v>347</v>
      </c>
      <c r="FJ8" t="s">
        <v>354</v>
      </c>
    </row>
    <row r="9" spans="1:166">
      <c r="A9" t="s">
        <v>52</v>
      </c>
      <c r="B9" t="s">
        <v>53</v>
      </c>
      <c r="C9" t="s">
        <v>54</v>
      </c>
      <c r="D9">
        <v>2016</v>
      </c>
      <c r="E9">
        <v>27</v>
      </c>
      <c r="F9" s="5">
        <v>41093</v>
      </c>
      <c r="G9" t="s">
        <v>350</v>
      </c>
      <c r="H9" t="s">
        <v>347</v>
      </c>
      <c r="I9" t="s">
        <v>347</v>
      </c>
      <c r="J9" t="s">
        <v>354</v>
      </c>
      <c r="K9" t="s">
        <v>348</v>
      </c>
      <c r="L9" t="s">
        <v>349</v>
      </c>
      <c r="M9" t="s">
        <v>350</v>
      </c>
      <c r="N9">
        <v>28</v>
      </c>
      <c r="O9" s="5">
        <v>41100</v>
      </c>
      <c r="P9" t="s">
        <v>354</v>
      </c>
      <c r="Q9" t="s">
        <v>354</v>
      </c>
      <c r="R9" t="s">
        <v>354</v>
      </c>
      <c r="S9" t="s">
        <v>354</v>
      </c>
      <c r="T9" t="s">
        <v>354</v>
      </c>
      <c r="U9" t="s">
        <v>350</v>
      </c>
      <c r="V9" t="s">
        <v>347</v>
      </c>
      <c r="W9">
        <v>29</v>
      </c>
      <c r="X9" s="5">
        <v>41107</v>
      </c>
      <c r="Y9" t="s">
        <v>351</v>
      </c>
      <c r="Z9" t="s">
        <v>351</v>
      </c>
      <c r="AA9" t="s">
        <v>351</v>
      </c>
      <c r="AB9" t="s">
        <v>351</v>
      </c>
      <c r="AC9" t="s">
        <v>350</v>
      </c>
      <c r="AD9" t="s">
        <v>351</v>
      </c>
      <c r="AE9" t="s">
        <v>351</v>
      </c>
      <c r="AF9">
        <v>30</v>
      </c>
      <c r="AG9" s="5">
        <v>41114</v>
      </c>
      <c r="AH9" t="s">
        <v>351</v>
      </c>
      <c r="AI9" t="s">
        <v>351</v>
      </c>
      <c r="AJ9" t="s">
        <v>351</v>
      </c>
      <c r="AK9" t="s">
        <v>350</v>
      </c>
      <c r="AL9" t="s">
        <v>351</v>
      </c>
      <c r="AM9" t="s">
        <v>351</v>
      </c>
      <c r="AN9" t="s">
        <v>351</v>
      </c>
      <c r="AO9">
        <v>31</v>
      </c>
      <c r="AP9" s="5">
        <v>41121</v>
      </c>
      <c r="AQ9" t="s">
        <v>348</v>
      </c>
      <c r="AR9" t="s">
        <v>349</v>
      </c>
      <c r="AS9" t="s">
        <v>350</v>
      </c>
      <c r="AT9" t="s">
        <v>347</v>
      </c>
      <c r="AU9" t="s">
        <v>347</v>
      </c>
      <c r="AV9" t="s">
        <v>354</v>
      </c>
      <c r="AW9" t="s">
        <v>348</v>
      </c>
      <c r="AX9">
        <v>32</v>
      </c>
      <c r="AY9" s="5">
        <v>41128</v>
      </c>
      <c r="AZ9" t="s">
        <v>349</v>
      </c>
      <c r="BA9" t="s">
        <v>350</v>
      </c>
      <c r="BB9" t="s">
        <v>347</v>
      </c>
      <c r="BC9" t="s">
        <v>354</v>
      </c>
      <c r="BD9" t="s">
        <v>354</v>
      </c>
      <c r="BE9" t="s">
        <v>354</v>
      </c>
      <c r="BF9" t="s">
        <v>347</v>
      </c>
      <c r="BG9">
        <v>33</v>
      </c>
      <c r="BH9" s="5">
        <v>41135</v>
      </c>
      <c r="BI9" t="s">
        <v>350</v>
      </c>
      <c r="BJ9" t="s">
        <v>347</v>
      </c>
      <c r="BK9" t="s">
        <v>354</v>
      </c>
      <c r="BL9" t="s">
        <v>347</v>
      </c>
      <c r="BM9" t="s">
        <v>348</v>
      </c>
      <c r="BN9" t="s">
        <v>349</v>
      </c>
      <c r="BO9" t="s">
        <v>350</v>
      </c>
      <c r="BP9">
        <v>34</v>
      </c>
      <c r="BQ9" s="5">
        <v>41142</v>
      </c>
      <c r="BR9" t="s">
        <v>354</v>
      </c>
      <c r="BS9" t="s">
        <v>354</v>
      </c>
      <c r="BT9" t="s">
        <v>354</v>
      </c>
      <c r="BU9" t="s">
        <v>348</v>
      </c>
      <c r="BV9" t="s">
        <v>349</v>
      </c>
      <c r="BW9" t="s">
        <v>350</v>
      </c>
      <c r="BX9" t="s">
        <v>347</v>
      </c>
      <c r="BY9">
        <v>35</v>
      </c>
      <c r="BZ9" s="5">
        <v>41149</v>
      </c>
      <c r="CA9" t="s">
        <v>354</v>
      </c>
      <c r="CB9" t="s">
        <v>347</v>
      </c>
      <c r="CC9" t="s">
        <v>347</v>
      </c>
      <c r="CD9" t="s">
        <v>354</v>
      </c>
      <c r="CE9" t="s">
        <v>350</v>
      </c>
      <c r="CF9" t="s">
        <v>347</v>
      </c>
      <c r="CG9" t="s">
        <v>347</v>
      </c>
      <c r="CH9">
        <v>36</v>
      </c>
      <c r="CI9" s="5">
        <v>41156</v>
      </c>
      <c r="CJ9" t="s">
        <v>354</v>
      </c>
      <c r="CK9" t="s">
        <v>348</v>
      </c>
      <c r="CL9" t="s">
        <v>349</v>
      </c>
      <c r="CM9" t="s">
        <v>350</v>
      </c>
      <c r="CN9" t="s">
        <v>347</v>
      </c>
      <c r="CO9" t="s">
        <v>354</v>
      </c>
      <c r="CP9" t="s">
        <v>347</v>
      </c>
      <c r="CQ9">
        <v>37</v>
      </c>
      <c r="CR9" s="5">
        <v>41163</v>
      </c>
      <c r="CS9" t="s">
        <v>354</v>
      </c>
      <c r="CT9" t="s">
        <v>354</v>
      </c>
      <c r="CU9" t="s">
        <v>350</v>
      </c>
      <c r="CV9" t="s">
        <v>347</v>
      </c>
      <c r="CW9" t="s">
        <v>354</v>
      </c>
      <c r="CX9" t="s">
        <v>348</v>
      </c>
      <c r="CY9" t="s">
        <v>349</v>
      </c>
      <c r="CZ9">
        <v>38</v>
      </c>
      <c r="DA9" s="5">
        <v>41170</v>
      </c>
      <c r="DB9" t="s">
        <v>350</v>
      </c>
      <c r="DC9" t="s">
        <v>347</v>
      </c>
      <c r="DD9" t="s">
        <v>347</v>
      </c>
      <c r="DE9" t="s">
        <v>354</v>
      </c>
      <c r="DF9" t="s">
        <v>348</v>
      </c>
      <c r="DG9" t="s">
        <v>349</v>
      </c>
      <c r="DH9" t="s">
        <v>350</v>
      </c>
      <c r="DI9">
        <v>39</v>
      </c>
      <c r="DJ9" s="5">
        <v>41177</v>
      </c>
      <c r="DK9" t="s">
        <v>347</v>
      </c>
      <c r="DL9" t="s">
        <v>354</v>
      </c>
      <c r="DM9" t="s">
        <v>347</v>
      </c>
      <c r="DN9" t="s">
        <v>354</v>
      </c>
      <c r="DO9" t="s">
        <v>354</v>
      </c>
      <c r="DP9" t="s">
        <v>350</v>
      </c>
      <c r="DQ9" t="s">
        <v>347</v>
      </c>
      <c r="DR9">
        <v>40</v>
      </c>
      <c r="DS9" s="5">
        <v>41184</v>
      </c>
      <c r="DT9" t="s">
        <v>347</v>
      </c>
      <c r="DU9" t="s">
        <v>354</v>
      </c>
      <c r="DV9" t="s">
        <v>348</v>
      </c>
      <c r="DW9" t="s">
        <v>349</v>
      </c>
      <c r="DX9" t="s">
        <v>350</v>
      </c>
      <c r="DY9" t="s">
        <v>347</v>
      </c>
      <c r="DZ9" t="s">
        <v>354</v>
      </c>
      <c r="EA9">
        <v>41</v>
      </c>
      <c r="EB9" s="5">
        <v>41191</v>
      </c>
      <c r="EC9" t="s">
        <v>347</v>
      </c>
      <c r="ED9" t="s">
        <v>354</v>
      </c>
      <c r="EE9" t="s">
        <v>347</v>
      </c>
      <c r="EF9" t="s">
        <v>350</v>
      </c>
      <c r="EG9" t="s">
        <v>347</v>
      </c>
      <c r="EH9" t="s">
        <v>347</v>
      </c>
      <c r="EI9" t="s">
        <v>354</v>
      </c>
      <c r="EJ9">
        <v>42</v>
      </c>
      <c r="EK9" s="5">
        <v>41198</v>
      </c>
      <c r="EL9" t="s">
        <v>348</v>
      </c>
      <c r="EM9" t="s">
        <v>349</v>
      </c>
      <c r="EN9" t="s">
        <v>350</v>
      </c>
      <c r="EO9" t="s">
        <v>347</v>
      </c>
      <c r="EP9" t="s">
        <v>354</v>
      </c>
      <c r="EQ9" t="s">
        <v>354</v>
      </c>
      <c r="ER9" t="s">
        <v>348</v>
      </c>
      <c r="ES9">
        <v>43</v>
      </c>
      <c r="ET9" s="5">
        <v>41205</v>
      </c>
      <c r="EU9" t="s">
        <v>349</v>
      </c>
      <c r="EV9" t="s">
        <v>350</v>
      </c>
      <c r="EW9" t="s">
        <v>347</v>
      </c>
      <c r="EX9" t="s">
        <v>347</v>
      </c>
      <c r="EY9" t="s">
        <v>354</v>
      </c>
      <c r="EZ9" t="s">
        <v>354</v>
      </c>
      <c r="FA9" t="s">
        <v>347</v>
      </c>
      <c r="FB9">
        <v>44</v>
      </c>
      <c r="FC9" s="5">
        <v>41212</v>
      </c>
      <c r="FD9" t="s">
        <v>350</v>
      </c>
      <c r="FE9" t="s">
        <v>347</v>
      </c>
      <c r="FF9" t="s">
        <v>354</v>
      </c>
      <c r="FG9" t="s">
        <v>347</v>
      </c>
      <c r="FH9" t="s">
        <v>347</v>
      </c>
      <c r="FI9" t="s">
        <v>354</v>
      </c>
      <c r="FJ9" t="s">
        <v>350</v>
      </c>
    </row>
    <row r="10" spans="1:166">
      <c r="A10" t="s">
        <v>55</v>
      </c>
      <c r="B10" t="s">
        <v>56</v>
      </c>
      <c r="C10" t="s">
        <v>57</v>
      </c>
      <c r="D10">
        <v>2016</v>
      </c>
      <c r="E10">
        <v>27</v>
      </c>
      <c r="F10" s="5">
        <v>41093</v>
      </c>
      <c r="G10" t="s">
        <v>354</v>
      </c>
      <c r="H10" t="s">
        <v>354</v>
      </c>
      <c r="I10" t="s">
        <v>348</v>
      </c>
      <c r="J10" t="s">
        <v>349</v>
      </c>
      <c r="K10" t="s">
        <v>350</v>
      </c>
      <c r="L10" t="s">
        <v>347</v>
      </c>
      <c r="M10" t="s">
        <v>354</v>
      </c>
      <c r="N10">
        <v>28</v>
      </c>
      <c r="O10" s="5">
        <v>41100</v>
      </c>
      <c r="P10" t="s">
        <v>354</v>
      </c>
      <c r="Q10" t="s">
        <v>354</v>
      </c>
      <c r="R10" t="s">
        <v>354</v>
      </c>
      <c r="S10" t="s">
        <v>350</v>
      </c>
      <c r="T10" t="s">
        <v>347</v>
      </c>
      <c r="U10" t="s">
        <v>354</v>
      </c>
      <c r="V10" t="s">
        <v>354</v>
      </c>
      <c r="W10">
        <v>29</v>
      </c>
      <c r="X10" s="5">
        <v>41107</v>
      </c>
      <c r="Y10" t="s">
        <v>348</v>
      </c>
      <c r="Z10" t="s">
        <v>349</v>
      </c>
      <c r="AA10" t="s">
        <v>350</v>
      </c>
      <c r="AB10" t="s">
        <v>347</v>
      </c>
      <c r="AC10" t="s">
        <v>354</v>
      </c>
      <c r="AD10" t="s">
        <v>354</v>
      </c>
      <c r="AE10" t="s">
        <v>354</v>
      </c>
      <c r="AF10">
        <v>30</v>
      </c>
      <c r="AG10" s="5">
        <v>41114</v>
      </c>
      <c r="AH10" t="s">
        <v>351</v>
      </c>
      <c r="AI10" t="s">
        <v>350</v>
      </c>
      <c r="AJ10" t="s">
        <v>351</v>
      </c>
      <c r="AK10" t="s">
        <v>351</v>
      </c>
      <c r="AL10" t="s">
        <v>351</v>
      </c>
      <c r="AM10" t="s">
        <v>351</v>
      </c>
      <c r="AN10" t="s">
        <v>351</v>
      </c>
      <c r="AO10">
        <v>31</v>
      </c>
      <c r="AP10" s="5">
        <v>41121</v>
      </c>
      <c r="AQ10" t="s">
        <v>350</v>
      </c>
      <c r="AR10" t="s">
        <v>351</v>
      </c>
      <c r="AS10" t="s">
        <v>351</v>
      </c>
      <c r="AT10" t="s">
        <v>351</v>
      </c>
      <c r="AU10" t="s">
        <v>351</v>
      </c>
      <c r="AV10" t="s">
        <v>351</v>
      </c>
      <c r="AW10" t="s">
        <v>350</v>
      </c>
      <c r="AX10">
        <v>32</v>
      </c>
      <c r="AY10" s="5">
        <v>41128</v>
      </c>
      <c r="AZ10" t="s">
        <v>354</v>
      </c>
      <c r="BA10" t="s">
        <v>354</v>
      </c>
      <c r="BB10" t="s">
        <v>354</v>
      </c>
      <c r="BC10" t="s">
        <v>348</v>
      </c>
      <c r="BD10" t="s">
        <v>349</v>
      </c>
      <c r="BE10" t="s">
        <v>350</v>
      </c>
      <c r="BF10" t="s">
        <v>347</v>
      </c>
      <c r="BG10">
        <v>33</v>
      </c>
      <c r="BH10" s="5">
        <v>41135</v>
      </c>
      <c r="BI10" t="s">
        <v>354</v>
      </c>
      <c r="BJ10" t="s">
        <v>347</v>
      </c>
      <c r="BK10" t="s">
        <v>347</v>
      </c>
      <c r="BL10" t="s">
        <v>354</v>
      </c>
      <c r="BM10" t="s">
        <v>350</v>
      </c>
      <c r="BN10" t="s">
        <v>347</v>
      </c>
      <c r="BO10" t="s">
        <v>347</v>
      </c>
      <c r="BP10">
        <v>34</v>
      </c>
      <c r="BQ10" s="5">
        <v>41142</v>
      </c>
      <c r="BR10" t="s">
        <v>354</v>
      </c>
      <c r="BS10" t="s">
        <v>348</v>
      </c>
      <c r="BT10" t="s">
        <v>349</v>
      </c>
      <c r="BU10" t="s">
        <v>350</v>
      </c>
      <c r="BV10" t="s">
        <v>347</v>
      </c>
      <c r="BW10" t="s">
        <v>354</v>
      </c>
      <c r="BX10" t="s">
        <v>354</v>
      </c>
      <c r="BY10">
        <v>35</v>
      </c>
      <c r="BZ10" s="5">
        <v>41149</v>
      </c>
      <c r="CA10" t="s">
        <v>348</v>
      </c>
      <c r="CB10" t="s">
        <v>349</v>
      </c>
      <c r="CC10" t="s">
        <v>350</v>
      </c>
      <c r="CD10" t="s">
        <v>354</v>
      </c>
      <c r="CE10" t="s">
        <v>354</v>
      </c>
      <c r="CF10" t="s">
        <v>348</v>
      </c>
      <c r="CG10" t="s">
        <v>349</v>
      </c>
      <c r="CH10">
        <v>36</v>
      </c>
      <c r="CI10" s="5">
        <v>41156</v>
      </c>
      <c r="CJ10" t="s">
        <v>350</v>
      </c>
      <c r="CK10" t="s">
        <v>347</v>
      </c>
      <c r="CL10" t="s">
        <v>354</v>
      </c>
      <c r="CM10" t="s">
        <v>354</v>
      </c>
      <c r="CN10" t="s">
        <v>348</v>
      </c>
      <c r="CO10" t="s">
        <v>349</v>
      </c>
      <c r="CP10" t="s">
        <v>350</v>
      </c>
      <c r="CQ10">
        <v>37</v>
      </c>
      <c r="CR10" s="5">
        <v>41163</v>
      </c>
      <c r="CS10" t="s">
        <v>347</v>
      </c>
      <c r="CT10" t="s">
        <v>347</v>
      </c>
      <c r="CU10" t="s">
        <v>354</v>
      </c>
      <c r="CV10" t="s">
        <v>354</v>
      </c>
      <c r="CW10" t="s">
        <v>350</v>
      </c>
      <c r="CX10" t="s">
        <v>347</v>
      </c>
      <c r="CY10" t="s">
        <v>354</v>
      </c>
      <c r="CZ10">
        <v>38</v>
      </c>
      <c r="DA10" s="5">
        <v>41170</v>
      </c>
      <c r="DB10" t="s">
        <v>354</v>
      </c>
      <c r="DC10" t="s">
        <v>354</v>
      </c>
      <c r="DD10" t="s">
        <v>348</v>
      </c>
      <c r="DE10" t="s">
        <v>349</v>
      </c>
      <c r="DF10" t="s">
        <v>350</v>
      </c>
      <c r="DG10" t="s">
        <v>347</v>
      </c>
      <c r="DH10" t="s">
        <v>354</v>
      </c>
      <c r="DI10">
        <v>39</v>
      </c>
      <c r="DJ10" s="5">
        <v>41177</v>
      </c>
      <c r="DK10" t="s">
        <v>347</v>
      </c>
      <c r="DL10" t="s">
        <v>354</v>
      </c>
      <c r="DM10" t="s">
        <v>354</v>
      </c>
      <c r="DN10" t="s">
        <v>350</v>
      </c>
      <c r="DO10" t="s">
        <v>347</v>
      </c>
      <c r="DP10" t="s">
        <v>354</v>
      </c>
      <c r="DQ10" t="s">
        <v>354</v>
      </c>
      <c r="DR10">
        <v>40</v>
      </c>
      <c r="DS10" s="5">
        <v>41184</v>
      </c>
      <c r="DT10" t="s">
        <v>348</v>
      </c>
      <c r="DU10" t="s">
        <v>349</v>
      </c>
      <c r="DV10" t="s">
        <v>350</v>
      </c>
      <c r="DW10" t="s">
        <v>347</v>
      </c>
      <c r="DX10" t="s">
        <v>354</v>
      </c>
      <c r="DY10" t="s">
        <v>354</v>
      </c>
      <c r="DZ10" t="s">
        <v>348</v>
      </c>
      <c r="EA10">
        <v>41</v>
      </c>
      <c r="EB10" s="5">
        <v>41191</v>
      </c>
      <c r="EC10" t="s">
        <v>349</v>
      </c>
      <c r="ED10" t="s">
        <v>350</v>
      </c>
      <c r="EE10" t="s">
        <v>347</v>
      </c>
      <c r="EF10" t="s">
        <v>347</v>
      </c>
      <c r="EG10" t="s">
        <v>354</v>
      </c>
      <c r="EH10" t="s">
        <v>354</v>
      </c>
      <c r="EI10" t="s">
        <v>347</v>
      </c>
      <c r="EJ10">
        <v>42</v>
      </c>
      <c r="EK10" s="5">
        <v>41198</v>
      </c>
      <c r="EL10" t="s">
        <v>350</v>
      </c>
      <c r="EM10" t="s">
        <v>347</v>
      </c>
      <c r="EN10" t="s">
        <v>354</v>
      </c>
      <c r="EO10" t="s">
        <v>347</v>
      </c>
      <c r="EP10" t="s">
        <v>347</v>
      </c>
      <c r="EQ10" t="s">
        <v>354</v>
      </c>
      <c r="ER10" t="s">
        <v>350</v>
      </c>
      <c r="ES10">
        <v>43</v>
      </c>
      <c r="ET10" s="5">
        <v>41205</v>
      </c>
      <c r="EU10" t="s">
        <v>354</v>
      </c>
      <c r="EV10" t="s">
        <v>354</v>
      </c>
      <c r="EW10" t="s">
        <v>354</v>
      </c>
      <c r="EX10" t="s">
        <v>348</v>
      </c>
      <c r="EY10" t="s">
        <v>349</v>
      </c>
      <c r="EZ10" t="s">
        <v>350</v>
      </c>
      <c r="FA10" t="s">
        <v>347</v>
      </c>
      <c r="FB10">
        <v>44</v>
      </c>
      <c r="FC10" s="5">
        <v>41212</v>
      </c>
      <c r="FD10" t="s">
        <v>354</v>
      </c>
      <c r="FE10" t="s">
        <v>347</v>
      </c>
      <c r="FF10" t="s">
        <v>347</v>
      </c>
      <c r="FG10" t="s">
        <v>354</v>
      </c>
      <c r="FH10" t="s">
        <v>350</v>
      </c>
      <c r="FI10" t="s">
        <v>347</v>
      </c>
      <c r="FJ10" t="s">
        <v>347</v>
      </c>
    </row>
    <row r="11" spans="1:166">
      <c r="A11" t="s">
        <v>59</v>
      </c>
      <c r="B11" t="s">
        <v>60</v>
      </c>
      <c r="C11" t="s">
        <v>61</v>
      </c>
      <c r="D11">
        <v>2016</v>
      </c>
      <c r="E11">
        <v>27</v>
      </c>
      <c r="F11" s="5">
        <v>41093</v>
      </c>
      <c r="G11" t="s">
        <v>351</v>
      </c>
      <c r="H11" t="s">
        <v>351</v>
      </c>
      <c r="I11" t="s">
        <v>351</v>
      </c>
      <c r="J11" t="s">
        <v>351</v>
      </c>
      <c r="K11" t="s">
        <v>351</v>
      </c>
      <c r="L11" t="s">
        <v>350</v>
      </c>
      <c r="M11" t="s">
        <v>351</v>
      </c>
      <c r="N11">
        <v>28</v>
      </c>
      <c r="O11" s="5">
        <v>41100</v>
      </c>
      <c r="P11" t="s">
        <v>351</v>
      </c>
      <c r="Q11" t="s">
        <v>351</v>
      </c>
      <c r="R11" t="s">
        <v>351</v>
      </c>
      <c r="S11" t="s">
        <v>351</v>
      </c>
      <c r="T11" t="s">
        <v>350</v>
      </c>
      <c r="U11" t="s">
        <v>351</v>
      </c>
      <c r="V11" t="s">
        <v>351</v>
      </c>
      <c r="W11">
        <v>29</v>
      </c>
      <c r="X11" s="5">
        <v>41107</v>
      </c>
      <c r="Y11" t="s">
        <v>347</v>
      </c>
      <c r="Z11" t="s">
        <v>354</v>
      </c>
      <c r="AA11" t="s">
        <v>354</v>
      </c>
      <c r="AB11" t="s">
        <v>350</v>
      </c>
      <c r="AC11" t="s">
        <v>347</v>
      </c>
      <c r="AD11" t="s">
        <v>354</v>
      </c>
      <c r="AE11" t="s">
        <v>354</v>
      </c>
      <c r="AF11">
        <v>30</v>
      </c>
      <c r="AG11" s="5">
        <v>41114</v>
      </c>
      <c r="AH11" t="s">
        <v>348</v>
      </c>
      <c r="AI11" t="s">
        <v>349</v>
      </c>
      <c r="AJ11" t="s">
        <v>350</v>
      </c>
      <c r="AK11" t="s">
        <v>347</v>
      </c>
      <c r="AL11" t="s">
        <v>354</v>
      </c>
      <c r="AM11" t="s">
        <v>354</v>
      </c>
      <c r="AN11" t="s">
        <v>348</v>
      </c>
      <c r="AO11">
        <v>31</v>
      </c>
      <c r="AP11" s="5">
        <v>41121</v>
      </c>
      <c r="AQ11" t="s">
        <v>349</v>
      </c>
      <c r="AR11" t="s">
        <v>350</v>
      </c>
      <c r="AS11" t="s">
        <v>347</v>
      </c>
      <c r="AT11" t="s">
        <v>347</v>
      </c>
      <c r="AU11" t="s">
        <v>354</v>
      </c>
      <c r="AV11" t="s">
        <v>354</v>
      </c>
      <c r="AW11" t="s">
        <v>347</v>
      </c>
      <c r="AX11">
        <v>32</v>
      </c>
      <c r="AY11" s="5">
        <v>41128</v>
      </c>
      <c r="AZ11" t="s">
        <v>350</v>
      </c>
      <c r="BA11" t="s">
        <v>347</v>
      </c>
      <c r="BB11" t="s">
        <v>354</v>
      </c>
      <c r="BC11" t="s">
        <v>347</v>
      </c>
      <c r="BD11" t="s">
        <v>348</v>
      </c>
      <c r="BE11" t="s">
        <v>349</v>
      </c>
      <c r="BF11" t="s">
        <v>350</v>
      </c>
      <c r="BG11">
        <v>33</v>
      </c>
      <c r="BH11" s="5">
        <v>41135</v>
      </c>
      <c r="BI11" t="s">
        <v>354</v>
      </c>
      <c r="BJ11" t="s">
        <v>354</v>
      </c>
      <c r="BK11" t="s">
        <v>354</v>
      </c>
      <c r="BL11" t="s">
        <v>348</v>
      </c>
      <c r="BM11" t="s">
        <v>349</v>
      </c>
      <c r="BN11" t="s">
        <v>350</v>
      </c>
      <c r="BO11" t="s">
        <v>347</v>
      </c>
      <c r="BP11">
        <v>34</v>
      </c>
      <c r="BQ11" s="5">
        <v>41142</v>
      </c>
      <c r="BR11" t="s">
        <v>354</v>
      </c>
      <c r="BS11" t="s">
        <v>347</v>
      </c>
      <c r="BT11" t="s">
        <v>347</v>
      </c>
      <c r="BU11" t="s">
        <v>354</v>
      </c>
      <c r="BV11" t="s">
        <v>350</v>
      </c>
      <c r="BW11" t="s">
        <v>351</v>
      </c>
      <c r="BX11" t="s">
        <v>347</v>
      </c>
      <c r="BY11">
        <v>35</v>
      </c>
      <c r="BZ11" s="5">
        <v>41149</v>
      </c>
      <c r="CA11" t="s">
        <v>354</v>
      </c>
      <c r="CB11" t="s">
        <v>348</v>
      </c>
      <c r="CC11" t="s">
        <v>349</v>
      </c>
      <c r="CD11" t="s">
        <v>350</v>
      </c>
      <c r="CE11" t="s">
        <v>347</v>
      </c>
      <c r="CF11" t="s">
        <v>354</v>
      </c>
      <c r="CG11" t="s">
        <v>354</v>
      </c>
      <c r="CH11">
        <v>36</v>
      </c>
      <c r="CI11" s="5">
        <v>41156</v>
      </c>
      <c r="CJ11" t="s">
        <v>347</v>
      </c>
      <c r="CK11" t="s">
        <v>354</v>
      </c>
      <c r="CL11" t="s">
        <v>350</v>
      </c>
      <c r="CM11" t="s">
        <v>347</v>
      </c>
      <c r="CN11" t="s">
        <v>347</v>
      </c>
      <c r="CO11" t="s">
        <v>348</v>
      </c>
      <c r="CP11" t="s">
        <v>349</v>
      </c>
      <c r="CQ11">
        <v>37</v>
      </c>
      <c r="CR11" s="5">
        <v>41163</v>
      </c>
      <c r="CS11" t="s">
        <v>350</v>
      </c>
      <c r="CT11" t="s">
        <v>347</v>
      </c>
      <c r="CU11" t="s">
        <v>354</v>
      </c>
      <c r="CV11" t="s">
        <v>354</v>
      </c>
      <c r="CW11" t="s">
        <v>348</v>
      </c>
      <c r="CX11" t="s">
        <v>349</v>
      </c>
      <c r="CY11" t="s">
        <v>350</v>
      </c>
      <c r="CZ11">
        <v>38</v>
      </c>
      <c r="DA11" s="5">
        <v>41170</v>
      </c>
      <c r="DB11" t="s">
        <v>347</v>
      </c>
      <c r="DC11" t="s">
        <v>347</v>
      </c>
      <c r="DD11" t="s">
        <v>354</v>
      </c>
      <c r="DE11" t="s">
        <v>354</v>
      </c>
      <c r="DF11" t="s">
        <v>354</v>
      </c>
      <c r="DG11" t="s">
        <v>350</v>
      </c>
      <c r="DH11" t="s">
        <v>347</v>
      </c>
      <c r="DI11">
        <v>39</v>
      </c>
      <c r="DJ11" s="5">
        <v>41177</v>
      </c>
      <c r="DK11" t="s">
        <v>354</v>
      </c>
      <c r="DL11" t="s">
        <v>354</v>
      </c>
      <c r="DM11" t="s">
        <v>348</v>
      </c>
      <c r="DN11" t="s">
        <v>349</v>
      </c>
      <c r="DO11" t="s">
        <v>350</v>
      </c>
      <c r="DP11" t="s">
        <v>347</v>
      </c>
      <c r="DQ11" t="s">
        <v>354</v>
      </c>
      <c r="DR11">
        <v>40</v>
      </c>
      <c r="DS11" s="5">
        <v>41184</v>
      </c>
      <c r="DT11" t="s">
        <v>347</v>
      </c>
      <c r="DU11" t="s">
        <v>354</v>
      </c>
      <c r="DV11" t="s">
        <v>347</v>
      </c>
      <c r="DW11" t="s">
        <v>350</v>
      </c>
      <c r="DX11" t="s">
        <v>347</v>
      </c>
      <c r="DY11" t="s">
        <v>347</v>
      </c>
      <c r="DZ11" t="s">
        <v>354</v>
      </c>
      <c r="EA11">
        <v>41</v>
      </c>
      <c r="EB11" s="5">
        <v>41191</v>
      </c>
      <c r="EC11" t="s">
        <v>348</v>
      </c>
      <c r="ED11" t="s">
        <v>349</v>
      </c>
      <c r="EE11" t="s">
        <v>350</v>
      </c>
      <c r="EF11" t="s">
        <v>347</v>
      </c>
      <c r="EG11" t="s">
        <v>354</v>
      </c>
      <c r="EH11" t="s">
        <v>354</v>
      </c>
      <c r="EI11" t="s">
        <v>348</v>
      </c>
      <c r="EJ11">
        <v>42</v>
      </c>
      <c r="EK11" s="5">
        <v>41198</v>
      </c>
      <c r="EL11" t="s">
        <v>349</v>
      </c>
      <c r="EM11" t="s">
        <v>350</v>
      </c>
      <c r="EN11" t="s">
        <v>347</v>
      </c>
      <c r="EO11" t="s">
        <v>347</v>
      </c>
      <c r="EP11" t="s">
        <v>354</v>
      </c>
      <c r="EQ11" t="s">
        <v>354</v>
      </c>
      <c r="ER11" t="s">
        <v>347</v>
      </c>
      <c r="ES11">
        <v>43</v>
      </c>
      <c r="ET11" s="5">
        <v>41205</v>
      </c>
      <c r="EU11" t="s">
        <v>350</v>
      </c>
      <c r="EV11" t="s">
        <v>347</v>
      </c>
      <c r="EW11" t="s">
        <v>354</v>
      </c>
      <c r="EX11" t="s">
        <v>347</v>
      </c>
      <c r="EY11" t="s">
        <v>347</v>
      </c>
      <c r="EZ11" t="s">
        <v>354</v>
      </c>
      <c r="FA11" t="s">
        <v>350</v>
      </c>
      <c r="FB11">
        <v>44</v>
      </c>
      <c r="FC11" s="5">
        <v>41212</v>
      </c>
      <c r="FD11" t="s">
        <v>354</v>
      </c>
      <c r="FE11" t="s">
        <v>354</v>
      </c>
      <c r="FF11" t="s">
        <v>354</v>
      </c>
      <c r="FG11" t="s">
        <v>348</v>
      </c>
      <c r="FH11" t="s">
        <v>349</v>
      </c>
      <c r="FI11" t="s">
        <v>350</v>
      </c>
      <c r="FJ11" t="s">
        <v>347</v>
      </c>
    </row>
    <row r="12" spans="1:166">
      <c r="A12" t="s">
        <v>62</v>
      </c>
      <c r="B12" t="s">
        <v>63</v>
      </c>
      <c r="C12" t="s">
        <v>54</v>
      </c>
      <c r="D12">
        <v>2016</v>
      </c>
      <c r="E12">
        <v>27</v>
      </c>
      <c r="F12" s="5">
        <v>41093</v>
      </c>
      <c r="G12" t="s">
        <v>351</v>
      </c>
      <c r="H12" t="s">
        <v>351</v>
      </c>
      <c r="I12" t="s">
        <v>351</v>
      </c>
      <c r="J12" t="s">
        <v>351</v>
      </c>
      <c r="K12" t="s">
        <v>351</v>
      </c>
      <c r="L12" t="s">
        <v>350</v>
      </c>
      <c r="M12" t="s">
        <v>351</v>
      </c>
      <c r="N12">
        <v>28</v>
      </c>
      <c r="O12" s="5">
        <v>41100</v>
      </c>
      <c r="P12" t="s">
        <v>351</v>
      </c>
      <c r="Q12" t="s">
        <v>351</v>
      </c>
      <c r="R12" t="s">
        <v>351</v>
      </c>
      <c r="S12" t="s">
        <v>354</v>
      </c>
      <c r="T12" t="s">
        <v>350</v>
      </c>
      <c r="U12" t="s">
        <v>352</v>
      </c>
      <c r="V12" t="s">
        <v>353</v>
      </c>
      <c r="W12">
        <v>29</v>
      </c>
      <c r="X12" s="5">
        <v>41107</v>
      </c>
      <c r="Y12" t="s">
        <v>353</v>
      </c>
      <c r="Z12" t="s">
        <v>353</v>
      </c>
      <c r="AA12" t="s">
        <v>350</v>
      </c>
      <c r="AB12" t="s">
        <v>352</v>
      </c>
      <c r="AC12" t="s">
        <v>353</v>
      </c>
      <c r="AD12" t="s">
        <v>353</v>
      </c>
      <c r="AE12" t="s">
        <v>352</v>
      </c>
      <c r="AF12">
        <v>30</v>
      </c>
      <c r="AG12" s="5">
        <v>41114</v>
      </c>
      <c r="AH12" t="s">
        <v>353</v>
      </c>
      <c r="AI12" t="s">
        <v>353</v>
      </c>
      <c r="AJ12" t="s">
        <v>350</v>
      </c>
      <c r="AK12" t="s">
        <v>352</v>
      </c>
      <c r="AL12" t="s">
        <v>353</v>
      </c>
      <c r="AM12" t="s">
        <v>352</v>
      </c>
      <c r="AN12" t="s">
        <v>353</v>
      </c>
      <c r="AO12">
        <v>31</v>
      </c>
      <c r="AP12" s="5">
        <v>41121</v>
      </c>
      <c r="AQ12" t="s">
        <v>350</v>
      </c>
      <c r="AR12" t="s">
        <v>347</v>
      </c>
      <c r="AS12" t="s">
        <v>354</v>
      </c>
      <c r="AT12" t="s">
        <v>354</v>
      </c>
      <c r="AU12" t="s">
        <v>348</v>
      </c>
      <c r="AV12" t="s">
        <v>349</v>
      </c>
      <c r="AW12" t="s">
        <v>350</v>
      </c>
      <c r="AX12">
        <v>32</v>
      </c>
      <c r="AY12" s="5">
        <v>41128</v>
      </c>
      <c r="AZ12" t="s">
        <v>347</v>
      </c>
      <c r="BA12" t="s">
        <v>354</v>
      </c>
      <c r="BB12" t="s">
        <v>354</v>
      </c>
      <c r="BC12" t="s">
        <v>354</v>
      </c>
      <c r="BD12" t="s">
        <v>354</v>
      </c>
      <c r="BE12" t="s">
        <v>350</v>
      </c>
      <c r="BF12" t="s">
        <v>347</v>
      </c>
      <c r="BG12">
        <v>33</v>
      </c>
      <c r="BH12" s="5">
        <v>41135</v>
      </c>
      <c r="BI12" t="s">
        <v>347</v>
      </c>
      <c r="BJ12" t="s">
        <v>354</v>
      </c>
      <c r="BK12" t="s">
        <v>348</v>
      </c>
      <c r="BL12" t="s">
        <v>349</v>
      </c>
      <c r="BM12" t="s">
        <v>350</v>
      </c>
      <c r="BN12" t="s">
        <v>347</v>
      </c>
      <c r="BO12" t="s">
        <v>354</v>
      </c>
      <c r="BP12">
        <v>34</v>
      </c>
      <c r="BQ12" s="5">
        <v>41142</v>
      </c>
      <c r="BR12" t="s">
        <v>347</v>
      </c>
      <c r="BS12" t="s">
        <v>354</v>
      </c>
      <c r="BT12" t="s">
        <v>347</v>
      </c>
      <c r="BU12" t="s">
        <v>350</v>
      </c>
      <c r="BV12" t="s">
        <v>351</v>
      </c>
      <c r="BW12" t="s">
        <v>351</v>
      </c>
      <c r="BX12" t="s">
        <v>351</v>
      </c>
      <c r="BY12">
        <v>35</v>
      </c>
      <c r="BZ12" s="5">
        <v>41149</v>
      </c>
      <c r="CA12" t="s">
        <v>351</v>
      </c>
      <c r="CB12" t="s">
        <v>354</v>
      </c>
      <c r="CC12" t="s">
        <v>350</v>
      </c>
      <c r="CD12" t="s">
        <v>347</v>
      </c>
      <c r="CE12" t="s">
        <v>354</v>
      </c>
      <c r="CF12" t="s">
        <v>354</v>
      </c>
      <c r="CG12" t="s">
        <v>348</v>
      </c>
      <c r="CH12">
        <v>36</v>
      </c>
      <c r="CI12" s="5">
        <v>41156</v>
      </c>
      <c r="CJ12" t="s">
        <v>350</v>
      </c>
      <c r="CK12" t="s">
        <v>350</v>
      </c>
      <c r="CL12" t="s">
        <v>347</v>
      </c>
      <c r="CM12" t="s">
        <v>347</v>
      </c>
      <c r="CN12" t="s">
        <v>354</v>
      </c>
      <c r="CO12" t="s">
        <v>354</v>
      </c>
      <c r="CP12" t="s">
        <v>354</v>
      </c>
      <c r="CQ12">
        <v>37</v>
      </c>
      <c r="CR12" s="5">
        <v>41163</v>
      </c>
      <c r="CS12" t="s">
        <v>350</v>
      </c>
      <c r="CT12" t="s">
        <v>347</v>
      </c>
      <c r="CU12" t="s">
        <v>354</v>
      </c>
      <c r="CV12" t="s">
        <v>354</v>
      </c>
      <c r="CW12" t="s">
        <v>348</v>
      </c>
      <c r="CX12" t="s">
        <v>349</v>
      </c>
      <c r="CY12" t="s">
        <v>350</v>
      </c>
      <c r="CZ12">
        <v>38</v>
      </c>
      <c r="DA12" s="5">
        <v>41170</v>
      </c>
      <c r="DB12" t="s">
        <v>351</v>
      </c>
      <c r="DC12" t="s">
        <v>354</v>
      </c>
      <c r="DD12" t="s">
        <v>354</v>
      </c>
      <c r="DE12" t="s">
        <v>348</v>
      </c>
      <c r="DF12" t="s">
        <v>349</v>
      </c>
      <c r="DG12" t="s">
        <v>350</v>
      </c>
      <c r="DH12" t="s">
        <v>347</v>
      </c>
      <c r="DI12">
        <v>39</v>
      </c>
      <c r="DJ12" s="5">
        <v>41177</v>
      </c>
      <c r="DK12" t="s">
        <v>354</v>
      </c>
      <c r="DL12" t="s">
        <v>347</v>
      </c>
      <c r="DM12" t="s">
        <v>347</v>
      </c>
      <c r="DN12" t="s">
        <v>354</v>
      </c>
      <c r="DO12" t="s">
        <v>350</v>
      </c>
      <c r="DP12" t="s">
        <v>347</v>
      </c>
      <c r="DQ12" t="s">
        <v>354</v>
      </c>
      <c r="DR12">
        <v>40</v>
      </c>
      <c r="DS12" s="5">
        <v>41184</v>
      </c>
      <c r="DT12" t="s">
        <v>347</v>
      </c>
      <c r="DU12" t="s">
        <v>354</v>
      </c>
      <c r="DV12" t="s">
        <v>347</v>
      </c>
      <c r="DW12" t="s">
        <v>350</v>
      </c>
      <c r="DX12" t="s">
        <v>347</v>
      </c>
      <c r="DY12" t="s">
        <v>354</v>
      </c>
      <c r="DZ12" t="s">
        <v>347</v>
      </c>
      <c r="EA12">
        <v>41</v>
      </c>
      <c r="EB12" s="5">
        <v>41191</v>
      </c>
      <c r="EC12" t="s">
        <v>347</v>
      </c>
      <c r="ED12" t="s">
        <v>347</v>
      </c>
      <c r="EE12" t="s">
        <v>350</v>
      </c>
      <c r="EF12" t="s">
        <v>354</v>
      </c>
      <c r="EG12" t="s">
        <v>354</v>
      </c>
      <c r="EH12" t="s">
        <v>347</v>
      </c>
      <c r="EI12" t="s">
        <v>354</v>
      </c>
      <c r="EJ12">
        <v>42</v>
      </c>
      <c r="EK12" s="5">
        <v>41198</v>
      </c>
      <c r="EL12" t="s">
        <v>354</v>
      </c>
      <c r="EM12" t="s">
        <v>350</v>
      </c>
      <c r="EN12" t="s">
        <v>347</v>
      </c>
      <c r="EO12" t="s">
        <v>354</v>
      </c>
      <c r="EP12" t="s">
        <v>347</v>
      </c>
      <c r="EQ12" t="s">
        <v>354</v>
      </c>
      <c r="ER12" t="s">
        <v>354</v>
      </c>
      <c r="ES12">
        <v>43</v>
      </c>
      <c r="ET12" s="5">
        <v>41205</v>
      </c>
      <c r="EU12" t="s">
        <v>350</v>
      </c>
      <c r="EV12" t="s">
        <v>354</v>
      </c>
      <c r="EW12" t="s">
        <v>354</v>
      </c>
      <c r="EX12" t="s">
        <v>347</v>
      </c>
      <c r="EY12" t="s">
        <v>354</v>
      </c>
      <c r="EZ12" t="s">
        <v>354</v>
      </c>
      <c r="FA12" t="s">
        <v>350</v>
      </c>
      <c r="FB12">
        <v>44</v>
      </c>
      <c r="FC12" s="5">
        <v>41212</v>
      </c>
      <c r="FD12" t="s">
        <v>354</v>
      </c>
      <c r="FE12" t="s">
        <v>347</v>
      </c>
      <c r="FF12" t="s">
        <v>354</v>
      </c>
      <c r="FG12" t="s">
        <v>347</v>
      </c>
      <c r="FH12" t="s">
        <v>354</v>
      </c>
      <c r="FI12" t="s">
        <v>350</v>
      </c>
      <c r="FJ12" t="s">
        <v>354</v>
      </c>
    </row>
    <row r="13" spans="1:166">
      <c r="A13" t="s">
        <v>66</v>
      </c>
      <c r="B13" t="s">
        <v>67</v>
      </c>
      <c r="C13" t="s">
        <v>68</v>
      </c>
      <c r="D13">
        <v>2016</v>
      </c>
      <c r="E13">
        <v>27</v>
      </c>
      <c r="F13" s="5">
        <v>41093</v>
      </c>
      <c r="G13" t="s">
        <v>352</v>
      </c>
      <c r="H13" t="s">
        <v>352</v>
      </c>
      <c r="I13" t="s">
        <v>353</v>
      </c>
      <c r="J13" t="s">
        <v>350</v>
      </c>
      <c r="K13" t="s">
        <v>352</v>
      </c>
      <c r="L13" t="s">
        <v>353</v>
      </c>
      <c r="M13" t="s">
        <v>352</v>
      </c>
      <c r="N13">
        <v>28</v>
      </c>
      <c r="O13" s="5">
        <v>41100</v>
      </c>
      <c r="P13" t="s">
        <v>352</v>
      </c>
      <c r="Q13" t="s">
        <v>353</v>
      </c>
      <c r="R13" t="s">
        <v>350</v>
      </c>
      <c r="S13" t="s">
        <v>352</v>
      </c>
      <c r="T13" t="s">
        <v>352</v>
      </c>
      <c r="U13" t="s">
        <v>352</v>
      </c>
      <c r="V13" t="s">
        <v>352</v>
      </c>
      <c r="W13">
        <v>29</v>
      </c>
      <c r="X13" s="5">
        <v>41107</v>
      </c>
      <c r="Y13" t="s">
        <v>353</v>
      </c>
      <c r="Z13" t="s">
        <v>350</v>
      </c>
      <c r="AA13" t="s">
        <v>352</v>
      </c>
      <c r="AB13" t="s">
        <v>352</v>
      </c>
      <c r="AC13" t="s">
        <v>352</v>
      </c>
      <c r="AD13" t="s">
        <v>352</v>
      </c>
      <c r="AE13" t="s">
        <v>353</v>
      </c>
      <c r="AF13">
        <v>30</v>
      </c>
      <c r="AG13" s="5">
        <v>41114</v>
      </c>
      <c r="AH13" t="s">
        <v>350</v>
      </c>
      <c r="AI13" t="s">
        <v>352</v>
      </c>
      <c r="AJ13" t="s">
        <v>352</v>
      </c>
      <c r="AK13" t="s">
        <v>354</v>
      </c>
      <c r="AL13" t="s">
        <v>347</v>
      </c>
      <c r="AM13" t="s">
        <v>354</v>
      </c>
      <c r="AN13" t="s">
        <v>350</v>
      </c>
      <c r="AO13">
        <v>31</v>
      </c>
      <c r="AP13" s="5">
        <v>41121</v>
      </c>
      <c r="AQ13" t="s">
        <v>354</v>
      </c>
      <c r="AR13" t="s">
        <v>347</v>
      </c>
      <c r="AS13" t="s">
        <v>354</v>
      </c>
      <c r="AT13" t="s">
        <v>347</v>
      </c>
      <c r="AU13" t="s">
        <v>354</v>
      </c>
      <c r="AV13" t="s">
        <v>350</v>
      </c>
      <c r="AW13" t="s">
        <v>347</v>
      </c>
      <c r="BY13">
        <v>35</v>
      </c>
      <c r="BZ13" s="5">
        <v>41149</v>
      </c>
      <c r="CH13">
        <v>36</v>
      </c>
      <c r="CI13" s="5">
        <v>41156</v>
      </c>
      <c r="CJ13" t="s">
        <v>350</v>
      </c>
      <c r="CK13" t="s">
        <v>347</v>
      </c>
      <c r="CL13" t="s">
        <v>354</v>
      </c>
      <c r="CM13" t="s">
        <v>347</v>
      </c>
      <c r="CN13" t="s">
        <v>354</v>
      </c>
      <c r="CO13" t="s">
        <v>347</v>
      </c>
      <c r="CP13" t="s">
        <v>347</v>
      </c>
      <c r="CQ13">
        <v>37</v>
      </c>
      <c r="CR13" s="5">
        <v>41163</v>
      </c>
      <c r="CS13" t="s">
        <v>350</v>
      </c>
      <c r="CT13" t="s">
        <v>347</v>
      </c>
      <c r="CU13" t="s">
        <v>347</v>
      </c>
      <c r="CV13" t="s">
        <v>347</v>
      </c>
      <c r="CW13" t="s">
        <v>347</v>
      </c>
      <c r="CX13" t="s">
        <v>354</v>
      </c>
      <c r="CY13" t="s">
        <v>350</v>
      </c>
      <c r="CZ13">
        <v>38</v>
      </c>
      <c r="DA13" s="5">
        <v>41170</v>
      </c>
      <c r="DB13" t="s">
        <v>347</v>
      </c>
      <c r="DC13" t="s">
        <v>347</v>
      </c>
      <c r="DD13" t="s">
        <v>347</v>
      </c>
      <c r="DE13" t="s">
        <v>347</v>
      </c>
      <c r="DF13" t="s">
        <v>347</v>
      </c>
      <c r="DG13" t="s">
        <v>350</v>
      </c>
      <c r="DH13" t="s">
        <v>347</v>
      </c>
      <c r="DI13">
        <v>39</v>
      </c>
      <c r="DJ13" s="5">
        <v>41177</v>
      </c>
      <c r="DK13" t="s">
        <v>347</v>
      </c>
      <c r="DL13" t="s">
        <v>347</v>
      </c>
      <c r="DM13" t="s">
        <v>358</v>
      </c>
      <c r="DN13" t="s">
        <v>350</v>
      </c>
      <c r="DO13" t="s">
        <v>347</v>
      </c>
      <c r="DP13" t="s">
        <v>347</v>
      </c>
      <c r="DQ13" t="s">
        <v>347</v>
      </c>
      <c r="DR13">
        <v>40</v>
      </c>
      <c r="DS13" s="5">
        <v>41184</v>
      </c>
      <c r="DT13" t="s">
        <v>347</v>
      </c>
      <c r="DU13" t="s">
        <v>347</v>
      </c>
      <c r="DV13" t="s">
        <v>350</v>
      </c>
      <c r="DW13" t="s">
        <v>354</v>
      </c>
      <c r="DX13" t="s">
        <v>354</v>
      </c>
      <c r="DY13" t="s">
        <v>347</v>
      </c>
      <c r="DZ13" t="s">
        <v>354</v>
      </c>
      <c r="EA13">
        <v>41</v>
      </c>
      <c r="EB13" s="5">
        <v>41191</v>
      </c>
      <c r="EC13" t="s">
        <v>354</v>
      </c>
      <c r="ED13" t="s">
        <v>350</v>
      </c>
      <c r="EE13" t="s">
        <v>347</v>
      </c>
      <c r="EF13" t="s">
        <v>354</v>
      </c>
      <c r="EG13" t="s">
        <v>347</v>
      </c>
      <c r="EH13" t="s">
        <v>354</v>
      </c>
      <c r="EI13" t="s">
        <v>354</v>
      </c>
      <c r="EJ13">
        <v>42</v>
      </c>
      <c r="EK13" s="5">
        <v>41198</v>
      </c>
      <c r="EL13" t="s">
        <v>350</v>
      </c>
      <c r="EM13" t="s">
        <v>354</v>
      </c>
      <c r="EN13" t="s">
        <v>354</v>
      </c>
      <c r="EO13" t="s">
        <v>347</v>
      </c>
      <c r="EP13" t="s">
        <v>354</v>
      </c>
      <c r="EQ13" t="s">
        <v>354</v>
      </c>
      <c r="ER13" t="s">
        <v>350</v>
      </c>
      <c r="ES13">
        <v>43</v>
      </c>
      <c r="ET13" s="5">
        <v>41205</v>
      </c>
      <c r="EU13" t="s">
        <v>354</v>
      </c>
      <c r="EV13" t="s">
        <v>347</v>
      </c>
      <c r="EW13" t="s">
        <v>354</v>
      </c>
      <c r="EX13" t="s">
        <v>347</v>
      </c>
      <c r="EY13" t="s">
        <v>354</v>
      </c>
      <c r="EZ13" t="s">
        <v>350</v>
      </c>
      <c r="FA13" t="s">
        <v>354</v>
      </c>
      <c r="FB13">
        <v>44</v>
      </c>
      <c r="FC13" s="5">
        <v>41212</v>
      </c>
      <c r="FD13" t="s">
        <v>354</v>
      </c>
      <c r="FE13" t="s">
        <v>347</v>
      </c>
      <c r="FF13" t="s">
        <v>354</v>
      </c>
      <c r="FG13" t="s">
        <v>354</v>
      </c>
      <c r="FH13" t="s">
        <v>350</v>
      </c>
      <c r="FI13" t="s">
        <v>347</v>
      </c>
      <c r="FJ13" t="s">
        <v>347</v>
      </c>
    </row>
    <row r="14" spans="1:166">
      <c r="A14" t="s">
        <v>71</v>
      </c>
      <c r="B14" t="s">
        <v>67</v>
      </c>
      <c r="C14" t="s">
        <v>72</v>
      </c>
      <c r="D14">
        <v>2016</v>
      </c>
      <c r="E14">
        <v>27</v>
      </c>
      <c r="F14" s="5">
        <v>41093</v>
      </c>
      <c r="G14" t="s">
        <v>347</v>
      </c>
      <c r="H14" t="s">
        <v>354</v>
      </c>
      <c r="I14" t="s">
        <v>354</v>
      </c>
      <c r="J14" t="s">
        <v>354</v>
      </c>
      <c r="K14" t="s">
        <v>354</v>
      </c>
      <c r="L14" t="s">
        <v>350</v>
      </c>
      <c r="M14" t="s">
        <v>347</v>
      </c>
      <c r="N14">
        <v>28</v>
      </c>
      <c r="O14" s="5">
        <v>41100</v>
      </c>
      <c r="P14" t="s">
        <v>354</v>
      </c>
      <c r="Q14" t="s">
        <v>354</v>
      </c>
      <c r="R14" t="s">
        <v>348</v>
      </c>
      <c r="S14" t="s">
        <v>349</v>
      </c>
      <c r="T14" t="s">
        <v>350</v>
      </c>
      <c r="U14" t="s">
        <v>347</v>
      </c>
      <c r="V14" t="s">
        <v>354</v>
      </c>
      <c r="W14">
        <v>29</v>
      </c>
      <c r="X14" s="5">
        <v>41107</v>
      </c>
      <c r="Y14" t="s">
        <v>354</v>
      </c>
      <c r="Z14" t="s">
        <v>354</v>
      </c>
      <c r="AA14" t="s">
        <v>354</v>
      </c>
      <c r="AB14" t="s">
        <v>350</v>
      </c>
      <c r="AC14" t="s">
        <v>347</v>
      </c>
      <c r="AD14" t="s">
        <v>354</v>
      </c>
      <c r="AE14" t="s">
        <v>354</v>
      </c>
      <c r="AF14">
        <v>30</v>
      </c>
      <c r="AG14" s="5">
        <v>41114</v>
      </c>
      <c r="AH14" t="s">
        <v>348</v>
      </c>
      <c r="AI14" t="s">
        <v>349</v>
      </c>
      <c r="AJ14" t="s">
        <v>350</v>
      </c>
      <c r="AK14" t="s">
        <v>347</v>
      </c>
      <c r="AL14" t="s">
        <v>354</v>
      </c>
      <c r="AM14" t="s">
        <v>354</v>
      </c>
      <c r="AN14" t="s">
        <v>348</v>
      </c>
      <c r="AO14">
        <v>31</v>
      </c>
      <c r="AP14" s="5">
        <v>41121</v>
      </c>
      <c r="AQ14" t="s">
        <v>349</v>
      </c>
      <c r="AR14" t="s">
        <v>350</v>
      </c>
      <c r="AS14" t="s">
        <v>347</v>
      </c>
      <c r="AT14" t="s">
        <v>347</v>
      </c>
      <c r="AU14" t="s">
        <v>354</v>
      </c>
      <c r="AV14" t="s">
        <v>354</v>
      </c>
      <c r="AW14" t="s">
        <v>348</v>
      </c>
      <c r="AX14">
        <v>32</v>
      </c>
      <c r="AY14">
        <v>41128</v>
      </c>
      <c r="AZ14" t="s">
        <v>349</v>
      </c>
      <c r="BA14" t="s">
        <v>350</v>
      </c>
      <c r="BB14" t="s">
        <v>354</v>
      </c>
      <c r="BC14" t="s">
        <v>347</v>
      </c>
      <c r="BD14" t="s">
        <v>347</v>
      </c>
      <c r="BE14" t="s">
        <v>354</v>
      </c>
      <c r="BF14" t="s">
        <v>350</v>
      </c>
      <c r="BG14">
        <v>33</v>
      </c>
      <c r="BH14">
        <v>41135</v>
      </c>
      <c r="BI14" t="s">
        <v>354</v>
      </c>
      <c r="BJ14" t="s">
        <v>347</v>
      </c>
      <c r="BK14" t="s">
        <v>354</v>
      </c>
      <c r="BL14" t="s">
        <v>348</v>
      </c>
      <c r="BM14" t="s">
        <v>349</v>
      </c>
      <c r="BN14" t="s">
        <v>350</v>
      </c>
      <c r="BO14" t="s">
        <v>347</v>
      </c>
      <c r="BP14">
        <v>34</v>
      </c>
      <c r="BQ14">
        <v>41142</v>
      </c>
      <c r="BR14" t="s">
        <v>354</v>
      </c>
      <c r="BS14" t="s">
        <v>347</v>
      </c>
      <c r="BT14" t="s">
        <v>347</v>
      </c>
      <c r="BU14" t="s">
        <v>354</v>
      </c>
      <c r="BV14" t="s">
        <v>350</v>
      </c>
      <c r="BW14" t="s">
        <v>347</v>
      </c>
      <c r="BX14" t="s">
        <v>347</v>
      </c>
      <c r="BY14">
        <v>35</v>
      </c>
      <c r="BZ14" s="5">
        <v>41149</v>
      </c>
      <c r="CA14" t="s">
        <v>354</v>
      </c>
      <c r="CB14" t="s">
        <v>348</v>
      </c>
      <c r="CC14" t="s">
        <v>349</v>
      </c>
      <c r="CD14" t="s">
        <v>350</v>
      </c>
      <c r="CE14" t="s">
        <v>347</v>
      </c>
      <c r="CF14" t="s">
        <v>354</v>
      </c>
      <c r="CG14" t="s">
        <v>354</v>
      </c>
      <c r="CH14">
        <v>36</v>
      </c>
      <c r="CI14" s="5">
        <v>41156</v>
      </c>
      <c r="CJ14" t="s">
        <v>347</v>
      </c>
      <c r="CK14" t="s">
        <v>354</v>
      </c>
      <c r="CL14" t="s">
        <v>350</v>
      </c>
      <c r="CM14" t="s">
        <v>347</v>
      </c>
      <c r="CN14" t="s">
        <v>354</v>
      </c>
      <c r="CO14" t="s">
        <v>354</v>
      </c>
      <c r="CP14" t="s">
        <v>354</v>
      </c>
      <c r="CQ14">
        <v>37</v>
      </c>
      <c r="CR14" s="5">
        <v>41163</v>
      </c>
      <c r="CS14" t="s">
        <v>354</v>
      </c>
      <c r="CT14" t="s">
        <v>350</v>
      </c>
      <c r="CU14" t="s">
        <v>347</v>
      </c>
      <c r="CV14" t="s">
        <v>354</v>
      </c>
      <c r="CW14" t="s">
        <v>354</v>
      </c>
      <c r="CX14" t="s">
        <v>354</v>
      </c>
      <c r="CY14" t="s">
        <v>354</v>
      </c>
      <c r="CZ14">
        <v>38</v>
      </c>
      <c r="DA14" s="5">
        <v>41170</v>
      </c>
      <c r="DB14" t="s">
        <v>350</v>
      </c>
      <c r="DC14" t="s">
        <v>347</v>
      </c>
      <c r="DD14" t="s">
        <v>354</v>
      </c>
      <c r="DE14" t="s">
        <v>347</v>
      </c>
      <c r="DF14" t="s">
        <v>354</v>
      </c>
      <c r="DG14" t="s">
        <v>354</v>
      </c>
      <c r="DH14" t="s">
        <v>350</v>
      </c>
      <c r="DI14">
        <v>39</v>
      </c>
      <c r="DJ14" s="5">
        <v>41177</v>
      </c>
      <c r="DK14" t="s">
        <v>347</v>
      </c>
      <c r="DL14" t="s">
        <v>347</v>
      </c>
      <c r="DM14" t="s">
        <v>354</v>
      </c>
      <c r="DN14" t="s">
        <v>347</v>
      </c>
      <c r="DO14" t="s">
        <v>354</v>
      </c>
      <c r="DP14" t="s">
        <v>350</v>
      </c>
      <c r="DQ14" t="s">
        <v>358</v>
      </c>
      <c r="DR14">
        <v>40</v>
      </c>
      <c r="DS14" s="5">
        <v>41184</v>
      </c>
      <c r="DT14" t="s">
        <v>347</v>
      </c>
      <c r="DU14" t="s">
        <v>354</v>
      </c>
      <c r="DV14" t="s">
        <v>348</v>
      </c>
      <c r="DW14" t="s">
        <v>349</v>
      </c>
      <c r="DX14" t="s">
        <v>350</v>
      </c>
      <c r="DY14" t="s">
        <v>347</v>
      </c>
      <c r="DZ14" t="s">
        <v>354</v>
      </c>
      <c r="EA14">
        <v>41</v>
      </c>
      <c r="EB14" s="5">
        <v>41191</v>
      </c>
      <c r="EC14" t="s">
        <v>347</v>
      </c>
      <c r="ED14" t="s">
        <v>354</v>
      </c>
      <c r="EE14" t="s">
        <v>347</v>
      </c>
      <c r="EF14" t="s">
        <v>350</v>
      </c>
      <c r="EG14" t="s">
        <v>347</v>
      </c>
      <c r="EH14" t="s">
        <v>347</v>
      </c>
      <c r="EI14" t="s">
        <v>354</v>
      </c>
      <c r="EJ14">
        <v>42</v>
      </c>
      <c r="EK14" s="5">
        <v>41198</v>
      </c>
      <c r="EL14" t="s">
        <v>348</v>
      </c>
      <c r="EM14" t="s">
        <v>349</v>
      </c>
      <c r="EN14" t="s">
        <v>350</v>
      </c>
      <c r="EO14" t="s">
        <v>347</v>
      </c>
      <c r="EP14" t="s">
        <v>354</v>
      </c>
      <c r="EQ14" t="s">
        <v>354</v>
      </c>
      <c r="ER14" t="s">
        <v>348</v>
      </c>
      <c r="ES14">
        <v>43</v>
      </c>
      <c r="ET14" s="5">
        <v>41205</v>
      </c>
      <c r="EU14" t="s">
        <v>349</v>
      </c>
      <c r="EV14" t="s">
        <v>350</v>
      </c>
      <c r="EW14" t="s">
        <v>347</v>
      </c>
      <c r="EX14" t="s">
        <v>347</v>
      </c>
      <c r="EY14" t="s">
        <v>354</v>
      </c>
      <c r="EZ14" t="s">
        <v>354</v>
      </c>
      <c r="FA14" t="s">
        <v>347</v>
      </c>
      <c r="FB14">
        <v>44</v>
      </c>
      <c r="FC14" s="5">
        <v>41212</v>
      </c>
      <c r="FD14" t="s">
        <v>350</v>
      </c>
      <c r="FE14" t="s">
        <v>347</v>
      </c>
      <c r="FF14" t="s">
        <v>354</v>
      </c>
      <c r="FG14" t="s">
        <v>347</v>
      </c>
      <c r="FH14" t="s">
        <v>347</v>
      </c>
      <c r="FI14" t="s">
        <v>354</v>
      </c>
      <c r="FJ14" t="s">
        <v>350</v>
      </c>
    </row>
    <row r="15" spans="1:166">
      <c r="A15" t="s">
        <v>73</v>
      </c>
      <c r="B15" t="s">
        <v>74</v>
      </c>
      <c r="C15" t="s">
        <v>75</v>
      </c>
      <c r="D15">
        <v>2016</v>
      </c>
      <c r="E15">
        <v>27</v>
      </c>
      <c r="F15" s="5">
        <v>41093</v>
      </c>
      <c r="G15" t="s">
        <v>354</v>
      </c>
      <c r="H15" t="s">
        <v>348</v>
      </c>
      <c r="I15" t="s">
        <v>349</v>
      </c>
      <c r="J15" t="s">
        <v>350</v>
      </c>
      <c r="K15" t="s">
        <v>347</v>
      </c>
      <c r="L15" t="s">
        <v>354</v>
      </c>
      <c r="M15" t="s">
        <v>354</v>
      </c>
      <c r="N15">
        <v>28</v>
      </c>
      <c r="O15" s="5">
        <v>41100</v>
      </c>
      <c r="P15" t="s">
        <v>354</v>
      </c>
      <c r="Q15" t="s">
        <v>354</v>
      </c>
      <c r="R15" t="s">
        <v>350</v>
      </c>
      <c r="S15" t="s">
        <v>351</v>
      </c>
      <c r="T15" t="s">
        <v>351</v>
      </c>
      <c r="U15" t="s">
        <v>348</v>
      </c>
      <c r="V15" t="s">
        <v>349</v>
      </c>
      <c r="W15">
        <v>29</v>
      </c>
      <c r="X15" s="5">
        <v>41107</v>
      </c>
      <c r="Y15" t="s">
        <v>350</v>
      </c>
      <c r="Z15" t="s">
        <v>347</v>
      </c>
      <c r="AA15" t="s">
        <v>347</v>
      </c>
      <c r="AB15" t="s">
        <v>354</v>
      </c>
      <c r="AC15" t="s">
        <v>348</v>
      </c>
      <c r="AD15" t="s">
        <v>349</v>
      </c>
      <c r="AE15" t="s">
        <v>350</v>
      </c>
      <c r="AF15">
        <v>30</v>
      </c>
      <c r="AG15" s="5">
        <v>41114</v>
      </c>
      <c r="AH15" t="s">
        <v>347</v>
      </c>
      <c r="AI15" t="s">
        <v>354</v>
      </c>
      <c r="AJ15" t="s">
        <v>354</v>
      </c>
      <c r="AK15" t="s">
        <v>354</v>
      </c>
      <c r="AL15" t="s">
        <v>354</v>
      </c>
      <c r="AM15" t="s">
        <v>350</v>
      </c>
      <c r="AN15" t="s">
        <v>347</v>
      </c>
      <c r="AO15">
        <v>31</v>
      </c>
      <c r="AP15" s="5">
        <v>41121</v>
      </c>
      <c r="AQ15" t="s">
        <v>347</v>
      </c>
      <c r="AR15" t="s">
        <v>354</v>
      </c>
      <c r="AS15" t="s">
        <v>348</v>
      </c>
      <c r="AT15" t="s">
        <v>349</v>
      </c>
      <c r="AU15" t="s">
        <v>350</v>
      </c>
      <c r="AV15" t="s">
        <v>347</v>
      </c>
      <c r="AW15" t="s">
        <v>354</v>
      </c>
      <c r="AX15">
        <v>32</v>
      </c>
      <c r="AY15" s="5">
        <v>41128</v>
      </c>
      <c r="AZ15" t="s">
        <v>347</v>
      </c>
      <c r="BA15" t="s">
        <v>354</v>
      </c>
      <c r="BB15" t="s">
        <v>347</v>
      </c>
      <c r="BC15" t="s">
        <v>350</v>
      </c>
      <c r="BD15" t="s">
        <v>347</v>
      </c>
      <c r="BE15" t="s">
        <v>347</v>
      </c>
      <c r="BF15" t="s">
        <v>354</v>
      </c>
      <c r="BG15">
        <v>33</v>
      </c>
      <c r="BH15" s="5">
        <v>41135</v>
      </c>
      <c r="BI15" t="s">
        <v>348</v>
      </c>
      <c r="BJ15" t="s">
        <v>349</v>
      </c>
      <c r="BK15" t="s">
        <v>350</v>
      </c>
      <c r="BL15" t="s">
        <v>347</v>
      </c>
      <c r="BM15" t="s">
        <v>354</v>
      </c>
      <c r="BN15" t="s">
        <v>354</v>
      </c>
      <c r="BO15" t="s">
        <v>354</v>
      </c>
      <c r="BP15">
        <v>34</v>
      </c>
      <c r="BQ15" s="5">
        <v>41142</v>
      </c>
      <c r="BR15" t="s">
        <v>351</v>
      </c>
      <c r="BS15" t="s">
        <v>350</v>
      </c>
      <c r="BT15" t="s">
        <v>351</v>
      </c>
      <c r="BU15" t="s">
        <v>351</v>
      </c>
      <c r="BV15" t="s">
        <v>351</v>
      </c>
      <c r="BW15" t="s">
        <v>351</v>
      </c>
      <c r="BX15" t="s">
        <v>351</v>
      </c>
      <c r="BY15">
        <v>35</v>
      </c>
      <c r="BZ15" s="5">
        <v>41149</v>
      </c>
      <c r="CA15" t="s">
        <v>350</v>
      </c>
      <c r="CB15" t="s">
        <v>351</v>
      </c>
      <c r="CC15" t="s">
        <v>351</v>
      </c>
      <c r="CD15" t="s">
        <v>351</v>
      </c>
      <c r="CE15" t="s">
        <v>351</v>
      </c>
      <c r="CF15" t="s">
        <v>351</v>
      </c>
      <c r="CG15" t="s">
        <v>350</v>
      </c>
      <c r="CH15">
        <v>36</v>
      </c>
      <c r="CI15" s="5">
        <v>41156</v>
      </c>
      <c r="CJ15" t="s">
        <v>347</v>
      </c>
      <c r="CK15" t="s">
        <v>354</v>
      </c>
      <c r="CL15" t="s">
        <v>354</v>
      </c>
      <c r="CM15" t="s">
        <v>348</v>
      </c>
      <c r="CN15" t="s">
        <v>349</v>
      </c>
      <c r="CO15" t="s">
        <v>350</v>
      </c>
      <c r="CP15" t="s">
        <v>347</v>
      </c>
      <c r="CQ15">
        <v>37</v>
      </c>
      <c r="CR15" s="5">
        <v>41163</v>
      </c>
      <c r="CS15" t="s">
        <v>354</v>
      </c>
      <c r="CT15" t="s">
        <v>354</v>
      </c>
      <c r="CU15" t="s">
        <v>348</v>
      </c>
      <c r="CV15" t="s">
        <v>349</v>
      </c>
      <c r="CW15" t="s">
        <v>350</v>
      </c>
      <c r="CX15" t="s">
        <v>347</v>
      </c>
      <c r="CY15" t="s">
        <v>354</v>
      </c>
      <c r="CZ15">
        <v>38</v>
      </c>
      <c r="DA15" s="5">
        <v>41170</v>
      </c>
      <c r="DB15" t="s">
        <v>354</v>
      </c>
      <c r="DC15" t="s">
        <v>354</v>
      </c>
      <c r="DD15" t="s">
        <v>354</v>
      </c>
      <c r="DE15" t="s">
        <v>350</v>
      </c>
      <c r="DF15" t="s">
        <v>347</v>
      </c>
      <c r="DG15" t="s">
        <v>354</v>
      </c>
      <c r="DH15" t="s">
        <v>354</v>
      </c>
      <c r="DI15">
        <v>39</v>
      </c>
      <c r="DJ15" s="5">
        <v>41177</v>
      </c>
      <c r="DK15" t="s">
        <v>348</v>
      </c>
      <c r="DL15" t="s">
        <v>349</v>
      </c>
      <c r="DM15" t="s">
        <v>350</v>
      </c>
      <c r="DN15" t="s">
        <v>347</v>
      </c>
      <c r="DO15" t="s">
        <v>354</v>
      </c>
      <c r="DP15" t="s">
        <v>358</v>
      </c>
      <c r="DQ15" t="s">
        <v>348</v>
      </c>
      <c r="DR15">
        <v>40</v>
      </c>
      <c r="DS15" s="5">
        <v>41184</v>
      </c>
      <c r="DT15" t="s">
        <v>349</v>
      </c>
      <c r="DU15" t="s">
        <v>350</v>
      </c>
      <c r="DV15" t="s">
        <v>347</v>
      </c>
      <c r="DW15" t="s">
        <v>347</v>
      </c>
      <c r="DX15" t="s">
        <v>354</v>
      </c>
      <c r="DY15" t="s">
        <v>354</v>
      </c>
      <c r="DZ15" t="s">
        <v>347</v>
      </c>
      <c r="EA15">
        <v>41</v>
      </c>
      <c r="EB15" s="5">
        <v>41191</v>
      </c>
      <c r="EC15" t="s">
        <v>350</v>
      </c>
      <c r="ED15" t="s">
        <v>347</v>
      </c>
      <c r="EE15" t="s">
        <v>354</v>
      </c>
      <c r="EF15" t="s">
        <v>347</v>
      </c>
      <c r="EG15" t="s">
        <v>347</v>
      </c>
      <c r="EH15" t="s">
        <v>354</v>
      </c>
      <c r="EI15" t="s">
        <v>350</v>
      </c>
      <c r="EJ15">
        <v>42</v>
      </c>
      <c r="EK15" s="5">
        <v>41198</v>
      </c>
      <c r="EL15" t="s">
        <v>354</v>
      </c>
      <c r="EM15" t="s">
        <v>354</v>
      </c>
      <c r="EN15" t="s">
        <v>354</v>
      </c>
      <c r="EO15" t="s">
        <v>348</v>
      </c>
      <c r="EP15" t="s">
        <v>349</v>
      </c>
      <c r="EQ15" t="s">
        <v>350</v>
      </c>
      <c r="ER15" t="s">
        <v>347</v>
      </c>
      <c r="ES15">
        <v>43</v>
      </c>
      <c r="ET15" s="5">
        <v>41205</v>
      </c>
      <c r="EU15" t="s">
        <v>347</v>
      </c>
      <c r="EV15" t="s">
        <v>347</v>
      </c>
      <c r="EW15" t="s">
        <v>347</v>
      </c>
      <c r="EX15" t="s">
        <v>354</v>
      </c>
      <c r="EY15" t="s">
        <v>350</v>
      </c>
      <c r="EZ15" t="s">
        <v>347</v>
      </c>
      <c r="FA15" t="s">
        <v>347</v>
      </c>
      <c r="FB15">
        <v>44</v>
      </c>
      <c r="FC15" s="5">
        <v>41212</v>
      </c>
      <c r="FD15" t="s">
        <v>354</v>
      </c>
      <c r="FE15" t="s">
        <v>348</v>
      </c>
      <c r="FF15" t="s">
        <v>349</v>
      </c>
      <c r="FG15" t="s">
        <v>350</v>
      </c>
      <c r="FH15" t="s">
        <v>347</v>
      </c>
      <c r="FI15" t="s">
        <v>354</v>
      </c>
      <c r="FJ15" t="s">
        <v>354</v>
      </c>
    </row>
    <row r="16" spans="1:166">
      <c r="A16" t="s">
        <v>76</v>
      </c>
      <c r="B16" t="s">
        <v>77</v>
      </c>
      <c r="C16" t="s">
        <v>78</v>
      </c>
      <c r="D16">
        <v>2016</v>
      </c>
      <c r="E16">
        <v>27</v>
      </c>
      <c r="F16" s="5">
        <v>41093</v>
      </c>
      <c r="G16" t="s">
        <v>350</v>
      </c>
      <c r="H16" t="s">
        <v>347</v>
      </c>
      <c r="I16" t="s">
        <v>354</v>
      </c>
      <c r="J16" t="s">
        <v>347</v>
      </c>
      <c r="K16" t="s">
        <v>354</v>
      </c>
      <c r="L16" t="s">
        <v>350</v>
      </c>
      <c r="M16" t="s">
        <v>347</v>
      </c>
      <c r="N16">
        <v>28</v>
      </c>
      <c r="O16" s="5">
        <v>41100</v>
      </c>
      <c r="P16" t="s">
        <v>354</v>
      </c>
      <c r="Q16" t="s">
        <v>347</v>
      </c>
      <c r="R16" t="s">
        <v>354</v>
      </c>
      <c r="S16" t="s">
        <v>354</v>
      </c>
      <c r="T16" t="s">
        <v>350</v>
      </c>
      <c r="U16" t="s">
        <v>347</v>
      </c>
      <c r="V16" t="s">
        <v>347</v>
      </c>
      <c r="W16">
        <v>29</v>
      </c>
      <c r="X16" s="5">
        <v>41107</v>
      </c>
      <c r="Y16" t="s">
        <v>353</v>
      </c>
      <c r="Z16" t="s">
        <v>352</v>
      </c>
      <c r="AA16" t="s">
        <v>353</v>
      </c>
      <c r="AB16" t="s">
        <v>350</v>
      </c>
      <c r="AC16" t="s">
        <v>352</v>
      </c>
      <c r="AD16" t="s">
        <v>352</v>
      </c>
      <c r="AE16" t="s">
        <v>353</v>
      </c>
      <c r="AF16">
        <v>30</v>
      </c>
      <c r="AG16" s="5">
        <v>41114</v>
      </c>
      <c r="AH16" t="s">
        <v>353</v>
      </c>
      <c r="AI16" t="s">
        <v>353</v>
      </c>
      <c r="AJ16" t="s">
        <v>350</v>
      </c>
      <c r="AK16" t="s">
        <v>352</v>
      </c>
      <c r="AL16" t="s">
        <v>352</v>
      </c>
      <c r="AM16" t="s">
        <v>353</v>
      </c>
      <c r="AN16" t="s">
        <v>352</v>
      </c>
      <c r="AO16">
        <v>31</v>
      </c>
      <c r="AP16" s="5">
        <v>41121</v>
      </c>
      <c r="AQ16" t="s">
        <v>350</v>
      </c>
      <c r="AR16" t="s">
        <v>354</v>
      </c>
      <c r="AS16" t="s">
        <v>350</v>
      </c>
      <c r="AT16" t="s">
        <v>354</v>
      </c>
      <c r="AU16" t="s">
        <v>354</v>
      </c>
      <c r="AV16" t="s">
        <v>348</v>
      </c>
      <c r="AW16" t="s">
        <v>349</v>
      </c>
      <c r="AX16">
        <v>32</v>
      </c>
      <c r="AY16" s="5">
        <v>41128</v>
      </c>
      <c r="AZ16" t="s">
        <v>350</v>
      </c>
      <c r="BA16" t="s">
        <v>347</v>
      </c>
      <c r="BB16" t="s">
        <v>354</v>
      </c>
      <c r="BC16" t="s">
        <v>354</v>
      </c>
      <c r="BD16" t="s">
        <v>348</v>
      </c>
      <c r="BE16" t="s">
        <v>349</v>
      </c>
      <c r="BF16" t="s">
        <v>350</v>
      </c>
      <c r="BG16">
        <v>33</v>
      </c>
      <c r="BH16" s="5">
        <v>41135</v>
      </c>
      <c r="BI16" t="s">
        <v>347</v>
      </c>
      <c r="BJ16" t="s">
        <v>354</v>
      </c>
      <c r="BK16" t="s">
        <v>354</v>
      </c>
      <c r="BL16" t="s">
        <v>354</v>
      </c>
      <c r="BM16" t="s">
        <v>354</v>
      </c>
      <c r="BN16" t="s">
        <v>350</v>
      </c>
      <c r="BO16" t="s">
        <v>354</v>
      </c>
      <c r="BP16">
        <v>34</v>
      </c>
      <c r="BQ16" s="5">
        <v>41142</v>
      </c>
      <c r="BR16" t="s">
        <v>347</v>
      </c>
      <c r="BS16" t="s">
        <v>354</v>
      </c>
      <c r="BT16" t="s">
        <v>348</v>
      </c>
      <c r="BU16" t="s">
        <v>349</v>
      </c>
      <c r="BV16" t="s">
        <v>350</v>
      </c>
      <c r="BW16" t="s">
        <v>347</v>
      </c>
      <c r="BX16" t="s">
        <v>354</v>
      </c>
      <c r="BY16">
        <v>35</v>
      </c>
      <c r="BZ16" s="5">
        <v>41149</v>
      </c>
      <c r="CA16" t="s">
        <v>347</v>
      </c>
      <c r="CB16" t="s">
        <v>354</v>
      </c>
      <c r="CC16" t="s">
        <v>347</v>
      </c>
      <c r="CD16" t="s">
        <v>350</v>
      </c>
      <c r="CE16" t="s">
        <v>347</v>
      </c>
      <c r="CF16" t="s">
        <v>347</v>
      </c>
      <c r="CG16" t="s">
        <v>354</v>
      </c>
      <c r="CH16">
        <v>36</v>
      </c>
      <c r="CI16" s="5">
        <v>41156</v>
      </c>
      <c r="CJ16" t="s">
        <v>348</v>
      </c>
      <c r="CK16" t="s">
        <v>349</v>
      </c>
      <c r="CL16" t="s">
        <v>350</v>
      </c>
      <c r="CM16" t="s">
        <v>347</v>
      </c>
      <c r="CN16" t="s">
        <v>354</v>
      </c>
      <c r="CO16" t="s">
        <v>354</v>
      </c>
      <c r="CP16" t="s">
        <v>348</v>
      </c>
      <c r="CQ16">
        <v>37</v>
      </c>
      <c r="CR16" s="5">
        <v>41163</v>
      </c>
      <c r="CS16" t="s">
        <v>349</v>
      </c>
      <c r="CT16" t="s">
        <v>350</v>
      </c>
      <c r="CU16" t="s">
        <v>347</v>
      </c>
      <c r="CV16" t="s">
        <v>354</v>
      </c>
      <c r="CW16" t="s">
        <v>354</v>
      </c>
      <c r="CX16" t="s">
        <v>348</v>
      </c>
      <c r="CY16" t="s">
        <v>349</v>
      </c>
      <c r="CZ16">
        <v>38</v>
      </c>
      <c r="DA16" s="5">
        <v>41170</v>
      </c>
      <c r="DB16" t="s">
        <v>350</v>
      </c>
      <c r="DC16" t="s">
        <v>347</v>
      </c>
      <c r="DD16" t="s">
        <v>354</v>
      </c>
      <c r="DE16" t="s">
        <v>354</v>
      </c>
      <c r="DF16" t="s">
        <v>354</v>
      </c>
      <c r="DG16" t="s">
        <v>354</v>
      </c>
      <c r="DH16" t="s">
        <v>350</v>
      </c>
      <c r="DI16">
        <v>39</v>
      </c>
      <c r="DJ16" s="5">
        <v>41177</v>
      </c>
      <c r="DK16" t="s">
        <v>347</v>
      </c>
      <c r="DL16" t="s">
        <v>354</v>
      </c>
      <c r="DM16" t="s">
        <v>354</v>
      </c>
      <c r="DN16" t="s">
        <v>348</v>
      </c>
      <c r="DO16" t="s">
        <v>349</v>
      </c>
      <c r="DP16" t="s">
        <v>350</v>
      </c>
      <c r="DQ16" t="s">
        <v>347</v>
      </c>
      <c r="DR16">
        <v>40</v>
      </c>
      <c r="DS16" s="5">
        <v>41184</v>
      </c>
      <c r="DT16" t="s">
        <v>354</v>
      </c>
      <c r="DU16" t="s">
        <v>347</v>
      </c>
      <c r="DV16" t="s">
        <v>347</v>
      </c>
      <c r="DW16" t="s">
        <v>354</v>
      </c>
      <c r="DX16" t="s">
        <v>350</v>
      </c>
      <c r="DY16" t="s">
        <v>347</v>
      </c>
      <c r="DZ16" t="s">
        <v>347</v>
      </c>
      <c r="EA16">
        <v>41</v>
      </c>
      <c r="EB16" s="5">
        <v>41191</v>
      </c>
      <c r="EC16" t="s">
        <v>354</v>
      </c>
      <c r="ED16" t="s">
        <v>348</v>
      </c>
      <c r="EE16" t="s">
        <v>349</v>
      </c>
      <c r="EF16" t="s">
        <v>350</v>
      </c>
      <c r="EG16" t="s">
        <v>347</v>
      </c>
      <c r="EH16" t="s">
        <v>354</v>
      </c>
      <c r="EI16" t="s">
        <v>354</v>
      </c>
      <c r="EJ16">
        <v>42</v>
      </c>
      <c r="EK16" s="5">
        <v>41198</v>
      </c>
      <c r="EL16" t="s">
        <v>354</v>
      </c>
      <c r="EM16" t="s">
        <v>354</v>
      </c>
      <c r="EN16" t="s">
        <v>350</v>
      </c>
      <c r="EO16" t="s">
        <v>354</v>
      </c>
      <c r="EP16" t="s">
        <v>354</v>
      </c>
      <c r="EQ16" t="s">
        <v>348</v>
      </c>
      <c r="ER16" t="s">
        <v>349</v>
      </c>
      <c r="ES16">
        <v>43</v>
      </c>
      <c r="ET16" s="5">
        <v>41205</v>
      </c>
      <c r="EU16" t="s">
        <v>350</v>
      </c>
      <c r="EV16" t="s">
        <v>347</v>
      </c>
      <c r="EW16" t="s">
        <v>354</v>
      </c>
      <c r="EX16" t="s">
        <v>354</v>
      </c>
      <c r="EY16" t="s">
        <v>348</v>
      </c>
      <c r="EZ16" t="s">
        <v>349</v>
      </c>
      <c r="FA16" t="s">
        <v>350</v>
      </c>
      <c r="FB16">
        <v>44</v>
      </c>
      <c r="FC16" s="5">
        <v>41212</v>
      </c>
      <c r="FD16" t="s">
        <v>347</v>
      </c>
      <c r="FE16" t="s">
        <v>354</v>
      </c>
      <c r="FF16" t="s">
        <v>354</v>
      </c>
      <c r="FG16" t="s">
        <v>354</v>
      </c>
      <c r="FH16" t="s">
        <v>354</v>
      </c>
      <c r="FI16" t="s">
        <v>350</v>
      </c>
      <c r="FJ16" t="s">
        <v>354</v>
      </c>
    </row>
    <row r="17" spans="1:166">
      <c r="A17" t="s">
        <v>79</v>
      </c>
      <c r="B17" t="s">
        <v>80</v>
      </c>
      <c r="C17" t="s">
        <v>81</v>
      </c>
      <c r="D17">
        <v>2016</v>
      </c>
      <c r="E17">
        <v>27</v>
      </c>
      <c r="F17" s="5">
        <v>41093</v>
      </c>
      <c r="G17" t="s">
        <v>354</v>
      </c>
      <c r="H17" t="s">
        <v>354</v>
      </c>
      <c r="I17" t="s">
        <v>348</v>
      </c>
      <c r="J17" t="s">
        <v>349</v>
      </c>
      <c r="K17" t="s">
        <v>350</v>
      </c>
      <c r="L17" t="s">
        <v>347</v>
      </c>
      <c r="M17" t="s">
        <v>354</v>
      </c>
      <c r="N17">
        <v>28</v>
      </c>
      <c r="O17" s="5">
        <v>41100</v>
      </c>
      <c r="P17" t="s">
        <v>347</v>
      </c>
      <c r="Q17" t="s">
        <v>354</v>
      </c>
      <c r="R17" t="s">
        <v>354</v>
      </c>
      <c r="S17" t="s">
        <v>350</v>
      </c>
      <c r="T17" t="s">
        <v>347</v>
      </c>
      <c r="U17" t="s">
        <v>347</v>
      </c>
      <c r="V17" t="s">
        <v>354</v>
      </c>
      <c r="W17">
        <v>29</v>
      </c>
      <c r="X17" s="5">
        <v>41107</v>
      </c>
      <c r="Y17" t="s">
        <v>348</v>
      </c>
      <c r="Z17" t="s">
        <v>349</v>
      </c>
      <c r="AA17" t="s">
        <v>350</v>
      </c>
      <c r="AB17" t="s">
        <v>347</v>
      </c>
      <c r="AC17" t="s">
        <v>354</v>
      </c>
      <c r="AD17" t="s">
        <v>354</v>
      </c>
      <c r="AE17" t="s">
        <v>348</v>
      </c>
      <c r="AF17">
        <v>30</v>
      </c>
      <c r="AG17" s="5">
        <v>41114</v>
      </c>
      <c r="AH17" t="s">
        <v>349</v>
      </c>
      <c r="AI17" t="s">
        <v>350</v>
      </c>
      <c r="AJ17" t="s">
        <v>347</v>
      </c>
      <c r="AK17" t="s">
        <v>347</v>
      </c>
      <c r="AL17" t="s">
        <v>354</v>
      </c>
      <c r="AM17" t="s">
        <v>348</v>
      </c>
      <c r="AN17" t="s">
        <v>349</v>
      </c>
      <c r="AO17">
        <v>31</v>
      </c>
      <c r="AP17" s="5">
        <v>41121</v>
      </c>
      <c r="AQ17" t="s">
        <v>350</v>
      </c>
      <c r="AR17" t="s">
        <v>351</v>
      </c>
      <c r="AS17" t="s">
        <v>351</v>
      </c>
      <c r="AT17" t="s">
        <v>351</v>
      </c>
      <c r="AU17" t="s">
        <v>351</v>
      </c>
      <c r="AV17" t="s">
        <v>351</v>
      </c>
      <c r="AW17" t="s">
        <v>350</v>
      </c>
      <c r="AX17">
        <v>32</v>
      </c>
      <c r="AY17" s="5">
        <v>41128</v>
      </c>
      <c r="AZ17" t="s">
        <v>351</v>
      </c>
      <c r="BA17" t="s">
        <v>354</v>
      </c>
      <c r="BB17" t="s">
        <v>354</v>
      </c>
      <c r="BC17" t="s">
        <v>354</v>
      </c>
      <c r="BD17" t="s">
        <v>354</v>
      </c>
      <c r="BE17" t="s">
        <v>350</v>
      </c>
      <c r="BF17" t="s">
        <v>354</v>
      </c>
      <c r="BG17">
        <v>33</v>
      </c>
      <c r="BH17" s="5">
        <v>41135</v>
      </c>
      <c r="BI17" t="s">
        <v>347</v>
      </c>
      <c r="BJ17" t="s">
        <v>354</v>
      </c>
      <c r="BK17" t="s">
        <v>348</v>
      </c>
      <c r="BL17" t="s">
        <v>349</v>
      </c>
      <c r="BM17" t="s">
        <v>350</v>
      </c>
      <c r="BN17" t="s">
        <v>347</v>
      </c>
      <c r="BO17" t="s">
        <v>354</v>
      </c>
      <c r="BP17">
        <v>34</v>
      </c>
      <c r="BQ17" s="5">
        <v>41142</v>
      </c>
      <c r="BR17" t="s">
        <v>347</v>
      </c>
      <c r="BS17" t="s">
        <v>354</v>
      </c>
      <c r="BT17" t="s">
        <v>347</v>
      </c>
      <c r="BU17" t="s">
        <v>350</v>
      </c>
      <c r="BV17" t="s">
        <v>347</v>
      </c>
      <c r="BW17" t="s">
        <v>347</v>
      </c>
      <c r="BX17" t="s">
        <v>354</v>
      </c>
      <c r="BY17">
        <v>35</v>
      </c>
      <c r="BZ17" s="5">
        <v>41149</v>
      </c>
      <c r="CA17" t="s">
        <v>348</v>
      </c>
      <c r="CB17" t="s">
        <v>349</v>
      </c>
      <c r="CC17" t="s">
        <v>350</v>
      </c>
      <c r="CD17" t="s">
        <v>347</v>
      </c>
      <c r="CE17" t="s">
        <v>354</v>
      </c>
      <c r="CF17" t="s">
        <v>354</v>
      </c>
      <c r="CG17" t="s">
        <v>348</v>
      </c>
      <c r="CH17">
        <v>36</v>
      </c>
      <c r="CI17" s="5">
        <v>41156</v>
      </c>
      <c r="CJ17" t="s">
        <v>349</v>
      </c>
      <c r="CK17" t="s">
        <v>350</v>
      </c>
      <c r="CL17" t="s">
        <v>347</v>
      </c>
      <c r="CM17" t="s">
        <v>354</v>
      </c>
      <c r="CN17" t="s">
        <v>347</v>
      </c>
      <c r="CO17" t="s">
        <v>354</v>
      </c>
      <c r="CP17" t="s">
        <v>354</v>
      </c>
      <c r="CQ17">
        <v>37</v>
      </c>
      <c r="CR17" s="5">
        <v>41163</v>
      </c>
      <c r="CS17" t="s">
        <v>350</v>
      </c>
      <c r="CT17" t="s">
        <v>347</v>
      </c>
      <c r="CU17" t="s">
        <v>354</v>
      </c>
      <c r="CV17" t="s">
        <v>354</v>
      </c>
      <c r="CW17" t="s">
        <v>347</v>
      </c>
      <c r="CX17" t="s">
        <v>354</v>
      </c>
      <c r="CY17" t="s">
        <v>350</v>
      </c>
      <c r="CZ17">
        <v>38</v>
      </c>
      <c r="DA17" s="5">
        <v>41170</v>
      </c>
      <c r="DB17" t="s">
        <v>354</v>
      </c>
      <c r="DC17" t="s">
        <v>354</v>
      </c>
      <c r="DD17" t="s">
        <v>354</v>
      </c>
      <c r="DE17" t="s">
        <v>348</v>
      </c>
      <c r="DF17" t="s">
        <v>349</v>
      </c>
      <c r="DG17" t="s">
        <v>350</v>
      </c>
      <c r="DH17" t="s">
        <v>347</v>
      </c>
      <c r="DI17">
        <v>39</v>
      </c>
      <c r="DJ17" s="5">
        <v>41177</v>
      </c>
      <c r="DK17" t="s">
        <v>354</v>
      </c>
      <c r="DL17" t="s">
        <v>354</v>
      </c>
      <c r="DM17" t="s">
        <v>347</v>
      </c>
      <c r="DN17" t="s">
        <v>354</v>
      </c>
      <c r="DO17" t="s">
        <v>350</v>
      </c>
      <c r="DP17" t="s">
        <v>351</v>
      </c>
      <c r="DQ17" t="s">
        <v>351</v>
      </c>
      <c r="DR17">
        <v>40</v>
      </c>
      <c r="DS17" s="5">
        <v>41184</v>
      </c>
      <c r="DT17" t="s">
        <v>354</v>
      </c>
      <c r="DU17" t="s">
        <v>348</v>
      </c>
      <c r="DV17" t="s">
        <v>349</v>
      </c>
      <c r="DW17" t="s">
        <v>350</v>
      </c>
      <c r="DX17" t="s">
        <v>347</v>
      </c>
      <c r="DY17" t="s">
        <v>354</v>
      </c>
      <c r="DZ17" t="s">
        <v>354</v>
      </c>
      <c r="EA17">
        <v>41</v>
      </c>
      <c r="EB17" s="5">
        <v>41191</v>
      </c>
      <c r="EC17" t="s">
        <v>354</v>
      </c>
      <c r="ED17" t="s">
        <v>354</v>
      </c>
      <c r="EE17" t="s">
        <v>350</v>
      </c>
      <c r="EF17" t="s">
        <v>354</v>
      </c>
      <c r="EG17" t="s">
        <v>354</v>
      </c>
      <c r="EH17" t="s">
        <v>348</v>
      </c>
      <c r="EI17" t="s">
        <v>349</v>
      </c>
      <c r="EJ17">
        <v>42</v>
      </c>
      <c r="EK17" s="5">
        <v>41198</v>
      </c>
      <c r="EL17" t="s">
        <v>350</v>
      </c>
      <c r="EM17" t="s">
        <v>347</v>
      </c>
      <c r="EN17" t="s">
        <v>354</v>
      </c>
      <c r="EO17" t="s">
        <v>354</v>
      </c>
      <c r="EP17" t="s">
        <v>348</v>
      </c>
      <c r="EQ17" t="s">
        <v>349</v>
      </c>
      <c r="ER17" t="s">
        <v>350</v>
      </c>
      <c r="ES17">
        <v>43</v>
      </c>
      <c r="ET17" s="5">
        <v>41205</v>
      </c>
      <c r="EU17" t="s">
        <v>354</v>
      </c>
      <c r="EV17" t="s">
        <v>354</v>
      </c>
      <c r="EW17" t="s">
        <v>354</v>
      </c>
      <c r="EX17" t="s">
        <v>354</v>
      </c>
      <c r="EY17" t="s">
        <v>354</v>
      </c>
      <c r="EZ17" t="s">
        <v>350</v>
      </c>
      <c r="FA17" t="s">
        <v>354</v>
      </c>
      <c r="FB17">
        <v>44</v>
      </c>
      <c r="FC17" s="5">
        <v>41212</v>
      </c>
      <c r="FD17" t="s">
        <v>347</v>
      </c>
      <c r="FE17" t="s">
        <v>354</v>
      </c>
      <c r="FF17" t="s">
        <v>348</v>
      </c>
      <c r="FG17" t="s">
        <v>349</v>
      </c>
      <c r="FH17" t="s">
        <v>350</v>
      </c>
      <c r="FI17" t="s">
        <v>347</v>
      </c>
      <c r="FJ17" t="s">
        <v>354</v>
      </c>
    </row>
    <row r="18" spans="1:166">
      <c r="A18" t="s">
        <v>82</v>
      </c>
      <c r="B18" t="s">
        <v>83</v>
      </c>
      <c r="C18" t="s">
        <v>84</v>
      </c>
      <c r="D18">
        <v>2016</v>
      </c>
      <c r="E18">
        <v>27</v>
      </c>
      <c r="F18" s="5">
        <v>41093</v>
      </c>
      <c r="G18" t="s">
        <v>354</v>
      </c>
      <c r="H18" t="s">
        <v>354</v>
      </c>
      <c r="I18" t="s">
        <v>347</v>
      </c>
      <c r="J18" t="s">
        <v>354</v>
      </c>
      <c r="K18" t="s">
        <v>350</v>
      </c>
      <c r="L18" t="s">
        <v>347</v>
      </c>
      <c r="M18" t="s">
        <v>347</v>
      </c>
      <c r="N18">
        <v>28</v>
      </c>
      <c r="O18" s="5">
        <v>41100</v>
      </c>
      <c r="P18" t="s">
        <v>354</v>
      </c>
      <c r="Q18" t="s">
        <v>348</v>
      </c>
      <c r="R18" t="s">
        <v>349</v>
      </c>
      <c r="S18" t="s">
        <v>350</v>
      </c>
      <c r="T18" t="s">
        <v>347</v>
      </c>
      <c r="U18" t="s">
        <v>354</v>
      </c>
      <c r="V18" t="s">
        <v>354</v>
      </c>
      <c r="W18">
        <v>29</v>
      </c>
      <c r="X18" s="5">
        <v>41107</v>
      </c>
      <c r="Y18" t="s">
        <v>354</v>
      </c>
      <c r="Z18" t="s">
        <v>354</v>
      </c>
      <c r="AA18" t="s">
        <v>350</v>
      </c>
      <c r="AB18" t="s">
        <v>347</v>
      </c>
      <c r="AC18" t="s">
        <v>354</v>
      </c>
      <c r="AD18" t="s">
        <v>348</v>
      </c>
      <c r="AE18" t="s">
        <v>349</v>
      </c>
      <c r="AF18">
        <v>30</v>
      </c>
      <c r="AG18" s="5">
        <v>41114</v>
      </c>
      <c r="AH18" t="s">
        <v>350</v>
      </c>
      <c r="AI18" t="s">
        <v>347</v>
      </c>
      <c r="AJ18" t="s">
        <v>354</v>
      </c>
      <c r="AK18" t="s">
        <v>354</v>
      </c>
      <c r="AL18" t="s">
        <v>348</v>
      </c>
      <c r="AM18" t="s">
        <v>349</v>
      </c>
      <c r="AN18" t="s">
        <v>350</v>
      </c>
      <c r="AO18">
        <v>31</v>
      </c>
      <c r="AP18" s="5">
        <v>41121</v>
      </c>
      <c r="AQ18" t="s">
        <v>354</v>
      </c>
      <c r="AR18" t="s">
        <v>354</v>
      </c>
      <c r="AS18" t="s">
        <v>354</v>
      </c>
      <c r="AT18" t="s">
        <v>354</v>
      </c>
      <c r="AU18" t="s">
        <v>347</v>
      </c>
      <c r="AV18" t="s">
        <v>350</v>
      </c>
      <c r="AW18" t="s">
        <v>354</v>
      </c>
      <c r="AX18">
        <v>32</v>
      </c>
      <c r="AY18" s="5">
        <v>41128</v>
      </c>
      <c r="AZ18" t="s">
        <v>347</v>
      </c>
      <c r="BA18" t="s">
        <v>354</v>
      </c>
      <c r="BB18" t="s">
        <v>348</v>
      </c>
      <c r="BC18" t="s">
        <v>349</v>
      </c>
      <c r="BD18" t="s">
        <v>350</v>
      </c>
      <c r="BE18" t="s">
        <v>347</v>
      </c>
      <c r="BF18" t="s">
        <v>354</v>
      </c>
      <c r="BG18">
        <v>33</v>
      </c>
      <c r="BH18" s="5">
        <v>41135</v>
      </c>
      <c r="BI18" t="s">
        <v>347</v>
      </c>
      <c r="BJ18" t="s">
        <v>354</v>
      </c>
      <c r="BK18" t="s">
        <v>347</v>
      </c>
      <c r="BL18" t="s">
        <v>350</v>
      </c>
      <c r="BM18" t="s">
        <v>347</v>
      </c>
      <c r="BN18" t="s">
        <v>347</v>
      </c>
      <c r="BO18" t="s">
        <v>354</v>
      </c>
      <c r="BP18">
        <v>34</v>
      </c>
      <c r="BQ18" s="5">
        <v>41142</v>
      </c>
      <c r="BR18" t="s">
        <v>348</v>
      </c>
      <c r="BS18" t="s">
        <v>349</v>
      </c>
      <c r="BT18" t="s">
        <v>350</v>
      </c>
      <c r="BU18" t="s">
        <v>347</v>
      </c>
      <c r="BV18" t="s">
        <v>354</v>
      </c>
      <c r="BW18" t="s">
        <v>354</v>
      </c>
      <c r="BX18" t="s">
        <v>348</v>
      </c>
      <c r="BY18">
        <v>35</v>
      </c>
      <c r="BZ18" s="5">
        <v>41149</v>
      </c>
      <c r="CA18" t="s">
        <v>349</v>
      </c>
      <c r="CB18" t="s">
        <v>350</v>
      </c>
      <c r="CC18" t="s">
        <v>347</v>
      </c>
      <c r="CD18" t="s">
        <v>347</v>
      </c>
      <c r="CE18" t="s">
        <v>354</v>
      </c>
      <c r="CF18" t="s">
        <v>354</v>
      </c>
      <c r="CG18" t="s">
        <v>347</v>
      </c>
      <c r="CH18">
        <v>36</v>
      </c>
      <c r="CI18" s="5">
        <v>41156</v>
      </c>
      <c r="CJ18" t="s">
        <v>354</v>
      </c>
      <c r="CK18" t="s">
        <v>350</v>
      </c>
      <c r="CL18" t="s">
        <v>347</v>
      </c>
      <c r="CM18" t="s">
        <v>354</v>
      </c>
      <c r="CN18" t="s">
        <v>354</v>
      </c>
      <c r="CO18" t="s">
        <v>347</v>
      </c>
      <c r="CP18" t="s">
        <v>354</v>
      </c>
      <c r="CQ18">
        <v>37</v>
      </c>
      <c r="CR18" s="5">
        <v>41163</v>
      </c>
      <c r="CS18" t="s">
        <v>354</v>
      </c>
      <c r="CT18" t="s">
        <v>350</v>
      </c>
      <c r="CU18" t="s">
        <v>347</v>
      </c>
      <c r="CV18" t="s">
        <v>347</v>
      </c>
      <c r="CW18" t="s">
        <v>354</v>
      </c>
      <c r="CX18" t="s">
        <v>350</v>
      </c>
      <c r="CY18" t="s">
        <v>347</v>
      </c>
      <c r="CZ18">
        <v>38</v>
      </c>
      <c r="DA18" s="5">
        <v>41170</v>
      </c>
      <c r="DB18" t="s">
        <v>351</v>
      </c>
      <c r="DC18" t="s">
        <v>351</v>
      </c>
      <c r="DD18" t="s">
        <v>351</v>
      </c>
      <c r="DE18" t="s">
        <v>351</v>
      </c>
      <c r="DF18" t="s">
        <v>350</v>
      </c>
      <c r="DG18" t="s">
        <v>351</v>
      </c>
      <c r="DH18" t="s">
        <v>351</v>
      </c>
      <c r="DI18">
        <v>39</v>
      </c>
      <c r="DJ18" s="5">
        <v>41177</v>
      </c>
      <c r="DK18" t="s">
        <v>351</v>
      </c>
      <c r="DL18" t="s">
        <v>351</v>
      </c>
      <c r="DM18" t="s">
        <v>351</v>
      </c>
      <c r="DN18" t="s">
        <v>350</v>
      </c>
      <c r="DO18" t="s">
        <v>358</v>
      </c>
      <c r="DP18" t="s">
        <v>354</v>
      </c>
      <c r="DQ18" t="s">
        <v>354</v>
      </c>
      <c r="DR18">
        <v>40</v>
      </c>
      <c r="DS18" s="5">
        <v>41184</v>
      </c>
      <c r="DT18" t="s">
        <v>348</v>
      </c>
      <c r="DU18" t="s">
        <v>349</v>
      </c>
      <c r="DV18" t="s">
        <v>350</v>
      </c>
      <c r="DW18" t="s">
        <v>347</v>
      </c>
      <c r="DX18" t="s">
        <v>354</v>
      </c>
      <c r="DY18" t="s">
        <v>354</v>
      </c>
      <c r="DZ18" t="s">
        <v>348</v>
      </c>
      <c r="EA18">
        <v>41</v>
      </c>
      <c r="EB18" s="5">
        <v>41191</v>
      </c>
      <c r="EC18" t="s">
        <v>349</v>
      </c>
      <c r="ED18" t="s">
        <v>350</v>
      </c>
      <c r="EE18" t="s">
        <v>347</v>
      </c>
      <c r="EF18" t="s">
        <v>347</v>
      </c>
      <c r="EG18" t="s">
        <v>354</v>
      </c>
      <c r="EH18" t="s">
        <v>354</v>
      </c>
      <c r="EI18" t="s">
        <v>347</v>
      </c>
      <c r="EJ18">
        <v>42</v>
      </c>
      <c r="EK18" s="5">
        <v>41198</v>
      </c>
      <c r="EL18" t="s">
        <v>350</v>
      </c>
      <c r="EM18" t="s">
        <v>347</v>
      </c>
      <c r="EN18" t="s">
        <v>354</v>
      </c>
      <c r="EO18" t="s">
        <v>347</v>
      </c>
      <c r="EP18" t="s">
        <v>347</v>
      </c>
      <c r="EQ18" t="s">
        <v>354</v>
      </c>
      <c r="ER18" t="s">
        <v>350</v>
      </c>
      <c r="ES18">
        <v>43</v>
      </c>
      <c r="ET18" s="5">
        <v>41205</v>
      </c>
      <c r="EU18" t="s">
        <v>354</v>
      </c>
      <c r="EV18" t="s">
        <v>354</v>
      </c>
      <c r="EW18" t="s">
        <v>354</v>
      </c>
      <c r="EX18" t="s">
        <v>348</v>
      </c>
      <c r="EY18" t="s">
        <v>349</v>
      </c>
      <c r="EZ18" t="s">
        <v>350</v>
      </c>
      <c r="FA18" t="s">
        <v>347</v>
      </c>
      <c r="FB18">
        <v>44</v>
      </c>
      <c r="FC18" s="5">
        <v>41212</v>
      </c>
      <c r="FD18" t="s">
        <v>354</v>
      </c>
      <c r="FE18" t="s">
        <v>347</v>
      </c>
      <c r="FF18" t="s">
        <v>347</v>
      </c>
      <c r="FG18" t="s">
        <v>354</v>
      </c>
      <c r="FH18" t="s">
        <v>350</v>
      </c>
      <c r="FI18" t="s">
        <v>347</v>
      </c>
      <c r="FJ18" t="s">
        <v>347</v>
      </c>
    </row>
    <row r="19" spans="1:166">
      <c r="A19" t="s">
        <v>85</v>
      </c>
      <c r="B19" t="s">
        <v>86</v>
      </c>
      <c r="C19" t="s">
        <v>35</v>
      </c>
      <c r="D19">
        <v>2016</v>
      </c>
      <c r="E19">
        <v>27</v>
      </c>
      <c r="F19" s="5">
        <v>41093</v>
      </c>
      <c r="G19" t="s">
        <v>353</v>
      </c>
      <c r="H19" t="s">
        <v>350</v>
      </c>
      <c r="I19" t="s">
        <v>355</v>
      </c>
      <c r="J19" t="s">
        <v>353</v>
      </c>
      <c r="K19" t="s">
        <v>353</v>
      </c>
      <c r="L19" t="s">
        <v>353</v>
      </c>
      <c r="M19" t="s">
        <v>353</v>
      </c>
      <c r="N19">
        <v>28</v>
      </c>
      <c r="O19" s="5">
        <v>41100</v>
      </c>
      <c r="P19" t="s">
        <v>350</v>
      </c>
      <c r="Q19" t="s">
        <v>355</v>
      </c>
      <c r="R19" t="s">
        <v>347</v>
      </c>
      <c r="S19" t="s">
        <v>347</v>
      </c>
      <c r="T19" t="s">
        <v>354</v>
      </c>
      <c r="U19" t="s">
        <v>354</v>
      </c>
      <c r="V19" t="s">
        <v>350</v>
      </c>
      <c r="W19">
        <v>29</v>
      </c>
      <c r="X19" s="5">
        <v>41107</v>
      </c>
      <c r="Y19" t="s">
        <v>347</v>
      </c>
      <c r="Z19" t="s">
        <v>355</v>
      </c>
      <c r="AA19" t="s">
        <v>354</v>
      </c>
      <c r="AB19" t="s">
        <v>354</v>
      </c>
      <c r="AC19" t="s">
        <v>354</v>
      </c>
      <c r="AD19" t="s">
        <v>354</v>
      </c>
      <c r="AE19" t="s">
        <v>350</v>
      </c>
      <c r="AF19">
        <v>30</v>
      </c>
      <c r="AG19" s="5">
        <v>41114</v>
      </c>
      <c r="AH19" t="s">
        <v>353</v>
      </c>
      <c r="AI19" t="s">
        <v>353</v>
      </c>
      <c r="AJ19" t="s">
        <v>353</v>
      </c>
      <c r="AK19" t="s">
        <v>353</v>
      </c>
      <c r="AL19" t="s">
        <v>350</v>
      </c>
      <c r="AM19" t="s">
        <v>352</v>
      </c>
      <c r="AN19" t="s">
        <v>352</v>
      </c>
      <c r="AO19">
        <v>31</v>
      </c>
      <c r="AP19" s="5">
        <v>41121</v>
      </c>
      <c r="AQ19" t="s">
        <v>352</v>
      </c>
      <c r="AR19" t="s">
        <v>353</v>
      </c>
      <c r="AS19" t="s">
        <v>353</v>
      </c>
      <c r="AT19" t="s">
        <v>350</v>
      </c>
      <c r="AU19" t="s">
        <v>352</v>
      </c>
      <c r="AV19" t="s">
        <v>353</v>
      </c>
      <c r="AW19" t="s">
        <v>352</v>
      </c>
      <c r="AX19">
        <v>32</v>
      </c>
      <c r="AY19" s="5">
        <v>41128</v>
      </c>
      <c r="AZ19" t="s">
        <v>352</v>
      </c>
      <c r="BA19" t="s">
        <v>352</v>
      </c>
      <c r="BB19" t="s">
        <v>350</v>
      </c>
      <c r="BC19" t="s">
        <v>353</v>
      </c>
      <c r="BD19" t="s">
        <v>353</v>
      </c>
      <c r="BE19" t="s">
        <v>352</v>
      </c>
      <c r="BF19" t="s">
        <v>353</v>
      </c>
      <c r="BG19">
        <v>33</v>
      </c>
      <c r="BH19" s="5">
        <v>41135</v>
      </c>
      <c r="BI19" t="s">
        <v>353</v>
      </c>
      <c r="BJ19" t="s">
        <v>350</v>
      </c>
      <c r="BK19" t="s">
        <v>352</v>
      </c>
      <c r="BL19" t="s">
        <v>353</v>
      </c>
      <c r="BM19" t="s">
        <v>352</v>
      </c>
      <c r="BN19" t="s">
        <v>353</v>
      </c>
      <c r="BO19" t="s">
        <v>353</v>
      </c>
      <c r="BP19">
        <v>34</v>
      </c>
      <c r="BQ19" s="5">
        <v>41142</v>
      </c>
      <c r="BR19" t="s">
        <v>350</v>
      </c>
      <c r="BS19" t="s">
        <v>347</v>
      </c>
      <c r="BT19" t="s">
        <v>354</v>
      </c>
      <c r="BU19" t="s">
        <v>354</v>
      </c>
      <c r="BV19" t="s">
        <v>347</v>
      </c>
      <c r="BW19" t="s">
        <v>354</v>
      </c>
      <c r="BX19" t="s">
        <v>350</v>
      </c>
      <c r="BY19">
        <v>35</v>
      </c>
      <c r="BZ19" s="5">
        <v>41149</v>
      </c>
      <c r="CA19" t="s">
        <v>354</v>
      </c>
      <c r="CB19" t="s">
        <v>347</v>
      </c>
      <c r="CC19" t="s">
        <v>354</v>
      </c>
      <c r="CD19" t="s">
        <v>347</v>
      </c>
      <c r="CE19" t="s">
        <v>354</v>
      </c>
      <c r="CF19" t="s">
        <v>350</v>
      </c>
      <c r="CG19" t="s">
        <v>354</v>
      </c>
      <c r="CH19">
        <v>36</v>
      </c>
      <c r="CI19" s="5">
        <v>41156</v>
      </c>
      <c r="CJ19" t="s">
        <v>354</v>
      </c>
      <c r="CK19" t="s">
        <v>354</v>
      </c>
      <c r="CL19" t="s">
        <v>354</v>
      </c>
      <c r="CM19" t="s">
        <v>354</v>
      </c>
      <c r="CN19" t="s">
        <v>354</v>
      </c>
      <c r="CO19" t="s">
        <v>350</v>
      </c>
      <c r="CP19" t="s">
        <v>347</v>
      </c>
      <c r="CQ19">
        <v>37</v>
      </c>
      <c r="CR19" s="5">
        <v>41163</v>
      </c>
      <c r="CS19" t="s">
        <v>354</v>
      </c>
      <c r="CT19" t="s">
        <v>354</v>
      </c>
      <c r="CU19" t="s">
        <v>351</v>
      </c>
      <c r="CV19" t="s">
        <v>350</v>
      </c>
      <c r="CW19" t="s">
        <v>351</v>
      </c>
      <c r="CX19" t="s">
        <v>351</v>
      </c>
      <c r="CY19" t="s">
        <v>351</v>
      </c>
      <c r="CZ19">
        <v>38</v>
      </c>
      <c r="DA19" s="5">
        <v>41170</v>
      </c>
      <c r="DB19" t="s">
        <v>351</v>
      </c>
      <c r="DC19" t="s">
        <v>351</v>
      </c>
      <c r="DD19" t="s">
        <v>350</v>
      </c>
      <c r="DE19" t="s">
        <v>351</v>
      </c>
      <c r="DF19" t="s">
        <v>351</v>
      </c>
      <c r="DG19" t="s">
        <v>351</v>
      </c>
      <c r="DH19" t="s">
        <v>351</v>
      </c>
      <c r="DI19">
        <v>39</v>
      </c>
      <c r="DJ19" s="5">
        <v>41177</v>
      </c>
      <c r="DK19" t="s">
        <v>358</v>
      </c>
      <c r="DL19" t="s">
        <v>350</v>
      </c>
      <c r="DM19" t="s">
        <v>355</v>
      </c>
      <c r="DN19" t="s">
        <v>355</v>
      </c>
      <c r="DO19" t="s">
        <v>347</v>
      </c>
      <c r="DP19" t="s">
        <v>354</v>
      </c>
      <c r="DQ19" t="s">
        <v>354</v>
      </c>
      <c r="DR19">
        <v>40</v>
      </c>
      <c r="DS19" s="5">
        <v>41184</v>
      </c>
      <c r="DT19" t="s">
        <v>350</v>
      </c>
      <c r="DU19" t="s">
        <v>354</v>
      </c>
      <c r="DV19" t="s">
        <v>354</v>
      </c>
      <c r="DW19" t="s">
        <v>347</v>
      </c>
      <c r="DX19" t="s">
        <v>354</v>
      </c>
      <c r="DY19" t="s">
        <v>354</v>
      </c>
      <c r="DZ19" t="s">
        <v>350</v>
      </c>
      <c r="EA19">
        <v>41</v>
      </c>
      <c r="EB19" s="5">
        <v>41191</v>
      </c>
      <c r="EC19" t="s">
        <v>354</v>
      </c>
      <c r="ED19" t="s">
        <v>347</v>
      </c>
      <c r="EE19" t="s">
        <v>354</v>
      </c>
      <c r="EF19" t="s">
        <v>347</v>
      </c>
      <c r="EG19" t="s">
        <v>354</v>
      </c>
      <c r="EH19" t="s">
        <v>350</v>
      </c>
      <c r="EI19" t="s">
        <v>354</v>
      </c>
      <c r="EJ19">
        <v>42</v>
      </c>
      <c r="EK19" s="5">
        <v>41198</v>
      </c>
      <c r="EL19" t="s">
        <v>354</v>
      </c>
      <c r="EM19" t="s">
        <v>347</v>
      </c>
      <c r="EN19" t="s">
        <v>354</v>
      </c>
      <c r="EO19" t="s">
        <v>354</v>
      </c>
      <c r="EP19" t="s">
        <v>350</v>
      </c>
      <c r="EQ19" t="s">
        <v>347</v>
      </c>
      <c r="ER19" t="s">
        <v>347</v>
      </c>
      <c r="ES19">
        <v>43</v>
      </c>
      <c r="ET19" s="5">
        <v>41205</v>
      </c>
      <c r="EU19" t="s">
        <v>347</v>
      </c>
      <c r="EV19" t="s">
        <v>354</v>
      </c>
      <c r="EW19" t="s">
        <v>347</v>
      </c>
      <c r="EX19" t="s">
        <v>350</v>
      </c>
      <c r="EY19" t="s">
        <v>347</v>
      </c>
      <c r="EZ19" t="s">
        <v>354</v>
      </c>
      <c r="FA19" t="s">
        <v>347</v>
      </c>
      <c r="FB19">
        <v>44</v>
      </c>
      <c r="FC19" s="5">
        <v>41212</v>
      </c>
      <c r="FD19" t="s">
        <v>347</v>
      </c>
      <c r="FE19" t="s">
        <v>347</v>
      </c>
      <c r="FF19" t="s">
        <v>350</v>
      </c>
      <c r="FG19" t="s">
        <v>354</v>
      </c>
      <c r="FH19" t="s">
        <v>354</v>
      </c>
      <c r="FI19" t="s">
        <v>347</v>
      </c>
      <c r="FJ19" t="s">
        <v>354</v>
      </c>
    </row>
    <row r="20" spans="1:166">
      <c r="A20" t="s">
        <v>88</v>
      </c>
      <c r="B20" t="s">
        <v>86</v>
      </c>
      <c r="C20" t="s">
        <v>89</v>
      </c>
      <c r="D20">
        <v>2016</v>
      </c>
      <c r="E20">
        <v>27</v>
      </c>
      <c r="F20" s="5">
        <v>41093</v>
      </c>
      <c r="G20" t="s">
        <v>348</v>
      </c>
      <c r="H20" t="s">
        <v>349</v>
      </c>
      <c r="I20" t="s">
        <v>350</v>
      </c>
      <c r="J20" t="s">
        <v>347</v>
      </c>
      <c r="K20" t="s">
        <v>354</v>
      </c>
      <c r="L20" t="s">
        <v>354</v>
      </c>
      <c r="M20" t="s">
        <v>348</v>
      </c>
      <c r="N20">
        <v>28</v>
      </c>
      <c r="O20" s="5">
        <v>41100</v>
      </c>
      <c r="P20" t="s">
        <v>349</v>
      </c>
      <c r="Q20" t="s">
        <v>350</v>
      </c>
      <c r="R20" t="s">
        <v>347</v>
      </c>
      <c r="S20" t="s">
        <v>347</v>
      </c>
      <c r="T20" t="s">
        <v>354</v>
      </c>
      <c r="U20" t="s">
        <v>354</v>
      </c>
      <c r="V20" t="s">
        <v>354</v>
      </c>
      <c r="W20">
        <v>29</v>
      </c>
      <c r="X20" s="5">
        <v>41107</v>
      </c>
      <c r="Y20" t="s">
        <v>350</v>
      </c>
      <c r="Z20" t="s">
        <v>347</v>
      </c>
      <c r="AA20" t="s">
        <v>354</v>
      </c>
      <c r="AB20" t="s">
        <v>354</v>
      </c>
      <c r="AC20" t="s">
        <v>347</v>
      </c>
      <c r="AD20" t="s">
        <v>354</v>
      </c>
      <c r="AE20" t="s">
        <v>350</v>
      </c>
      <c r="AF20">
        <v>30</v>
      </c>
      <c r="AG20" s="5">
        <v>41114</v>
      </c>
      <c r="AH20" t="s">
        <v>347</v>
      </c>
      <c r="AI20" t="s">
        <v>354</v>
      </c>
      <c r="AJ20" t="s">
        <v>354</v>
      </c>
      <c r="AK20" t="s">
        <v>348</v>
      </c>
      <c r="AL20" t="s">
        <v>349</v>
      </c>
      <c r="AM20" t="s">
        <v>350</v>
      </c>
      <c r="AN20" t="s">
        <v>347</v>
      </c>
      <c r="AO20">
        <v>31</v>
      </c>
      <c r="AP20" s="5">
        <v>41121</v>
      </c>
      <c r="AQ20" t="s">
        <v>354</v>
      </c>
      <c r="AR20" t="s">
        <v>347</v>
      </c>
      <c r="AS20" t="s">
        <v>347</v>
      </c>
      <c r="AT20" t="s">
        <v>354</v>
      </c>
      <c r="AU20" t="s">
        <v>350</v>
      </c>
      <c r="AV20" t="s">
        <v>347</v>
      </c>
      <c r="AW20" t="s">
        <v>347</v>
      </c>
      <c r="AX20">
        <v>32</v>
      </c>
      <c r="AY20" s="5">
        <v>41128</v>
      </c>
      <c r="AZ20" t="s">
        <v>354</v>
      </c>
      <c r="BA20" t="s">
        <v>348</v>
      </c>
      <c r="BB20" t="s">
        <v>349</v>
      </c>
      <c r="BC20" t="s">
        <v>350</v>
      </c>
      <c r="BD20" t="s">
        <v>347</v>
      </c>
      <c r="BE20" t="s">
        <v>354</v>
      </c>
      <c r="BF20" t="s">
        <v>354</v>
      </c>
      <c r="BG20">
        <v>33</v>
      </c>
      <c r="BH20" s="5">
        <v>41135</v>
      </c>
      <c r="BI20" t="s">
        <v>354</v>
      </c>
      <c r="BJ20" t="s">
        <v>354</v>
      </c>
      <c r="BK20" t="s">
        <v>350</v>
      </c>
      <c r="BL20" t="s">
        <v>354</v>
      </c>
      <c r="BM20" t="s">
        <v>354</v>
      </c>
      <c r="BN20" t="s">
        <v>348</v>
      </c>
      <c r="BO20" t="s">
        <v>349</v>
      </c>
      <c r="BP20">
        <v>34</v>
      </c>
      <c r="BQ20" s="5">
        <v>41142</v>
      </c>
      <c r="BR20" t="s">
        <v>350</v>
      </c>
      <c r="BS20" t="s">
        <v>351</v>
      </c>
      <c r="BT20" t="s">
        <v>351</v>
      </c>
      <c r="BU20" t="s">
        <v>351</v>
      </c>
      <c r="BV20" t="s">
        <v>351</v>
      </c>
      <c r="BW20" t="s">
        <v>351</v>
      </c>
      <c r="BX20" t="s">
        <v>350</v>
      </c>
      <c r="BY20">
        <v>35</v>
      </c>
      <c r="BZ20" s="5">
        <v>41149</v>
      </c>
      <c r="CA20" t="s">
        <v>351</v>
      </c>
      <c r="CB20" t="s">
        <v>351</v>
      </c>
      <c r="CC20" t="s">
        <v>351</v>
      </c>
      <c r="CD20" t="s">
        <v>351</v>
      </c>
      <c r="CE20" t="s">
        <v>351</v>
      </c>
      <c r="CF20" t="s">
        <v>350</v>
      </c>
      <c r="CG20" t="s">
        <v>351</v>
      </c>
      <c r="CH20">
        <v>36</v>
      </c>
      <c r="CI20" s="5">
        <v>41156</v>
      </c>
      <c r="CJ20" t="s">
        <v>354</v>
      </c>
      <c r="CK20" t="s">
        <v>354</v>
      </c>
      <c r="CL20" t="s">
        <v>354</v>
      </c>
      <c r="CM20" t="s">
        <v>350</v>
      </c>
      <c r="CN20" t="s">
        <v>354</v>
      </c>
      <c r="CO20" t="s">
        <v>354</v>
      </c>
      <c r="CP20" t="s">
        <v>354</v>
      </c>
      <c r="CQ20">
        <v>37</v>
      </c>
      <c r="CR20" s="5">
        <v>41163</v>
      </c>
      <c r="CS20" t="s">
        <v>354</v>
      </c>
      <c r="CT20" t="s">
        <v>348</v>
      </c>
      <c r="CU20" t="s">
        <v>349</v>
      </c>
      <c r="CV20" t="s">
        <v>350</v>
      </c>
      <c r="CW20" t="s">
        <v>354</v>
      </c>
      <c r="CX20" t="s">
        <v>354</v>
      </c>
      <c r="CY20" t="s">
        <v>347</v>
      </c>
      <c r="CZ20">
        <v>38</v>
      </c>
      <c r="DA20" s="5">
        <v>41170</v>
      </c>
      <c r="DB20" t="s">
        <v>354</v>
      </c>
      <c r="DC20" t="s">
        <v>354</v>
      </c>
      <c r="DD20" t="s">
        <v>350</v>
      </c>
      <c r="DE20" t="s">
        <v>347</v>
      </c>
      <c r="DF20" t="s">
        <v>354</v>
      </c>
      <c r="DG20" t="s">
        <v>348</v>
      </c>
      <c r="DH20" t="s">
        <v>349</v>
      </c>
      <c r="DI20">
        <v>39</v>
      </c>
      <c r="DJ20" s="5">
        <v>41177</v>
      </c>
      <c r="DK20" t="s">
        <v>350</v>
      </c>
      <c r="DL20" t="s">
        <v>354</v>
      </c>
      <c r="DM20" t="s">
        <v>354</v>
      </c>
      <c r="DN20" t="s">
        <v>354</v>
      </c>
      <c r="DO20" t="s">
        <v>348</v>
      </c>
      <c r="DP20" t="s">
        <v>349</v>
      </c>
      <c r="DQ20" t="s">
        <v>350</v>
      </c>
      <c r="DR20">
        <v>40</v>
      </c>
      <c r="DS20" s="5">
        <v>41184</v>
      </c>
      <c r="DT20" t="s">
        <v>347</v>
      </c>
      <c r="DU20" t="s">
        <v>354</v>
      </c>
      <c r="DV20" t="s">
        <v>354</v>
      </c>
      <c r="DW20" t="s">
        <v>354</v>
      </c>
      <c r="DX20" t="s">
        <v>354</v>
      </c>
      <c r="DY20" t="s">
        <v>350</v>
      </c>
      <c r="DZ20" t="s">
        <v>354</v>
      </c>
      <c r="EA20">
        <v>41</v>
      </c>
      <c r="EB20" s="5">
        <v>41191</v>
      </c>
      <c r="EC20" t="s">
        <v>347</v>
      </c>
      <c r="ED20" t="s">
        <v>354</v>
      </c>
      <c r="EE20" t="s">
        <v>348</v>
      </c>
      <c r="EF20" t="s">
        <v>349</v>
      </c>
      <c r="EG20" t="s">
        <v>350</v>
      </c>
      <c r="EH20" t="s">
        <v>347</v>
      </c>
      <c r="EI20" t="s">
        <v>354</v>
      </c>
      <c r="EJ20">
        <v>42</v>
      </c>
      <c r="EK20" s="5">
        <v>41198</v>
      </c>
      <c r="EL20" t="s">
        <v>347</v>
      </c>
      <c r="EM20" t="s">
        <v>354</v>
      </c>
      <c r="EN20" t="s">
        <v>347</v>
      </c>
      <c r="EO20" t="s">
        <v>350</v>
      </c>
      <c r="EP20" t="s">
        <v>347</v>
      </c>
      <c r="EQ20" t="s">
        <v>347</v>
      </c>
      <c r="ER20" t="s">
        <v>354</v>
      </c>
      <c r="ES20">
        <v>43</v>
      </c>
      <c r="ET20" s="5">
        <v>41205</v>
      </c>
      <c r="EU20" t="s">
        <v>348</v>
      </c>
      <c r="EV20" t="s">
        <v>349</v>
      </c>
      <c r="EW20" t="s">
        <v>350</v>
      </c>
      <c r="EX20" t="s">
        <v>347</v>
      </c>
      <c r="EY20" t="s">
        <v>354</v>
      </c>
      <c r="EZ20" t="s">
        <v>354</v>
      </c>
      <c r="FA20" t="s">
        <v>348</v>
      </c>
      <c r="FB20">
        <v>44</v>
      </c>
      <c r="FC20" s="5">
        <v>41212</v>
      </c>
      <c r="FD20" t="s">
        <v>349</v>
      </c>
      <c r="FE20" t="s">
        <v>350</v>
      </c>
      <c r="FF20" t="s">
        <v>347</v>
      </c>
      <c r="FG20" t="s">
        <v>347</v>
      </c>
      <c r="FH20" t="s">
        <v>354</v>
      </c>
      <c r="FI20" t="s">
        <v>354</v>
      </c>
      <c r="FJ20" t="s">
        <v>347</v>
      </c>
    </row>
    <row r="21" spans="1:166">
      <c r="A21" t="s">
        <v>90</v>
      </c>
      <c r="B21" t="s">
        <v>91</v>
      </c>
      <c r="C21" t="s">
        <v>92</v>
      </c>
      <c r="D21">
        <v>2016</v>
      </c>
      <c r="E21">
        <v>27</v>
      </c>
      <c r="F21" s="5">
        <v>41093</v>
      </c>
      <c r="G21" t="s">
        <v>350</v>
      </c>
      <c r="H21" t="s">
        <v>347</v>
      </c>
      <c r="I21" t="s">
        <v>354</v>
      </c>
      <c r="J21" t="s">
        <v>354</v>
      </c>
      <c r="K21" t="s">
        <v>347</v>
      </c>
      <c r="L21" t="s">
        <v>354</v>
      </c>
      <c r="M21" t="s">
        <v>350</v>
      </c>
      <c r="N21">
        <v>28</v>
      </c>
      <c r="O21" s="5">
        <v>41100</v>
      </c>
      <c r="P21" t="s">
        <v>347</v>
      </c>
      <c r="Q21" t="s">
        <v>354</v>
      </c>
      <c r="R21" t="s">
        <v>354</v>
      </c>
      <c r="S21" t="s">
        <v>348</v>
      </c>
      <c r="T21" t="s">
        <v>349</v>
      </c>
      <c r="U21" t="s">
        <v>350</v>
      </c>
      <c r="V21" t="s">
        <v>347</v>
      </c>
      <c r="W21">
        <v>29</v>
      </c>
      <c r="X21" s="5">
        <v>41107</v>
      </c>
      <c r="Y21" t="s">
        <v>354</v>
      </c>
      <c r="Z21" t="s">
        <v>354</v>
      </c>
      <c r="AA21" t="s">
        <v>347</v>
      </c>
      <c r="AB21" t="s">
        <v>354</v>
      </c>
      <c r="AC21" t="s">
        <v>350</v>
      </c>
      <c r="AD21" t="s">
        <v>347</v>
      </c>
      <c r="AE21" t="s">
        <v>347</v>
      </c>
      <c r="AF21">
        <v>30</v>
      </c>
      <c r="AG21" s="5">
        <v>41114</v>
      </c>
      <c r="AH21" t="s">
        <v>354</v>
      </c>
      <c r="AI21" t="s">
        <v>348</v>
      </c>
      <c r="AJ21" t="s">
        <v>349</v>
      </c>
      <c r="AK21" t="s">
        <v>350</v>
      </c>
      <c r="AL21" t="s">
        <v>354</v>
      </c>
      <c r="AM21" t="s">
        <v>354</v>
      </c>
      <c r="AN21" t="s">
        <v>354</v>
      </c>
      <c r="AO21">
        <v>31</v>
      </c>
      <c r="AP21" s="5">
        <v>41121</v>
      </c>
      <c r="AQ21" t="s">
        <v>348</v>
      </c>
      <c r="AR21" t="s">
        <v>349</v>
      </c>
      <c r="AS21" t="s">
        <v>350</v>
      </c>
      <c r="AT21" t="s">
        <v>354</v>
      </c>
      <c r="AU21" t="s">
        <v>354</v>
      </c>
      <c r="AV21" t="s">
        <v>347</v>
      </c>
      <c r="AW21" t="s">
        <v>347</v>
      </c>
      <c r="AX21">
        <v>32</v>
      </c>
      <c r="AY21" s="5">
        <v>41128</v>
      </c>
      <c r="AZ21" t="s">
        <v>353</v>
      </c>
      <c r="BA21" t="s">
        <v>350</v>
      </c>
      <c r="BB21" t="s">
        <v>352</v>
      </c>
      <c r="BC21" t="s">
        <v>353</v>
      </c>
      <c r="BD21" t="s">
        <v>352</v>
      </c>
      <c r="BE21" t="s">
        <v>353</v>
      </c>
      <c r="BF21" t="s">
        <v>353</v>
      </c>
      <c r="BG21">
        <v>33</v>
      </c>
      <c r="BH21" s="5">
        <v>41135</v>
      </c>
      <c r="BI21" t="s">
        <v>350</v>
      </c>
      <c r="BJ21" t="s">
        <v>354</v>
      </c>
      <c r="BK21" t="s">
        <v>354</v>
      </c>
      <c r="BL21" t="s">
        <v>347</v>
      </c>
      <c r="BM21" t="s">
        <v>354</v>
      </c>
      <c r="BN21" t="s">
        <v>354</v>
      </c>
      <c r="BO21" t="s">
        <v>350</v>
      </c>
      <c r="BP21">
        <v>34</v>
      </c>
      <c r="BQ21" s="5">
        <v>41142</v>
      </c>
      <c r="BR21" t="s">
        <v>354</v>
      </c>
      <c r="BS21" t="s">
        <v>347</v>
      </c>
      <c r="BT21" t="s">
        <v>354</v>
      </c>
      <c r="BU21" t="s">
        <v>354</v>
      </c>
      <c r="BV21" t="s">
        <v>354</v>
      </c>
      <c r="BW21" t="s">
        <v>350</v>
      </c>
      <c r="BX21" t="s">
        <v>354</v>
      </c>
      <c r="BY21">
        <v>35</v>
      </c>
      <c r="BZ21" s="5">
        <v>41149</v>
      </c>
      <c r="CA21" t="s">
        <v>353</v>
      </c>
      <c r="CB21" t="s">
        <v>353</v>
      </c>
      <c r="CC21" t="s">
        <v>353</v>
      </c>
      <c r="CD21" t="s">
        <v>353</v>
      </c>
      <c r="CE21" t="s">
        <v>350</v>
      </c>
      <c r="CF21" t="s">
        <v>353</v>
      </c>
      <c r="CG21" t="s">
        <v>353</v>
      </c>
      <c r="CH21">
        <v>36</v>
      </c>
      <c r="CI21" s="5">
        <v>41156</v>
      </c>
      <c r="CJ21" t="s">
        <v>347</v>
      </c>
      <c r="CK21" t="s">
        <v>348</v>
      </c>
      <c r="CL21" t="s">
        <v>349</v>
      </c>
      <c r="CM21" t="s">
        <v>350</v>
      </c>
      <c r="CN21" t="s">
        <v>347</v>
      </c>
      <c r="CO21" t="s">
        <v>347</v>
      </c>
      <c r="CP21" t="s">
        <v>354</v>
      </c>
      <c r="CQ21">
        <v>37</v>
      </c>
      <c r="CR21" s="5">
        <v>41163</v>
      </c>
      <c r="CS21" t="s">
        <v>354</v>
      </c>
      <c r="CT21" t="s">
        <v>354</v>
      </c>
      <c r="CU21" t="s">
        <v>350</v>
      </c>
      <c r="CV21" t="s">
        <v>347</v>
      </c>
      <c r="CW21" t="s">
        <v>354</v>
      </c>
      <c r="CX21" t="s">
        <v>354</v>
      </c>
      <c r="CY21" t="s">
        <v>354</v>
      </c>
      <c r="CZ21">
        <v>38</v>
      </c>
      <c r="DA21" s="5">
        <v>41170</v>
      </c>
      <c r="DB21" t="s">
        <v>350</v>
      </c>
      <c r="DC21" t="s">
        <v>347</v>
      </c>
      <c r="DD21" t="s">
        <v>354</v>
      </c>
      <c r="DE21" t="s">
        <v>354</v>
      </c>
      <c r="DF21" t="s">
        <v>348</v>
      </c>
      <c r="DG21" t="s">
        <v>349</v>
      </c>
      <c r="DH21" t="s">
        <v>350</v>
      </c>
      <c r="DI21">
        <v>39</v>
      </c>
      <c r="DJ21" s="5">
        <v>41177</v>
      </c>
      <c r="DK21" t="s">
        <v>347</v>
      </c>
      <c r="DL21" t="s">
        <v>354</v>
      </c>
      <c r="DM21" t="s">
        <v>347</v>
      </c>
      <c r="DN21" t="s">
        <v>354</v>
      </c>
      <c r="DO21" t="s">
        <v>354</v>
      </c>
      <c r="DP21" t="s">
        <v>350</v>
      </c>
      <c r="DQ21" t="s">
        <v>347</v>
      </c>
      <c r="DR21">
        <v>40</v>
      </c>
      <c r="DS21" s="5">
        <v>41184</v>
      </c>
      <c r="DT21" t="s">
        <v>354</v>
      </c>
      <c r="DU21" t="s">
        <v>347</v>
      </c>
      <c r="DV21" t="s">
        <v>354</v>
      </c>
      <c r="DW21" t="s">
        <v>354</v>
      </c>
      <c r="DX21" t="s">
        <v>350</v>
      </c>
      <c r="DY21" t="s">
        <v>347</v>
      </c>
      <c r="DZ21" t="s">
        <v>347</v>
      </c>
      <c r="EA21">
        <v>41</v>
      </c>
      <c r="EB21" s="5">
        <v>41191</v>
      </c>
      <c r="EC21" t="s">
        <v>347</v>
      </c>
      <c r="ED21" t="s">
        <v>354</v>
      </c>
      <c r="EE21" t="s">
        <v>347</v>
      </c>
      <c r="EF21" t="s">
        <v>350</v>
      </c>
      <c r="EG21" t="s">
        <v>347</v>
      </c>
      <c r="EH21" t="s">
        <v>354</v>
      </c>
      <c r="EI21" t="s">
        <v>347</v>
      </c>
      <c r="EJ21">
        <v>42</v>
      </c>
      <c r="EK21" s="5">
        <v>41198</v>
      </c>
      <c r="EL21" t="s">
        <v>347</v>
      </c>
      <c r="EM21" t="s">
        <v>347</v>
      </c>
      <c r="EN21" t="s">
        <v>350</v>
      </c>
      <c r="EO21" t="s">
        <v>354</v>
      </c>
      <c r="EP21" t="s">
        <v>354</v>
      </c>
      <c r="EQ21" t="s">
        <v>347</v>
      </c>
      <c r="ER21" t="s">
        <v>354</v>
      </c>
      <c r="ES21">
        <v>43</v>
      </c>
      <c r="ET21" s="5">
        <v>41205</v>
      </c>
      <c r="EU21" t="s">
        <v>354</v>
      </c>
      <c r="EV21" t="s">
        <v>350</v>
      </c>
      <c r="EW21" t="s">
        <v>347</v>
      </c>
      <c r="EX21" t="s">
        <v>354</v>
      </c>
      <c r="EY21" t="s">
        <v>347</v>
      </c>
      <c r="EZ21" t="s">
        <v>354</v>
      </c>
      <c r="FA21" t="s">
        <v>354</v>
      </c>
      <c r="FB21">
        <v>44</v>
      </c>
      <c r="FC21" s="5">
        <v>41212</v>
      </c>
      <c r="FD21" t="s">
        <v>350</v>
      </c>
      <c r="FE21" t="s">
        <v>354</v>
      </c>
      <c r="FF21" t="s">
        <v>354</v>
      </c>
      <c r="FG21" t="s">
        <v>347</v>
      </c>
      <c r="FH21" t="s">
        <v>354</v>
      </c>
      <c r="FI21" t="s">
        <v>354</v>
      </c>
      <c r="FJ21" t="s">
        <v>350</v>
      </c>
    </row>
    <row r="22" spans="1:166">
      <c r="A22" t="s">
        <v>93</v>
      </c>
      <c r="B22" t="s">
        <v>91</v>
      </c>
      <c r="C22" t="s">
        <v>94</v>
      </c>
      <c r="D22">
        <v>2016</v>
      </c>
      <c r="E22">
        <v>27</v>
      </c>
      <c r="F22" s="5">
        <v>41093</v>
      </c>
      <c r="G22" t="s">
        <v>350</v>
      </c>
      <c r="H22" t="s">
        <v>347</v>
      </c>
      <c r="I22" t="s">
        <v>354</v>
      </c>
      <c r="J22" t="s">
        <v>347</v>
      </c>
      <c r="K22" t="s">
        <v>354</v>
      </c>
      <c r="L22" t="s">
        <v>354</v>
      </c>
      <c r="M22" t="s">
        <v>350</v>
      </c>
      <c r="N22">
        <v>28</v>
      </c>
      <c r="O22" s="5">
        <v>41100</v>
      </c>
      <c r="P22" t="s">
        <v>347</v>
      </c>
      <c r="Q22" t="s">
        <v>347</v>
      </c>
      <c r="R22" t="s">
        <v>354</v>
      </c>
      <c r="S22" t="s">
        <v>354</v>
      </c>
      <c r="T22" t="s">
        <v>354</v>
      </c>
      <c r="U22" t="s">
        <v>350</v>
      </c>
      <c r="V22" t="s">
        <v>347</v>
      </c>
      <c r="W22">
        <v>29</v>
      </c>
      <c r="X22" s="5">
        <v>41107</v>
      </c>
      <c r="Y22" t="s">
        <v>353</v>
      </c>
      <c r="Z22" t="s">
        <v>352</v>
      </c>
      <c r="AA22" t="s">
        <v>352</v>
      </c>
      <c r="AB22" t="s">
        <v>353</v>
      </c>
      <c r="AC22" t="s">
        <v>350</v>
      </c>
      <c r="AD22" t="s">
        <v>352</v>
      </c>
      <c r="AE22" t="s">
        <v>353</v>
      </c>
      <c r="AF22">
        <v>30</v>
      </c>
      <c r="AG22" s="5">
        <v>41114</v>
      </c>
      <c r="AH22" t="s">
        <v>353</v>
      </c>
      <c r="AI22" t="s">
        <v>353</v>
      </c>
      <c r="AJ22" t="s">
        <v>353</v>
      </c>
      <c r="AK22" t="s">
        <v>350</v>
      </c>
      <c r="AL22" t="s">
        <v>352</v>
      </c>
      <c r="AM22" t="s">
        <v>353</v>
      </c>
      <c r="AN22" t="s">
        <v>353</v>
      </c>
      <c r="AO22">
        <v>31</v>
      </c>
      <c r="AP22" s="5">
        <v>41121</v>
      </c>
      <c r="AQ22" t="s">
        <v>353</v>
      </c>
      <c r="AR22" t="s">
        <v>353</v>
      </c>
      <c r="AS22" t="s">
        <v>350</v>
      </c>
      <c r="AT22" t="s">
        <v>353</v>
      </c>
      <c r="AU22" t="s">
        <v>353</v>
      </c>
      <c r="AV22" t="s">
        <v>353</v>
      </c>
      <c r="AW22" t="s">
        <v>353</v>
      </c>
      <c r="BY22">
        <v>35</v>
      </c>
      <c r="BZ22" s="5">
        <v>41149</v>
      </c>
      <c r="CA22" t="s">
        <v>75</v>
      </c>
      <c r="CH22">
        <v>36</v>
      </c>
      <c r="CI22" s="5">
        <v>41156</v>
      </c>
      <c r="CJ22" t="s">
        <v>351</v>
      </c>
      <c r="CK22" t="s">
        <v>351</v>
      </c>
      <c r="CL22" t="s">
        <v>351</v>
      </c>
      <c r="CM22" t="s">
        <v>350</v>
      </c>
      <c r="CN22" t="s">
        <v>351</v>
      </c>
      <c r="CO22" t="s">
        <v>351</v>
      </c>
      <c r="CP22" t="s">
        <v>351</v>
      </c>
      <c r="CQ22">
        <v>37</v>
      </c>
      <c r="CR22" s="5">
        <v>41163</v>
      </c>
      <c r="CS22" t="s">
        <v>351</v>
      </c>
      <c r="CT22" t="s">
        <v>351</v>
      </c>
      <c r="CU22" t="s">
        <v>350</v>
      </c>
      <c r="CV22" t="s">
        <v>351</v>
      </c>
      <c r="CW22" t="s">
        <v>351</v>
      </c>
      <c r="CX22" t="s">
        <v>351</v>
      </c>
      <c r="CY22" t="s">
        <v>351</v>
      </c>
      <c r="CZ22">
        <v>38</v>
      </c>
      <c r="DA22" s="5">
        <v>41170</v>
      </c>
      <c r="DB22" t="s">
        <v>354</v>
      </c>
      <c r="DC22" t="s">
        <v>350</v>
      </c>
      <c r="DD22" t="s">
        <v>354</v>
      </c>
      <c r="DE22" t="s">
        <v>354</v>
      </c>
      <c r="DF22" t="s">
        <v>354</v>
      </c>
      <c r="DG22" t="s">
        <v>354</v>
      </c>
      <c r="DH22" t="s">
        <v>354</v>
      </c>
      <c r="DI22">
        <v>39</v>
      </c>
      <c r="DJ22" s="5">
        <v>41177</v>
      </c>
      <c r="DK22" t="s">
        <v>350</v>
      </c>
      <c r="DL22" t="s">
        <v>354</v>
      </c>
      <c r="DM22" t="s">
        <v>354</v>
      </c>
      <c r="DN22" t="s">
        <v>354</v>
      </c>
      <c r="DO22" t="s">
        <v>354</v>
      </c>
      <c r="DP22" t="s">
        <v>354</v>
      </c>
      <c r="DQ22" t="s">
        <v>350</v>
      </c>
      <c r="DR22">
        <v>40</v>
      </c>
      <c r="DS22" s="5">
        <v>41184</v>
      </c>
      <c r="DT22" t="s">
        <v>354</v>
      </c>
      <c r="DU22" t="s">
        <v>347</v>
      </c>
      <c r="DV22" t="s">
        <v>354</v>
      </c>
      <c r="DW22" t="s">
        <v>347</v>
      </c>
      <c r="DX22" t="s">
        <v>354</v>
      </c>
      <c r="DY22" t="s">
        <v>350</v>
      </c>
      <c r="DZ22" t="s">
        <v>354</v>
      </c>
      <c r="EA22">
        <v>41</v>
      </c>
      <c r="EB22" s="5">
        <v>41191</v>
      </c>
      <c r="EC22" t="s">
        <v>354</v>
      </c>
      <c r="ED22" t="s">
        <v>347</v>
      </c>
      <c r="EE22" t="s">
        <v>354</v>
      </c>
      <c r="EF22" t="s">
        <v>354</v>
      </c>
      <c r="EG22" t="s">
        <v>350</v>
      </c>
      <c r="EH22" t="s">
        <v>347</v>
      </c>
      <c r="EI22" t="s">
        <v>347</v>
      </c>
      <c r="EJ22">
        <v>42</v>
      </c>
      <c r="EK22" s="5">
        <v>41198</v>
      </c>
      <c r="EL22" t="s">
        <v>347</v>
      </c>
      <c r="EM22" t="s">
        <v>354</v>
      </c>
      <c r="EN22" t="s">
        <v>347</v>
      </c>
      <c r="EO22" t="s">
        <v>350</v>
      </c>
      <c r="EP22" t="s">
        <v>354</v>
      </c>
      <c r="EQ22" t="s">
        <v>354</v>
      </c>
      <c r="ER22" t="s">
        <v>354</v>
      </c>
      <c r="ES22">
        <v>43</v>
      </c>
      <c r="ET22" s="5">
        <v>41205</v>
      </c>
      <c r="EU22" t="s">
        <v>347</v>
      </c>
      <c r="EV22" t="s">
        <v>347</v>
      </c>
      <c r="EW22" t="s">
        <v>350</v>
      </c>
      <c r="EX22" t="s">
        <v>354</v>
      </c>
      <c r="EY22" t="s">
        <v>354</v>
      </c>
      <c r="EZ22" t="s">
        <v>347</v>
      </c>
      <c r="FA22" t="s">
        <v>354</v>
      </c>
      <c r="FB22">
        <v>44</v>
      </c>
      <c r="FC22" s="5">
        <v>41212</v>
      </c>
      <c r="FD22" t="s">
        <v>354</v>
      </c>
      <c r="FE22" t="s">
        <v>350</v>
      </c>
      <c r="FF22" t="s">
        <v>347</v>
      </c>
      <c r="FG22" t="s">
        <v>347</v>
      </c>
      <c r="FH22" t="s">
        <v>347</v>
      </c>
      <c r="FI22" t="s">
        <v>354</v>
      </c>
      <c r="FJ22" t="s">
        <v>354</v>
      </c>
    </row>
    <row r="23" spans="1:166">
      <c r="A23" t="s">
        <v>95</v>
      </c>
      <c r="B23" t="s">
        <v>96</v>
      </c>
      <c r="C23" t="s">
        <v>97</v>
      </c>
      <c r="D23">
        <v>2016</v>
      </c>
      <c r="E23">
        <v>27</v>
      </c>
      <c r="F23" s="5">
        <v>41093</v>
      </c>
      <c r="G23" t="s">
        <v>349</v>
      </c>
      <c r="H23" t="s">
        <v>350</v>
      </c>
      <c r="I23" t="s">
        <v>347</v>
      </c>
      <c r="J23" t="s">
        <v>354</v>
      </c>
      <c r="K23" t="s">
        <v>354</v>
      </c>
      <c r="L23" t="s">
        <v>347</v>
      </c>
      <c r="M23" t="s">
        <v>354</v>
      </c>
      <c r="N23">
        <v>28</v>
      </c>
      <c r="O23" s="5">
        <v>41100</v>
      </c>
      <c r="P23" t="s">
        <v>350</v>
      </c>
      <c r="Q23" t="s">
        <v>347</v>
      </c>
      <c r="R23" t="s">
        <v>354</v>
      </c>
      <c r="S23" t="s">
        <v>354</v>
      </c>
      <c r="T23" t="s">
        <v>348</v>
      </c>
      <c r="U23" t="s">
        <v>349</v>
      </c>
      <c r="V23" t="s">
        <v>350</v>
      </c>
      <c r="W23">
        <v>29</v>
      </c>
      <c r="X23" s="5">
        <v>41107</v>
      </c>
      <c r="Y23" t="s">
        <v>347</v>
      </c>
      <c r="Z23" t="s">
        <v>354</v>
      </c>
      <c r="AA23" t="s">
        <v>354</v>
      </c>
      <c r="AB23" t="s">
        <v>348</v>
      </c>
      <c r="AC23" t="s">
        <v>349</v>
      </c>
      <c r="AD23" t="s">
        <v>350</v>
      </c>
      <c r="AE23" t="s">
        <v>347</v>
      </c>
      <c r="AF23">
        <v>30</v>
      </c>
      <c r="AG23" s="5">
        <v>41114</v>
      </c>
      <c r="AH23" t="s">
        <v>354</v>
      </c>
      <c r="AI23" t="s">
        <v>354</v>
      </c>
      <c r="AJ23" t="s">
        <v>348</v>
      </c>
      <c r="AK23" t="s">
        <v>349</v>
      </c>
      <c r="AL23" t="s">
        <v>350</v>
      </c>
      <c r="AM23" t="s">
        <v>347</v>
      </c>
      <c r="AN23" t="s">
        <v>354</v>
      </c>
      <c r="AO23">
        <v>31</v>
      </c>
      <c r="AP23" s="5">
        <v>41121</v>
      </c>
      <c r="AQ23" t="s">
        <v>351</v>
      </c>
      <c r="AR23" t="s">
        <v>351</v>
      </c>
      <c r="AS23" t="s">
        <v>351</v>
      </c>
      <c r="AT23" t="s">
        <v>350</v>
      </c>
      <c r="AU23" t="s">
        <v>351</v>
      </c>
      <c r="AV23" t="s">
        <v>351</v>
      </c>
      <c r="AW23" t="s">
        <v>351</v>
      </c>
      <c r="AX23">
        <v>32</v>
      </c>
      <c r="AY23">
        <v>41128</v>
      </c>
      <c r="AZ23" t="s">
        <v>353</v>
      </c>
      <c r="BA23" t="s">
        <v>353</v>
      </c>
      <c r="BB23" t="s">
        <v>350</v>
      </c>
      <c r="BC23" t="s">
        <v>353</v>
      </c>
      <c r="BD23" t="s">
        <v>353</v>
      </c>
      <c r="BE23" t="s">
        <v>353</v>
      </c>
      <c r="BF23" t="s">
        <v>353</v>
      </c>
      <c r="BG23">
        <v>33</v>
      </c>
      <c r="BH23">
        <v>41135</v>
      </c>
      <c r="BI23" t="s">
        <v>353</v>
      </c>
      <c r="BJ23" t="s">
        <v>350</v>
      </c>
      <c r="BK23" t="s">
        <v>351</v>
      </c>
      <c r="BL23" t="s">
        <v>351</v>
      </c>
      <c r="BM23" t="s">
        <v>351</v>
      </c>
      <c r="BN23" t="s">
        <v>353</v>
      </c>
      <c r="BO23" t="s">
        <v>348</v>
      </c>
      <c r="BP23">
        <v>34</v>
      </c>
      <c r="BQ23">
        <v>41142</v>
      </c>
      <c r="BR23" t="s">
        <v>349</v>
      </c>
      <c r="BS23" t="s">
        <v>350</v>
      </c>
      <c r="BT23" t="s">
        <v>347</v>
      </c>
      <c r="BU23" t="s">
        <v>354</v>
      </c>
      <c r="BV23" t="s">
        <v>347</v>
      </c>
      <c r="BW23" t="s">
        <v>347</v>
      </c>
      <c r="BX23" t="s">
        <v>350</v>
      </c>
      <c r="BY23">
        <v>35</v>
      </c>
      <c r="BZ23" s="5">
        <v>41149</v>
      </c>
      <c r="CA23" t="s">
        <v>354</v>
      </c>
      <c r="CB23" t="s">
        <v>347</v>
      </c>
      <c r="CC23" t="s">
        <v>354</v>
      </c>
      <c r="CD23" t="s">
        <v>347</v>
      </c>
      <c r="CE23" t="s">
        <v>354</v>
      </c>
      <c r="CF23" t="s">
        <v>350</v>
      </c>
      <c r="CG23" t="s">
        <v>354</v>
      </c>
      <c r="CH23">
        <v>36</v>
      </c>
      <c r="CI23" s="5">
        <v>41156</v>
      </c>
      <c r="CJ23" t="s">
        <v>354</v>
      </c>
      <c r="CK23" t="s">
        <v>354</v>
      </c>
      <c r="CL23" t="s">
        <v>348</v>
      </c>
      <c r="CM23" t="s">
        <v>349</v>
      </c>
      <c r="CN23" t="s">
        <v>350</v>
      </c>
      <c r="CO23" t="s">
        <v>347</v>
      </c>
      <c r="CP23" t="s">
        <v>354</v>
      </c>
      <c r="CQ23">
        <v>37</v>
      </c>
      <c r="CR23" s="5">
        <v>41163</v>
      </c>
      <c r="CS23" t="s">
        <v>347</v>
      </c>
      <c r="CT23" t="s">
        <v>354</v>
      </c>
      <c r="CU23" t="s">
        <v>354</v>
      </c>
      <c r="CV23" t="s">
        <v>354</v>
      </c>
      <c r="CW23" t="s">
        <v>350</v>
      </c>
      <c r="CX23" t="s">
        <v>347</v>
      </c>
      <c r="CY23" t="s">
        <v>354</v>
      </c>
      <c r="CZ23">
        <v>38</v>
      </c>
      <c r="DA23" s="5">
        <v>41170</v>
      </c>
      <c r="DB23" t="s">
        <v>348</v>
      </c>
      <c r="DC23" t="s">
        <v>349</v>
      </c>
      <c r="DD23" t="s">
        <v>350</v>
      </c>
      <c r="DE23" t="s">
        <v>347</v>
      </c>
      <c r="DF23" t="s">
        <v>354</v>
      </c>
      <c r="DG23" t="s">
        <v>354</v>
      </c>
      <c r="DH23" t="s">
        <v>348</v>
      </c>
      <c r="DI23">
        <v>39</v>
      </c>
      <c r="DJ23" s="5">
        <v>41177</v>
      </c>
      <c r="DK23" t="s">
        <v>349</v>
      </c>
      <c r="DL23" t="s">
        <v>350</v>
      </c>
      <c r="DM23" t="s">
        <v>347</v>
      </c>
      <c r="DN23" t="s">
        <v>347</v>
      </c>
      <c r="DO23" t="s">
        <v>354</v>
      </c>
      <c r="DP23" t="s">
        <v>354</v>
      </c>
      <c r="DQ23" t="s">
        <v>347</v>
      </c>
      <c r="DR23">
        <v>40</v>
      </c>
      <c r="DS23" s="5">
        <v>41184</v>
      </c>
      <c r="DT23" t="s">
        <v>350</v>
      </c>
      <c r="DU23" t="s">
        <v>347</v>
      </c>
      <c r="DV23" t="s">
        <v>354</v>
      </c>
      <c r="DW23" t="s">
        <v>354</v>
      </c>
      <c r="DX23" t="s">
        <v>347</v>
      </c>
      <c r="DY23" t="s">
        <v>354</v>
      </c>
      <c r="DZ23" t="s">
        <v>350</v>
      </c>
      <c r="EA23">
        <v>41</v>
      </c>
      <c r="EB23" s="5">
        <v>41191</v>
      </c>
      <c r="EC23" t="s">
        <v>354</v>
      </c>
      <c r="ED23" t="s">
        <v>354</v>
      </c>
      <c r="EE23" t="s">
        <v>354</v>
      </c>
      <c r="EF23" t="s">
        <v>348</v>
      </c>
      <c r="EG23" t="s">
        <v>349</v>
      </c>
      <c r="EH23" t="s">
        <v>350</v>
      </c>
      <c r="EI23" t="s">
        <v>347</v>
      </c>
      <c r="EJ23">
        <v>42</v>
      </c>
      <c r="EK23" s="5">
        <v>41198</v>
      </c>
      <c r="EL23" t="s">
        <v>354</v>
      </c>
      <c r="EM23" t="s">
        <v>347</v>
      </c>
      <c r="EN23" t="s">
        <v>347</v>
      </c>
      <c r="EO23" t="s">
        <v>354</v>
      </c>
      <c r="EP23" t="s">
        <v>350</v>
      </c>
      <c r="EQ23" t="s">
        <v>347</v>
      </c>
      <c r="ER23" t="s">
        <v>354</v>
      </c>
      <c r="ES23">
        <v>43</v>
      </c>
      <c r="ET23" s="5">
        <v>41205</v>
      </c>
      <c r="EU23" t="s">
        <v>354</v>
      </c>
      <c r="EV23" t="s">
        <v>348</v>
      </c>
      <c r="EW23" t="s">
        <v>349</v>
      </c>
      <c r="EX23" t="s">
        <v>350</v>
      </c>
      <c r="EY23" t="s">
        <v>347</v>
      </c>
      <c r="EZ23" t="s">
        <v>354</v>
      </c>
      <c r="FA23" t="s">
        <v>354</v>
      </c>
      <c r="FB23">
        <v>44</v>
      </c>
      <c r="FC23" s="5">
        <v>41212</v>
      </c>
      <c r="FD23" t="s">
        <v>354</v>
      </c>
      <c r="FE23" t="s">
        <v>354</v>
      </c>
      <c r="FF23" t="s">
        <v>350</v>
      </c>
      <c r="FG23" t="s">
        <v>354</v>
      </c>
      <c r="FH23" t="s">
        <v>354</v>
      </c>
      <c r="FI23" t="s">
        <v>348</v>
      </c>
      <c r="FJ23" t="s">
        <v>349</v>
      </c>
    </row>
    <row r="24" spans="1:166">
      <c r="A24" t="s">
        <v>98</v>
      </c>
      <c r="B24" t="s">
        <v>99</v>
      </c>
      <c r="C24" t="s">
        <v>100</v>
      </c>
      <c r="D24">
        <v>2016</v>
      </c>
      <c r="E24">
        <v>27</v>
      </c>
      <c r="F24" s="5">
        <v>41093</v>
      </c>
      <c r="G24" t="s">
        <v>353</v>
      </c>
      <c r="H24" t="s">
        <v>350</v>
      </c>
      <c r="I24" t="s">
        <v>352</v>
      </c>
      <c r="J24" t="s">
        <v>353</v>
      </c>
      <c r="K24" t="s">
        <v>353</v>
      </c>
      <c r="L24" t="s">
        <v>353</v>
      </c>
      <c r="M24" t="s">
        <v>353</v>
      </c>
      <c r="N24">
        <v>28</v>
      </c>
      <c r="O24" s="5">
        <v>41100</v>
      </c>
      <c r="P24" t="s">
        <v>350</v>
      </c>
      <c r="Q24" t="s">
        <v>347</v>
      </c>
      <c r="R24" t="s">
        <v>354</v>
      </c>
      <c r="S24" t="s">
        <v>354</v>
      </c>
      <c r="T24" t="s">
        <v>354</v>
      </c>
      <c r="U24" t="s">
        <v>354</v>
      </c>
      <c r="V24" t="s">
        <v>350</v>
      </c>
      <c r="W24">
        <v>29</v>
      </c>
      <c r="X24" s="5">
        <v>41107</v>
      </c>
      <c r="Y24" t="s">
        <v>347</v>
      </c>
      <c r="Z24" t="s">
        <v>354</v>
      </c>
      <c r="AA24" t="s">
        <v>354</v>
      </c>
      <c r="AB24" t="s">
        <v>354</v>
      </c>
      <c r="AC24" t="s">
        <v>354</v>
      </c>
      <c r="AD24" t="s">
        <v>350</v>
      </c>
      <c r="AE24" t="s">
        <v>347</v>
      </c>
      <c r="AF24">
        <v>30</v>
      </c>
      <c r="AG24" s="5">
        <v>41114</v>
      </c>
      <c r="AH24" t="s">
        <v>353</v>
      </c>
      <c r="AI24" t="s">
        <v>353</v>
      </c>
      <c r="AJ24" t="s">
        <v>353</v>
      </c>
      <c r="AK24" t="s">
        <v>353</v>
      </c>
      <c r="AL24" t="s">
        <v>350</v>
      </c>
      <c r="AM24" t="s">
        <v>352</v>
      </c>
      <c r="AN24" t="s">
        <v>352</v>
      </c>
      <c r="AO24">
        <v>31</v>
      </c>
      <c r="AP24" s="5">
        <v>41121</v>
      </c>
      <c r="AQ24" t="s">
        <v>353</v>
      </c>
      <c r="AR24" t="s">
        <v>353</v>
      </c>
      <c r="AS24" t="s">
        <v>352</v>
      </c>
      <c r="AT24" t="s">
        <v>350</v>
      </c>
      <c r="AU24" t="s">
        <v>352</v>
      </c>
      <c r="AV24" t="s">
        <v>353</v>
      </c>
      <c r="AW24" t="s">
        <v>352</v>
      </c>
      <c r="AX24">
        <v>32</v>
      </c>
      <c r="AY24" s="5">
        <v>41128</v>
      </c>
      <c r="AZ24" t="s">
        <v>352</v>
      </c>
      <c r="BA24" t="s">
        <v>353</v>
      </c>
      <c r="BB24" t="s">
        <v>350</v>
      </c>
      <c r="BC24" t="s">
        <v>353</v>
      </c>
      <c r="BD24" t="s">
        <v>353</v>
      </c>
      <c r="BE24" t="s">
        <v>353</v>
      </c>
      <c r="BF24" t="s">
        <v>353</v>
      </c>
      <c r="BG24">
        <v>33</v>
      </c>
      <c r="BH24" s="5">
        <v>41135</v>
      </c>
      <c r="BI24" t="s">
        <v>353</v>
      </c>
      <c r="BJ24" t="s">
        <v>350</v>
      </c>
      <c r="BK24" t="s">
        <v>353</v>
      </c>
      <c r="BL24" t="s">
        <v>353</v>
      </c>
      <c r="BM24" t="s">
        <v>352</v>
      </c>
      <c r="BN24" t="s">
        <v>353</v>
      </c>
      <c r="BO24" t="s">
        <v>353</v>
      </c>
      <c r="BP24">
        <v>34</v>
      </c>
      <c r="BQ24" s="5">
        <v>41142</v>
      </c>
      <c r="BR24" t="s">
        <v>350</v>
      </c>
      <c r="BS24" t="s">
        <v>354</v>
      </c>
      <c r="BT24" t="s">
        <v>354</v>
      </c>
      <c r="BU24" t="s">
        <v>354</v>
      </c>
      <c r="BV24" t="s">
        <v>347</v>
      </c>
      <c r="BW24" t="s">
        <v>347</v>
      </c>
      <c r="BX24" t="s">
        <v>350</v>
      </c>
      <c r="BY24">
        <v>35</v>
      </c>
      <c r="BZ24" s="5">
        <v>41149</v>
      </c>
      <c r="CA24" t="s">
        <v>354</v>
      </c>
      <c r="CB24" t="s">
        <v>347</v>
      </c>
      <c r="CC24" t="s">
        <v>354</v>
      </c>
      <c r="CD24" t="s">
        <v>347</v>
      </c>
      <c r="CE24" t="s">
        <v>354</v>
      </c>
      <c r="CF24" t="s">
        <v>350</v>
      </c>
      <c r="CG24" t="s">
        <v>354</v>
      </c>
      <c r="CH24">
        <v>36</v>
      </c>
      <c r="CI24" s="5">
        <v>41156</v>
      </c>
      <c r="CJ24" t="s">
        <v>347</v>
      </c>
      <c r="CK24" t="s">
        <v>347</v>
      </c>
      <c r="CL24" t="s">
        <v>354</v>
      </c>
      <c r="CM24" t="s">
        <v>354</v>
      </c>
      <c r="CN24" t="s">
        <v>350</v>
      </c>
      <c r="CO24" t="s">
        <v>347</v>
      </c>
      <c r="CP24" t="s">
        <v>354</v>
      </c>
      <c r="CQ24">
        <v>37</v>
      </c>
      <c r="CR24" s="5">
        <v>41163</v>
      </c>
      <c r="CS24" t="s">
        <v>354</v>
      </c>
      <c r="CT24" t="s">
        <v>354</v>
      </c>
      <c r="CU24" t="s">
        <v>354</v>
      </c>
      <c r="CV24" t="s">
        <v>350</v>
      </c>
      <c r="CW24" t="s">
        <v>347</v>
      </c>
      <c r="CX24" t="s">
        <v>354</v>
      </c>
      <c r="CY24" t="s">
        <v>354</v>
      </c>
      <c r="CZ24">
        <v>38</v>
      </c>
      <c r="DA24" s="5">
        <v>41170</v>
      </c>
      <c r="DB24" t="s">
        <v>354</v>
      </c>
      <c r="DC24" t="s">
        <v>350</v>
      </c>
      <c r="DD24" t="s">
        <v>347</v>
      </c>
      <c r="DE24" t="s">
        <v>354</v>
      </c>
      <c r="DF24" t="s">
        <v>358</v>
      </c>
      <c r="DG24" t="s">
        <v>354</v>
      </c>
      <c r="DH24" t="s">
        <v>354</v>
      </c>
      <c r="DI24">
        <v>39</v>
      </c>
      <c r="DJ24" s="5">
        <v>41177</v>
      </c>
      <c r="DK24" t="s">
        <v>354</v>
      </c>
      <c r="DL24" t="s">
        <v>350</v>
      </c>
      <c r="DM24" t="s">
        <v>358</v>
      </c>
      <c r="DN24" t="s">
        <v>354</v>
      </c>
      <c r="DO24" t="s">
        <v>354</v>
      </c>
      <c r="DP24" t="s">
        <v>347</v>
      </c>
      <c r="DQ24" t="s">
        <v>354</v>
      </c>
      <c r="DR24">
        <v>40</v>
      </c>
      <c r="DS24" s="5">
        <v>41184</v>
      </c>
      <c r="DT24" t="s">
        <v>350</v>
      </c>
      <c r="DU24" t="s">
        <v>354</v>
      </c>
      <c r="DV24" t="s">
        <v>354</v>
      </c>
      <c r="DW24" t="s">
        <v>347</v>
      </c>
      <c r="DX24" t="s">
        <v>347</v>
      </c>
      <c r="DY24" t="s">
        <v>354</v>
      </c>
      <c r="DZ24" t="s">
        <v>350</v>
      </c>
      <c r="EA24">
        <v>41</v>
      </c>
      <c r="EB24" s="5">
        <v>41191</v>
      </c>
      <c r="EC24" t="s">
        <v>354</v>
      </c>
      <c r="ED24" t="s">
        <v>347</v>
      </c>
      <c r="EE24" t="s">
        <v>354</v>
      </c>
      <c r="EF24" t="s">
        <v>347</v>
      </c>
      <c r="EG24" t="s">
        <v>354</v>
      </c>
      <c r="EH24" t="s">
        <v>350</v>
      </c>
      <c r="EI24" t="s">
        <v>354</v>
      </c>
      <c r="EJ24">
        <v>42</v>
      </c>
      <c r="EK24" s="5">
        <v>41198</v>
      </c>
      <c r="EL24" t="s">
        <v>354</v>
      </c>
      <c r="EM24" t="s">
        <v>347</v>
      </c>
      <c r="EN24" t="s">
        <v>354</v>
      </c>
      <c r="EO24" t="s">
        <v>354</v>
      </c>
      <c r="EP24" t="s">
        <v>350</v>
      </c>
      <c r="EQ24" t="s">
        <v>354</v>
      </c>
      <c r="ER24" t="s">
        <v>347</v>
      </c>
      <c r="ES24">
        <v>43</v>
      </c>
      <c r="ET24" s="5">
        <v>41205</v>
      </c>
      <c r="EU24" t="s">
        <v>347</v>
      </c>
      <c r="EV24" t="s">
        <v>354</v>
      </c>
      <c r="EW24" t="s">
        <v>347</v>
      </c>
      <c r="EX24" t="s">
        <v>350</v>
      </c>
      <c r="EY24" t="s">
        <v>347</v>
      </c>
      <c r="EZ24" t="s">
        <v>354</v>
      </c>
      <c r="FA24" t="s">
        <v>347</v>
      </c>
      <c r="FB24">
        <v>44</v>
      </c>
      <c r="FC24" s="5">
        <v>41212</v>
      </c>
      <c r="FD24" t="s">
        <v>347</v>
      </c>
      <c r="FE24" t="s">
        <v>354</v>
      </c>
      <c r="FF24" t="s">
        <v>350</v>
      </c>
      <c r="FG24" t="s">
        <v>347</v>
      </c>
      <c r="FH24" t="s">
        <v>354</v>
      </c>
      <c r="FI24" t="s">
        <v>354</v>
      </c>
      <c r="FJ24" t="s">
        <v>354</v>
      </c>
    </row>
    <row r="25" spans="1:166">
      <c r="A25" t="s">
        <v>101</v>
      </c>
      <c r="B25" t="s">
        <v>102</v>
      </c>
      <c r="C25" t="s">
        <v>103</v>
      </c>
      <c r="D25">
        <v>2016</v>
      </c>
      <c r="E25">
        <v>27</v>
      </c>
      <c r="F25" s="5">
        <v>41093</v>
      </c>
      <c r="G25" t="s">
        <v>354</v>
      </c>
      <c r="H25" t="s">
        <v>354</v>
      </c>
      <c r="I25" t="s">
        <v>350</v>
      </c>
      <c r="J25" t="s">
        <v>347</v>
      </c>
      <c r="K25" t="s">
        <v>354</v>
      </c>
      <c r="L25" t="s">
        <v>348</v>
      </c>
      <c r="M25" t="s">
        <v>349</v>
      </c>
      <c r="N25">
        <v>28</v>
      </c>
      <c r="O25" s="5">
        <v>41100</v>
      </c>
      <c r="P25" t="s">
        <v>350</v>
      </c>
      <c r="Q25" t="s">
        <v>351</v>
      </c>
      <c r="R25" t="s">
        <v>351</v>
      </c>
      <c r="S25" t="s">
        <v>351</v>
      </c>
      <c r="T25" t="s">
        <v>351</v>
      </c>
      <c r="U25" t="s">
        <v>351</v>
      </c>
      <c r="V25" t="s">
        <v>350</v>
      </c>
      <c r="W25">
        <v>29</v>
      </c>
      <c r="X25" s="5">
        <v>41107</v>
      </c>
      <c r="Y25" t="s">
        <v>351</v>
      </c>
      <c r="Z25" t="s">
        <v>351</v>
      </c>
      <c r="AA25" t="s">
        <v>351</v>
      </c>
      <c r="AB25" t="s">
        <v>351</v>
      </c>
      <c r="AC25" t="s">
        <v>351</v>
      </c>
      <c r="AD25" t="s">
        <v>350</v>
      </c>
      <c r="AE25" t="s">
        <v>351</v>
      </c>
      <c r="AF25">
        <v>30</v>
      </c>
      <c r="AG25" s="5">
        <v>41114</v>
      </c>
      <c r="AH25" t="s">
        <v>351</v>
      </c>
      <c r="AI25" t="s">
        <v>351</v>
      </c>
      <c r="AJ25" t="s">
        <v>351</v>
      </c>
      <c r="AK25" t="s">
        <v>351</v>
      </c>
      <c r="AL25" t="s">
        <v>350</v>
      </c>
      <c r="AM25" t="s">
        <v>351</v>
      </c>
      <c r="AN25" t="s">
        <v>351</v>
      </c>
      <c r="AO25">
        <v>31</v>
      </c>
      <c r="AP25" s="5">
        <v>41121</v>
      </c>
      <c r="AQ25" t="s">
        <v>351</v>
      </c>
      <c r="AR25" t="s">
        <v>351</v>
      </c>
      <c r="AS25" t="s">
        <v>351</v>
      </c>
      <c r="AT25" t="s">
        <v>350</v>
      </c>
      <c r="AU25" t="s">
        <v>351</v>
      </c>
      <c r="AV25" t="s">
        <v>351</v>
      </c>
      <c r="AW25" t="s">
        <v>351</v>
      </c>
      <c r="AX25">
        <v>32</v>
      </c>
      <c r="AY25" s="5">
        <v>41128</v>
      </c>
      <c r="AZ25" t="s">
        <v>351</v>
      </c>
      <c r="BA25" t="s">
        <v>351</v>
      </c>
      <c r="BB25" t="s">
        <v>350</v>
      </c>
      <c r="BC25" t="s">
        <v>351</v>
      </c>
      <c r="BD25" t="s">
        <v>351</v>
      </c>
      <c r="BE25" t="s">
        <v>351</v>
      </c>
      <c r="BF25" t="s">
        <v>351</v>
      </c>
      <c r="BG25">
        <v>33</v>
      </c>
      <c r="BH25" s="5">
        <v>41135</v>
      </c>
      <c r="BI25" t="s">
        <v>350</v>
      </c>
      <c r="BJ25" t="s">
        <v>351</v>
      </c>
      <c r="BK25" t="s">
        <v>351</v>
      </c>
      <c r="BL25" t="s">
        <v>351</v>
      </c>
      <c r="BM25" t="s">
        <v>351</v>
      </c>
      <c r="BN25" t="s">
        <v>351</v>
      </c>
      <c r="BO25" t="s">
        <v>350</v>
      </c>
      <c r="BP25">
        <v>34</v>
      </c>
      <c r="BQ25" s="5">
        <v>41142</v>
      </c>
      <c r="BR25" t="s">
        <v>347</v>
      </c>
      <c r="BS25" t="s">
        <v>354</v>
      </c>
      <c r="BT25" t="s">
        <v>354</v>
      </c>
      <c r="BU25" t="s">
        <v>354</v>
      </c>
      <c r="BV25" t="s">
        <v>354</v>
      </c>
      <c r="BW25" t="s">
        <v>350</v>
      </c>
      <c r="BX25" t="s">
        <v>354</v>
      </c>
      <c r="BY25">
        <v>35</v>
      </c>
      <c r="BZ25" s="5">
        <v>41149</v>
      </c>
      <c r="CA25" t="s">
        <v>354</v>
      </c>
      <c r="CB25" t="s">
        <v>354</v>
      </c>
      <c r="CC25" t="s">
        <v>348</v>
      </c>
      <c r="CD25" t="s">
        <v>349</v>
      </c>
      <c r="CE25" t="s">
        <v>350</v>
      </c>
      <c r="CF25" t="s">
        <v>347</v>
      </c>
      <c r="CG25" t="s">
        <v>354</v>
      </c>
      <c r="CH25">
        <v>36</v>
      </c>
      <c r="CI25" s="5">
        <v>41156</v>
      </c>
      <c r="CJ25" t="s">
        <v>354</v>
      </c>
      <c r="CK25" t="s">
        <v>354</v>
      </c>
      <c r="CL25" t="s">
        <v>354</v>
      </c>
      <c r="CM25" t="s">
        <v>350</v>
      </c>
      <c r="CN25" t="s">
        <v>347</v>
      </c>
      <c r="CO25" t="s">
        <v>347</v>
      </c>
      <c r="CP25" t="s">
        <v>354</v>
      </c>
      <c r="CQ25">
        <v>37</v>
      </c>
      <c r="CR25" s="5">
        <v>41163</v>
      </c>
      <c r="CS25" t="s">
        <v>348</v>
      </c>
      <c r="CT25" t="s">
        <v>349</v>
      </c>
      <c r="CU25" t="s">
        <v>350</v>
      </c>
      <c r="CV25" t="s">
        <v>347</v>
      </c>
      <c r="CW25" t="s">
        <v>354</v>
      </c>
      <c r="CX25" t="s">
        <v>354</v>
      </c>
      <c r="CY25" t="s">
        <v>348</v>
      </c>
      <c r="CZ25">
        <v>38</v>
      </c>
      <c r="DA25" s="5">
        <v>41170</v>
      </c>
      <c r="DB25" t="s">
        <v>349</v>
      </c>
      <c r="DC25" t="s">
        <v>350</v>
      </c>
      <c r="DD25" t="s">
        <v>347</v>
      </c>
      <c r="DE25" t="s">
        <v>354</v>
      </c>
      <c r="DF25" t="s">
        <v>354</v>
      </c>
      <c r="DG25" t="s">
        <v>354</v>
      </c>
      <c r="DH25" t="s">
        <v>354</v>
      </c>
      <c r="DI25">
        <v>39</v>
      </c>
      <c r="DJ25" s="5">
        <v>41177</v>
      </c>
      <c r="DK25" t="s">
        <v>350</v>
      </c>
      <c r="DL25" t="s">
        <v>347</v>
      </c>
      <c r="DM25" t="s">
        <v>354</v>
      </c>
      <c r="DN25" t="s">
        <v>354</v>
      </c>
      <c r="DO25" t="s">
        <v>347</v>
      </c>
      <c r="DP25" t="s">
        <v>354</v>
      </c>
      <c r="DQ25" t="s">
        <v>350</v>
      </c>
      <c r="DR25">
        <v>40</v>
      </c>
      <c r="DS25" s="5">
        <v>41184</v>
      </c>
      <c r="DT25" t="s">
        <v>354</v>
      </c>
      <c r="DU25" t="s">
        <v>354</v>
      </c>
      <c r="DV25" t="s">
        <v>354</v>
      </c>
      <c r="DW25" t="s">
        <v>348</v>
      </c>
      <c r="DX25" t="s">
        <v>349</v>
      </c>
      <c r="DY25" t="s">
        <v>350</v>
      </c>
      <c r="DZ25" t="s">
        <v>347</v>
      </c>
      <c r="EA25">
        <v>41</v>
      </c>
      <c r="EB25" s="5">
        <v>41191</v>
      </c>
      <c r="EC25" t="s">
        <v>354</v>
      </c>
      <c r="ED25" t="s">
        <v>347</v>
      </c>
      <c r="EE25" t="s">
        <v>347</v>
      </c>
      <c r="EF25" t="s">
        <v>354</v>
      </c>
      <c r="EG25" t="s">
        <v>350</v>
      </c>
      <c r="EH25" t="s">
        <v>354</v>
      </c>
      <c r="EI25" t="s">
        <v>347</v>
      </c>
      <c r="EJ25">
        <v>42</v>
      </c>
      <c r="EK25" s="5">
        <v>41198</v>
      </c>
      <c r="EL25" t="s">
        <v>354</v>
      </c>
      <c r="EM25" t="s">
        <v>348</v>
      </c>
      <c r="EN25" t="s">
        <v>349</v>
      </c>
      <c r="EO25" t="s">
        <v>350</v>
      </c>
      <c r="EP25" t="s">
        <v>347</v>
      </c>
      <c r="EQ25" t="s">
        <v>354</v>
      </c>
      <c r="ER25" t="s">
        <v>354</v>
      </c>
      <c r="ES25">
        <v>43</v>
      </c>
      <c r="ET25" s="5">
        <v>41205</v>
      </c>
      <c r="EU25" t="s">
        <v>354</v>
      </c>
      <c r="EV25" t="s">
        <v>354</v>
      </c>
      <c r="EW25" t="s">
        <v>350</v>
      </c>
      <c r="EX25" t="s">
        <v>354</v>
      </c>
      <c r="EY25" t="s">
        <v>354</v>
      </c>
      <c r="EZ25" t="s">
        <v>348</v>
      </c>
      <c r="FA25" t="s">
        <v>349</v>
      </c>
      <c r="FB25">
        <v>44</v>
      </c>
      <c r="FC25" s="5">
        <v>41212</v>
      </c>
      <c r="FD25" t="s">
        <v>350</v>
      </c>
      <c r="FE25" t="s">
        <v>354</v>
      </c>
      <c r="FF25" t="s">
        <v>354</v>
      </c>
      <c r="FG25" t="s">
        <v>354</v>
      </c>
      <c r="FH25" t="s">
        <v>348</v>
      </c>
      <c r="FI25" t="s">
        <v>349</v>
      </c>
      <c r="FJ25" t="s">
        <v>350</v>
      </c>
    </row>
    <row r="26" spans="1:166">
      <c r="A26" t="s">
        <v>104</v>
      </c>
      <c r="B26" t="s">
        <v>105</v>
      </c>
      <c r="C26" t="s">
        <v>106</v>
      </c>
      <c r="D26">
        <v>2016</v>
      </c>
      <c r="E26">
        <v>27</v>
      </c>
      <c r="F26" s="5">
        <v>41093</v>
      </c>
      <c r="G26" t="s">
        <v>347</v>
      </c>
      <c r="H26" t="s">
        <v>354</v>
      </c>
      <c r="I26" t="s">
        <v>354</v>
      </c>
      <c r="J26" t="s">
        <v>348</v>
      </c>
      <c r="K26" t="s">
        <v>349</v>
      </c>
      <c r="L26" t="s">
        <v>350</v>
      </c>
      <c r="M26" t="s">
        <v>347</v>
      </c>
      <c r="N26">
        <v>28</v>
      </c>
      <c r="O26" s="5">
        <v>41100</v>
      </c>
      <c r="P26" t="s">
        <v>354</v>
      </c>
      <c r="Q26" t="s">
        <v>354</v>
      </c>
      <c r="R26" t="s">
        <v>347</v>
      </c>
      <c r="S26" t="s">
        <v>354</v>
      </c>
      <c r="T26" t="s">
        <v>350</v>
      </c>
      <c r="U26" t="s">
        <v>354</v>
      </c>
      <c r="V26" t="s">
        <v>354</v>
      </c>
      <c r="W26">
        <v>29</v>
      </c>
      <c r="X26" s="5">
        <v>41107</v>
      </c>
      <c r="Y26" t="s">
        <v>354</v>
      </c>
      <c r="Z26" t="s">
        <v>348</v>
      </c>
      <c r="AA26" t="s">
        <v>349</v>
      </c>
      <c r="AB26" t="s">
        <v>350</v>
      </c>
      <c r="AC26" t="s">
        <v>347</v>
      </c>
      <c r="AD26" t="s">
        <v>354</v>
      </c>
      <c r="AE26" t="s">
        <v>347</v>
      </c>
      <c r="AF26">
        <v>30</v>
      </c>
      <c r="AG26" s="5">
        <v>41114</v>
      </c>
      <c r="AH26" t="s">
        <v>354</v>
      </c>
      <c r="AI26" t="s">
        <v>350</v>
      </c>
      <c r="AJ26" t="s">
        <v>347</v>
      </c>
      <c r="AK26" t="s">
        <v>354</v>
      </c>
      <c r="AL26" t="s">
        <v>354</v>
      </c>
      <c r="AM26" t="s">
        <v>348</v>
      </c>
      <c r="AN26" t="s">
        <v>349</v>
      </c>
      <c r="AO26">
        <v>31</v>
      </c>
      <c r="AP26" s="5">
        <v>41121</v>
      </c>
      <c r="AQ26" t="s">
        <v>350</v>
      </c>
      <c r="AR26" t="s">
        <v>354</v>
      </c>
      <c r="AS26" t="s">
        <v>354</v>
      </c>
      <c r="AT26" t="s">
        <v>347</v>
      </c>
      <c r="AU26" t="s">
        <v>354</v>
      </c>
      <c r="AV26" t="s">
        <v>354</v>
      </c>
      <c r="AW26" t="s">
        <v>350</v>
      </c>
      <c r="AX26">
        <v>32</v>
      </c>
      <c r="AY26" s="5">
        <v>41128</v>
      </c>
      <c r="AZ26" t="s">
        <v>354</v>
      </c>
      <c r="BA26" t="s">
        <v>347</v>
      </c>
      <c r="BB26" t="s">
        <v>354</v>
      </c>
      <c r="BC26" t="s">
        <v>347</v>
      </c>
      <c r="BD26" t="s">
        <v>354</v>
      </c>
      <c r="BE26" t="s">
        <v>350</v>
      </c>
      <c r="BF26" t="s">
        <v>354</v>
      </c>
      <c r="BG26">
        <v>33</v>
      </c>
      <c r="BH26" s="5">
        <v>41135</v>
      </c>
      <c r="BI26" t="s">
        <v>353</v>
      </c>
      <c r="BJ26" t="s">
        <v>352</v>
      </c>
      <c r="BK26" t="s">
        <v>353</v>
      </c>
      <c r="BL26" t="s">
        <v>353</v>
      </c>
      <c r="BM26" t="s">
        <v>350</v>
      </c>
      <c r="BN26" t="s">
        <v>352</v>
      </c>
      <c r="BO26" t="s">
        <v>351</v>
      </c>
      <c r="BP26">
        <v>34</v>
      </c>
      <c r="BQ26" s="5">
        <v>41142</v>
      </c>
      <c r="BR26" t="s">
        <v>351</v>
      </c>
      <c r="BS26" t="s">
        <v>351</v>
      </c>
      <c r="BT26" t="s">
        <v>351</v>
      </c>
      <c r="BU26" t="s">
        <v>350</v>
      </c>
      <c r="BV26" t="s">
        <v>351</v>
      </c>
      <c r="BW26" t="s">
        <v>351</v>
      </c>
      <c r="BX26" t="s">
        <v>351</v>
      </c>
      <c r="BY26">
        <v>35</v>
      </c>
      <c r="BZ26" s="5">
        <v>41149</v>
      </c>
      <c r="CA26" t="s">
        <v>351</v>
      </c>
      <c r="CB26" t="s">
        <v>351</v>
      </c>
      <c r="CC26" t="s">
        <v>350</v>
      </c>
      <c r="CD26" t="s">
        <v>351</v>
      </c>
      <c r="CE26" t="s">
        <v>351</v>
      </c>
      <c r="CF26" t="s">
        <v>351</v>
      </c>
      <c r="CG26" t="s">
        <v>351</v>
      </c>
      <c r="CH26">
        <v>36</v>
      </c>
      <c r="CI26" s="5">
        <v>41156</v>
      </c>
      <c r="CJ26" t="s">
        <v>350</v>
      </c>
      <c r="CK26" t="s">
        <v>347</v>
      </c>
      <c r="CL26" t="s">
        <v>354</v>
      </c>
      <c r="CM26" t="s">
        <v>354</v>
      </c>
      <c r="CN26" t="s">
        <v>347</v>
      </c>
      <c r="CO26" t="s">
        <v>354</v>
      </c>
      <c r="CP26" t="s">
        <v>350</v>
      </c>
      <c r="CQ26">
        <v>37</v>
      </c>
      <c r="CR26" s="5">
        <v>41163</v>
      </c>
      <c r="CS26" t="s">
        <v>347</v>
      </c>
      <c r="CT26" t="s">
        <v>354</v>
      </c>
      <c r="CU26" t="s">
        <v>354</v>
      </c>
      <c r="CV26" t="s">
        <v>348</v>
      </c>
      <c r="CW26" t="s">
        <v>349</v>
      </c>
      <c r="CX26" t="s">
        <v>350</v>
      </c>
      <c r="CY26" t="s">
        <v>347</v>
      </c>
      <c r="CZ26">
        <v>38</v>
      </c>
      <c r="DA26" s="5">
        <v>41170</v>
      </c>
      <c r="DB26" t="s">
        <v>354</v>
      </c>
      <c r="DC26" t="s">
        <v>354</v>
      </c>
      <c r="DD26" t="s">
        <v>347</v>
      </c>
      <c r="DE26" t="s">
        <v>354</v>
      </c>
      <c r="DF26" t="s">
        <v>350</v>
      </c>
      <c r="DG26" t="s">
        <v>347</v>
      </c>
      <c r="DH26" t="s">
        <v>354</v>
      </c>
      <c r="DI26">
        <v>39</v>
      </c>
      <c r="DJ26" s="5">
        <v>41177</v>
      </c>
      <c r="DK26" t="s">
        <v>354</v>
      </c>
      <c r="DL26" t="s">
        <v>348</v>
      </c>
      <c r="DM26" t="s">
        <v>349</v>
      </c>
      <c r="DN26" t="s">
        <v>350</v>
      </c>
      <c r="DO26" t="s">
        <v>347</v>
      </c>
      <c r="DP26" t="s">
        <v>354</v>
      </c>
      <c r="DQ26" t="s">
        <v>354</v>
      </c>
      <c r="DR26">
        <v>40</v>
      </c>
      <c r="DS26" s="5">
        <v>41184</v>
      </c>
      <c r="DT26" t="s">
        <v>354</v>
      </c>
      <c r="DU26" t="s">
        <v>354</v>
      </c>
      <c r="DV26" t="s">
        <v>350</v>
      </c>
      <c r="DW26" t="s">
        <v>354</v>
      </c>
      <c r="DX26" t="s">
        <v>354</v>
      </c>
      <c r="DY26" t="s">
        <v>348</v>
      </c>
      <c r="DZ26" t="s">
        <v>349</v>
      </c>
      <c r="EA26">
        <v>41</v>
      </c>
      <c r="EB26" s="5">
        <v>41191</v>
      </c>
      <c r="EC26" t="s">
        <v>350</v>
      </c>
      <c r="ED26" t="s">
        <v>347</v>
      </c>
      <c r="EE26" t="s">
        <v>354</v>
      </c>
      <c r="EF26" t="s">
        <v>354</v>
      </c>
      <c r="EG26" t="s">
        <v>348</v>
      </c>
      <c r="EH26" t="s">
        <v>349</v>
      </c>
      <c r="EI26" t="s">
        <v>350</v>
      </c>
      <c r="EJ26">
        <v>42</v>
      </c>
      <c r="EK26" s="5">
        <v>41198</v>
      </c>
      <c r="EL26" t="s">
        <v>347</v>
      </c>
      <c r="EM26" t="s">
        <v>354</v>
      </c>
      <c r="EN26" t="s">
        <v>354</v>
      </c>
      <c r="EO26" t="s">
        <v>354</v>
      </c>
      <c r="EP26" t="s">
        <v>354</v>
      </c>
      <c r="EQ26" t="s">
        <v>350</v>
      </c>
      <c r="ER26" t="s">
        <v>354</v>
      </c>
      <c r="ES26">
        <v>43</v>
      </c>
      <c r="ET26" s="5">
        <v>41205</v>
      </c>
      <c r="EU26" t="s">
        <v>347</v>
      </c>
      <c r="EV26" t="s">
        <v>354</v>
      </c>
      <c r="EW26" t="s">
        <v>348</v>
      </c>
      <c r="EX26" t="s">
        <v>349</v>
      </c>
      <c r="EY26" t="s">
        <v>350</v>
      </c>
      <c r="EZ26" t="s">
        <v>347</v>
      </c>
      <c r="FA26" t="s">
        <v>354</v>
      </c>
      <c r="FB26">
        <v>44</v>
      </c>
      <c r="FC26" s="5">
        <v>41212</v>
      </c>
      <c r="FD26" t="s">
        <v>347</v>
      </c>
      <c r="FE26" t="s">
        <v>354</v>
      </c>
      <c r="FF26" t="s">
        <v>347</v>
      </c>
      <c r="FG26" t="s">
        <v>350</v>
      </c>
      <c r="FH26" t="s">
        <v>347</v>
      </c>
      <c r="FI26" t="s">
        <v>347</v>
      </c>
      <c r="FJ26" t="s">
        <v>354</v>
      </c>
    </row>
    <row r="27" spans="1:166">
      <c r="A27" t="s">
        <v>108</v>
      </c>
      <c r="B27" t="s">
        <v>109</v>
      </c>
      <c r="C27" t="s">
        <v>110</v>
      </c>
      <c r="D27">
        <v>2016</v>
      </c>
      <c r="E27">
        <v>27</v>
      </c>
      <c r="F27" s="5">
        <v>41093</v>
      </c>
      <c r="G27" t="s">
        <v>348</v>
      </c>
      <c r="H27" t="s">
        <v>349</v>
      </c>
      <c r="I27" t="s">
        <v>350</v>
      </c>
      <c r="J27" t="s">
        <v>351</v>
      </c>
      <c r="K27" t="s">
        <v>351</v>
      </c>
      <c r="L27" t="s">
        <v>351</v>
      </c>
      <c r="M27" t="s">
        <v>351</v>
      </c>
      <c r="N27">
        <v>28</v>
      </c>
      <c r="O27" s="5">
        <v>41100</v>
      </c>
      <c r="P27" t="s">
        <v>350</v>
      </c>
      <c r="Q27" t="s">
        <v>347</v>
      </c>
      <c r="R27" t="s">
        <v>347</v>
      </c>
      <c r="S27" t="s">
        <v>351</v>
      </c>
      <c r="T27" t="s">
        <v>347</v>
      </c>
      <c r="U27" t="s">
        <v>347</v>
      </c>
      <c r="V27" t="s">
        <v>350</v>
      </c>
      <c r="W27">
        <v>29</v>
      </c>
      <c r="X27" s="5">
        <v>41107</v>
      </c>
      <c r="Y27" t="s">
        <v>352</v>
      </c>
      <c r="Z27" t="s">
        <v>347</v>
      </c>
      <c r="AA27" t="s">
        <v>347</v>
      </c>
      <c r="AB27" t="s">
        <v>347</v>
      </c>
      <c r="AC27" t="s">
        <v>354</v>
      </c>
      <c r="AD27" t="s">
        <v>350</v>
      </c>
      <c r="AE27" t="s">
        <v>347</v>
      </c>
      <c r="AF27">
        <v>30</v>
      </c>
      <c r="AG27" s="5">
        <v>41114</v>
      </c>
      <c r="AH27" t="s">
        <v>347</v>
      </c>
      <c r="AI27" t="s">
        <v>347</v>
      </c>
      <c r="AJ27" t="s">
        <v>354</v>
      </c>
      <c r="AK27" t="s">
        <v>348</v>
      </c>
      <c r="AL27" t="s">
        <v>349</v>
      </c>
      <c r="AM27" t="s">
        <v>350</v>
      </c>
      <c r="AN27" t="s">
        <v>347</v>
      </c>
      <c r="AO27">
        <v>31</v>
      </c>
      <c r="AP27" s="5">
        <v>41121</v>
      </c>
      <c r="AQ27" t="s">
        <v>354</v>
      </c>
      <c r="AR27" t="s">
        <v>347</v>
      </c>
      <c r="AS27" t="s">
        <v>347</v>
      </c>
      <c r="AT27" t="s">
        <v>354</v>
      </c>
      <c r="AU27" t="s">
        <v>350</v>
      </c>
      <c r="AV27" t="s">
        <v>347</v>
      </c>
      <c r="AW27" t="s">
        <v>347</v>
      </c>
      <c r="AX27">
        <v>32</v>
      </c>
      <c r="AY27" s="5">
        <v>41128</v>
      </c>
      <c r="AZ27" t="s">
        <v>354</v>
      </c>
      <c r="BA27" t="s">
        <v>354</v>
      </c>
      <c r="BB27" t="s">
        <v>354</v>
      </c>
      <c r="BC27" t="s">
        <v>350</v>
      </c>
      <c r="BD27" t="s">
        <v>347</v>
      </c>
      <c r="BE27" t="s">
        <v>354</v>
      </c>
      <c r="BF27" t="s">
        <v>354</v>
      </c>
      <c r="BG27">
        <v>33</v>
      </c>
      <c r="BH27" s="5">
        <v>41135</v>
      </c>
      <c r="BI27" t="s">
        <v>354</v>
      </c>
      <c r="BJ27" t="s">
        <v>354</v>
      </c>
      <c r="BK27" t="s">
        <v>350</v>
      </c>
      <c r="BL27" t="s">
        <v>354</v>
      </c>
      <c r="BM27" t="s">
        <v>354</v>
      </c>
      <c r="BN27" t="s">
        <v>354</v>
      </c>
      <c r="BO27" t="s">
        <v>354</v>
      </c>
      <c r="BP27">
        <v>34</v>
      </c>
      <c r="BQ27" s="5">
        <v>41142</v>
      </c>
      <c r="BR27" t="s">
        <v>350</v>
      </c>
      <c r="BS27" t="s">
        <v>347</v>
      </c>
      <c r="BT27" t="s">
        <v>354</v>
      </c>
      <c r="BU27" t="s">
        <v>354</v>
      </c>
      <c r="BV27" t="s">
        <v>348</v>
      </c>
      <c r="BW27" t="s">
        <v>349</v>
      </c>
      <c r="BX27" t="s">
        <v>350</v>
      </c>
      <c r="BY27">
        <v>35</v>
      </c>
      <c r="BZ27" s="5">
        <v>41149</v>
      </c>
      <c r="CA27" t="s">
        <v>347</v>
      </c>
      <c r="CB27" t="s">
        <v>354</v>
      </c>
      <c r="CC27" t="s">
        <v>354</v>
      </c>
      <c r="CD27" t="s">
        <v>354</v>
      </c>
      <c r="CE27" t="s">
        <v>347</v>
      </c>
      <c r="CF27" t="s">
        <v>350</v>
      </c>
      <c r="CG27" t="s">
        <v>354</v>
      </c>
      <c r="CH27">
        <v>36</v>
      </c>
      <c r="CI27" s="5">
        <v>41156</v>
      </c>
      <c r="CJ27" t="s">
        <v>347</v>
      </c>
      <c r="CK27" t="s">
        <v>354</v>
      </c>
      <c r="CL27" t="s">
        <v>351</v>
      </c>
      <c r="CM27" t="s">
        <v>351</v>
      </c>
      <c r="CN27" t="s">
        <v>351</v>
      </c>
      <c r="CO27" t="s">
        <v>350</v>
      </c>
      <c r="CP27" t="s">
        <v>351</v>
      </c>
      <c r="CQ27">
        <v>37</v>
      </c>
      <c r="CR27" s="5">
        <v>41163</v>
      </c>
      <c r="CS27" t="s">
        <v>351</v>
      </c>
      <c r="CT27" t="s">
        <v>351</v>
      </c>
      <c r="CU27" t="s">
        <v>347</v>
      </c>
      <c r="CV27" t="s">
        <v>347</v>
      </c>
      <c r="CW27" t="s">
        <v>350</v>
      </c>
      <c r="CX27" t="s">
        <v>347</v>
      </c>
      <c r="CY27" t="s">
        <v>347</v>
      </c>
      <c r="CZ27">
        <v>38</v>
      </c>
      <c r="DA27" s="5">
        <v>41170</v>
      </c>
      <c r="DB27" t="s">
        <v>347</v>
      </c>
      <c r="DC27" t="s">
        <v>348</v>
      </c>
      <c r="DD27" t="s">
        <v>349</v>
      </c>
      <c r="DE27" t="s">
        <v>350</v>
      </c>
      <c r="DF27" t="s">
        <v>347</v>
      </c>
      <c r="DG27" t="s">
        <v>347</v>
      </c>
      <c r="DH27" t="s">
        <v>354</v>
      </c>
      <c r="DI27">
        <v>39</v>
      </c>
      <c r="DJ27" s="5">
        <v>41177</v>
      </c>
      <c r="DK27" t="s">
        <v>347</v>
      </c>
      <c r="DL27" t="s">
        <v>354</v>
      </c>
      <c r="DM27" t="s">
        <v>350</v>
      </c>
      <c r="DN27" t="s">
        <v>347</v>
      </c>
      <c r="DO27" t="s">
        <v>358</v>
      </c>
      <c r="DP27" t="s">
        <v>348</v>
      </c>
      <c r="DQ27" t="s">
        <v>349</v>
      </c>
      <c r="DR27">
        <v>40</v>
      </c>
      <c r="DS27" s="5">
        <v>41184</v>
      </c>
      <c r="DT27" t="s">
        <v>350</v>
      </c>
      <c r="DU27" t="s">
        <v>347</v>
      </c>
      <c r="DV27" t="s">
        <v>354</v>
      </c>
      <c r="DW27" t="s">
        <v>354</v>
      </c>
      <c r="DX27" t="s">
        <v>348</v>
      </c>
      <c r="DY27" t="s">
        <v>349</v>
      </c>
      <c r="DZ27" t="s">
        <v>350</v>
      </c>
      <c r="EA27">
        <v>41</v>
      </c>
      <c r="EB27" s="5">
        <v>41191</v>
      </c>
      <c r="EC27" t="s">
        <v>347</v>
      </c>
      <c r="ED27" t="s">
        <v>354</v>
      </c>
      <c r="EE27" t="s">
        <v>354</v>
      </c>
      <c r="EF27" t="s">
        <v>354</v>
      </c>
      <c r="EG27" t="s">
        <v>354</v>
      </c>
      <c r="EH27" t="s">
        <v>350</v>
      </c>
      <c r="EI27" t="s">
        <v>354</v>
      </c>
      <c r="EJ27">
        <v>42</v>
      </c>
      <c r="EK27" s="5">
        <v>41198</v>
      </c>
      <c r="EL27" t="s">
        <v>347</v>
      </c>
      <c r="EM27" t="s">
        <v>354</v>
      </c>
      <c r="EN27" t="s">
        <v>348</v>
      </c>
      <c r="EO27" t="s">
        <v>349</v>
      </c>
      <c r="EP27" t="s">
        <v>350</v>
      </c>
      <c r="EQ27" t="s">
        <v>347</v>
      </c>
      <c r="ER27" t="s">
        <v>354</v>
      </c>
      <c r="ES27">
        <v>43</v>
      </c>
      <c r="ET27" s="5">
        <v>41205</v>
      </c>
      <c r="EU27" t="s">
        <v>347</v>
      </c>
      <c r="EV27" t="s">
        <v>354</v>
      </c>
      <c r="EW27" t="s">
        <v>347</v>
      </c>
      <c r="EX27" t="s">
        <v>350</v>
      </c>
      <c r="EY27" t="s">
        <v>347</v>
      </c>
      <c r="EZ27" t="s">
        <v>347</v>
      </c>
      <c r="FA27" t="s">
        <v>354</v>
      </c>
      <c r="FB27">
        <v>44</v>
      </c>
      <c r="FC27" s="5">
        <v>41212</v>
      </c>
      <c r="FD27" t="s">
        <v>348</v>
      </c>
      <c r="FE27" t="s">
        <v>349</v>
      </c>
      <c r="FF27" t="s">
        <v>350</v>
      </c>
      <c r="FG27" t="s">
        <v>347</v>
      </c>
      <c r="FH27" t="s">
        <v>354</v>
      </c>
      <c r="FI27" t="s">
        <v>354</v>
      </c>
      <c r="FJ27" t="s">
        <v>348</v>
      </c>
    </row>
    <row r="28" spans="1:166">
      <c r="A28" t="s">
        <v>112</v>
      </c>
      <c r="B28" t="s">
        <v>113</v>
      </c>
      <c r="C28" t="s">
        <v>114</v>
      </c>
      <c r="D28">
        <v>2016</v>
      </c>
      <c r="E28">
        <v>27</v>
      </c>
      <c r="F28" s="5">
        <v>41093</v>
      </c>
      <c r="G28" t="s">
        <v>350</v>
      </c>
      <c r="H28" t="s">
        <v>347</v>
      </c>
      <c r="I28" t="s">
        <v>354</v>
      </c>
      <c r="J28" t="s">
        <v>354</v>
      </c>
      <c r="K28" t="s">
        <v>348</v>
      </c>
      <c r="L28" t="s">
        <v>349</v>
      </c>
      <c r="M28" t="s">
        <v>350</v>
      </c>
      <c r="N28">
        <v>28</v>
      </c>
      <c r="O28" s="5">
        <v>41100</v>
      </c>
      <c r="P28" t="s">
        <v>347</v>
      </c>
      <c r="Q28" t="s">
        <v>354</v>
      </c>
      <c r="R28" t="s">
        <v>354</v>
      </c>
      <c r="S28" t="s">
        <v>354</v>
      </c>
      <c r="T28" t="s">
        <v>354</v>
      </c>
      <c r="U28" t="s">
        <v>354</v>
      </c>
      <c r="V28" t="s">
        <v>350</v>
      </c>
      <c r="W28">
        <v>29</v>
      </c>
      <c r="X28" s="5">
        <v>41107</v>
      </c>
      <c r="Y28" t="s">
        <v>347</v>
      </c>
      <c r="Z28" t="s">
        <v>354</v>
      </c>
      <c r="AA28" t="s">
        <v>348</v>
      </c>
      <c r="AB28" t="s">
        <v>349</v>
      </c>
      <c r="AC28" t="s">
        <v>350</v>
      </c>
      <c r="AD28" t="s">
        <v>347</v>
      </c>
      <c r="AE28" t="s">
        <v>354</v>
      </c>
      <c r="AF28">
        <v>30</v>
      </c>
      <c r="AG28" s="5">
        <v>41114</v>
      </c>
      <c r="AH28" t="s">
        <v>351</v>
      </c>
      <c r="AI28" t="s">
        <v>351</v>
      </c>
      <c r="AJ28" t="s">
        <v>351</v>
      </c>
      <c r="AK28" t="s">
        <v>350</v>
      </c>
      <c r="AL28" t="s">
        <v>351</v>
      </c>
      <c r="AM28" t="s">
        <v>351</v>
      </c>
      <c r="AN28" t="s">
        <v>351</v>
      </c>
      <c r="AO28">
        <v>31</v>
      </c>
      <c r="AP28" s="5">
        <v>41121</v>
      </c>
      <c r="AQ28" t="s">
        <v>351</v>
      </c>
      <c r="AR28" t="s">
        <v>351</v>
      </c>
      <c r="AS28" t="s">
        <v>350</v>
      </c>
      <c r="AT28" t="s">
        <v>351</v>
      </c>
      <c r="AU28" t="s">
        <v>351</v>
      </c>
      <c r="AV28" t="s">
        <v>351</v>
      </c>
      <c r="AW28" t="s">
        <v>351</v>
      </c>
      <c r="AX28">
        <v>32</v>
      </c>
      <c r="AY28" s="5">
        <v>41128</v>
      </c>
      <c r="AZ28" t="s">
        <v>347</v>
      </c>
      <c r="BA28" t="s">
        <v>350</v>
      </c>
      <c r="BB28" t="s">
        <v>347</v>
      </c>
      <c r="BC28" t="s">
        <v>347</v>
      </c>
      <c r="BD28" t="s">
        <v>354</v>
      </c>
      <c r="BE28" t="s">
        <v>348</v>
      </c>
      <c r="BF28" t="s">
        <v>349</v>
      </c>
      <c r="BG28">
        <v>33</v>
      </c>
      <c r="BH28" s="5">
        <v>41135</v>
      </c>
      <c r="BI28" t="s">
        <v>350</v>
      </c>
      <c r="BJ28" t="s">
        <v>347</v>
      </c>
      <c r="BK28" t="s">
        <v>354</v>
      </c>
      <c r="BL28" t="s">
        <v>347</v>
      </c>
      <c r="BM28" t="s">
        <v>348</v>
      </c>
      <c r="BN28" t="s">
        <v>349</v>
      </c>
      <c r="BO28" t="s">
        <v>350</v>
      </c>
      <c r="BP28">
        <v>34</v>
      </c>
      <c r="BQ28" s="5">
        <v>41142</v>
      </c>
      <c r="BR28" t="s">
        <v>354</v>
      </c>
      <c r="BS28" t="s">
        <v>354</v>
      </c>
      <c r="BT28" t="s">
        <v>354</v>
      </c>
      <c r="BU28" t="s">
        <v>348</v>
      </c>
      <c r="BV28" t="s">
        <v>349</v>
      </c>
      <c r="BW28" t="s">
        <v>350</v>
      </c>
      <c r="BX28" t="s">
        <v>347</v>
      </c>
      <c r="BY28">
        <v>35</v>
      </c>
      <c r="BZ28" s="5">
        <v>41149</v>
      </c>
      <c r="CA28" t="s">
        <v>354</v>
      </c>
      <c r="CB28" t="s">
        <v>347</v>
      </c>
      <c r="CC28" t="s">
        <v>347</v>
      </c>
      <c r="CD28" t="s">
        <v>354</v>
      </c>
      <c r="CE28" t="s">
        <v>350</v>
      </c>
      <c r="CF28" t="s">
        <v>347</v>
      </c>
      <c r="CG28" t="s">
        <v>347</v>
      </c>
      <c r="CH28">
        <v>36</v>
      </c>
      <c r="CI28" s="5">
        <v>41156</v>
      </c>
      <c r="CJ28" t="s">
        <v>357</v>
      </c>
      <c r="CK28" t="s">
        <v>350</v>
      </c>
      <c r="CL28" t="s">
        <v>347</v>
      </c>
      <c r="CM28" t="s">
        <v>354</v>
      </c>
      <c r="CN28" t="s">
        <v>354</v>
      </c>
      <c r="CO28" t="s">
        <v>348</v>
      </c>
      <c r="CP28" t="s">
        <v>349</v>
      </c>
      <c r="CQ28">
        <v>37</v>
      </c>
      <c r="CR28" s="5">
        <v>41163</v>
      </c>
      <c r="CS28" t="s">
        <v>350</v>
      </c>
      <c r="CT28" t="s">
        <v>347</v>
      </c>
      <c r="CU28" t="s">
        <v>354</v>
      </c>
      <c r="CV28" t="s">
        <v>354</v>
      </c>
      <c r="CW28" t="s">
        <v>347</v>
      </c>
      <c r="CX28" t="s">
        <v>354</v>
      </c>
      <c r="CY28" t="s">
        <v>350</v>
      </c>
      <c r="CZ28">
        <v>38</v>
      </c>
      <c r="DA28" s="5">
        <v>41170</v>
      </c>
      <c r="DB28" t="s">
        <v>347</v>
      </c>
      <c r="DC28" t="s">
        <v>354</v>
      </c>
      <c r="DD28" t="s">
        <v>354</v>
      </c>
      <c r="DE28" t="s">
        <v>347</v>
      </c>
      <c r="DF28" t="s">
        <v>354</v>
      </c>
      <c r="DG28" t="s">
        <v>350</v>
      </c>
      <c r="DH28" t="s">
        <v>347</v>
      </c>
      <c r="DI28">
        <v>39</v>
      </c>
      <c r="DJ28" s="5">
        <v>41177</v>
      </c>
      <c r="DK28" t="s">
        <v>354</v>
      </c>
      <c r="DL28" t="s">
        <v>354</v>
      </c>
      <c r="DM28" t="s">
        <v>348</v>
      </c>
      <c r="DN28" t="s">
        <v>349</v>
      </c>
      <c r="DO28" t="s">
        <v>350</v>
      </c>
      <c r="DP28" t="s">
        <v>347</v>
      </c>
      <c r="DQ28" t="s">
        <v>354</v>
      </c>
      <c r="DR28">
        <v>40</v>
      </c>
      <c r="DS28" s="5">
        <v>41184</v>
      </c>
      <c r="DT28" t="s">
        <v>347</v>
      </c>
      <c r="DU28" t="s">
        <v>354</v>
      </c>
      <c r="DV28" t="s">
        <v>347</v>
      </c>
      <c r="DW28" t="s">
        <v>350</v>
      </c>
      <c r="DX28" t="s">
        <v>347</v>
      </c>
      <c r="DY28" t="s">
        <v>347</v>
      </c>
      <c r="DZ28" t="s">
        <v>354</v>
      </c>
      <c r="EA28">
        <v>41</v>
      </c>
      <c r="EB28" s="5">
        <v>41191</v>
      </c>
      <c r="EC28" t="s">
        <v>348</v>
      </c>
      <c r="ED28" t="s">
        <v>349</v>
      </c>
      <c r="EE28" t="s">
        <v>350</v>
      </c>
      <c r="EF28" t="s">
        <v>347</v>
      </c>
      <c r="EG28" t="s">
        <v>354</v>
      </c>
      <c r="EH28" t="s">
        <v>354</v>
      </c>
      <c r="EI28" t="s">
        <v>348</v>
      </c>
      <c r="EJ28">
        <v>42</v>
      </c>
      <c r="EK28" s="5">
        <v>41198</v>
      </c>
      <c r="EL28" t="s">
        <v>349</v>
      </c>
      <c r="EM28" t="s">
        <v>350</v>
      </c>
      <c r="EN28" t="s">
        <v>347</v>
      </c>
      <c r="EO28" t="s">
        <v>347</v>
      </c>
      <c r="EP28" t="s">
        <v>354</v>
      </c>
      <c r="EQ28" t="s">
        <v>354</v>
      </c>
      <c r="ER28" t="s">
        <v>347</v>
      </c>
      <c r="ES28">
        <v>43</v>
      </c>
      <c r="ET28" s="5">
        <v>41205</v>
      </c>
      <c r="EU28" t="s">
        <v>350</v>
      </c>
      <c r="EV28" t="s">
        <v>347</v>
      </c>
      <c r="EW28" t="s">
        <v>354</v>
      </c>
      <c r="EX28" t="s">
        <v>347</v>
      </c>
      <c r="EY28" t="s">
        <v>347</v>
      </c>
      <c r="EZ28" t="s">
        <v>354</v>
      </c>
      <c r="FA28" t="s">
        <v>350</v>
      </c>
      <c r="FB28">
        <v>44</v>
      </c>
      <c r="FC28" s="5">
        <v>41212</v>
      </c>
      <c r="FD28" t="s">
        <v>354</v>
      </c>
      <c r="FE28" t="s">
        <v>354</v>
      </c>
      <c r="FF28" t="s">
        <v>354</v>
      </c>
      <c r="FG28" t="s">
        <v>348</v>
      </c>
      <c r="FH28" t="s">
        <v>349</v>
      </c>
      <c r="FI28" t="s">
        <v>350</v>
      </c>
      <c r="FJ28" t="s">
        <v>347</v>
      </c>
    </row>
    <row r="29" spans="1:166">
      <c r="A29" t="s">
        <v>115</v>
      </c>
      <c r="B29" t="s">
        <v>116</v>
      </c>
      <c r="C29" t="s">
        <v>117</v>
      </c>
      <c r="D29">
        <v>2016</v>
      </c>
      <c r="E29">
        <v>27</v>
      </c>
      <c r="F29" s="5">
        <v>41093</v>
      </c>
      <c r="G29" t="s">
        <v>352</v>
      </c>
      <c r="H29" t="s">
        <v>353</v>
      </c>
      <c r="I29" t="s">
        <v>353</v>
      </c>
      <c r="J29" t="s">
        <v>350</v>
      </c>
      <c r="K29" t="s">
        <v>352</v>
      </c>
      <c r="L29" t="s">
        <v>353</v>
      </c>
      <c r="M29" t="s">
        <v>353</v>
      </c>
      <c r="N29">
        <v>28</v>
      </c>
      <c r="O29" s="5">
        <v>41100</v>
      </c>
      <c r="P29" t="s">
        <v>351</v>
      </c>
      <c r="Q29" t="s">
        <v>351</v>
      </c>
      <c r="R29" t="s">
        <v>350</v>
      </c>
      <c r="S29" t="s">
        <v>351</v>
      </c>
      <c r="T29" t="s">
        <v>351</v>
      </c>
      <c r="U29" t="s">
        <v>351</v>
      </c>
      <c r="V29" t="s">
        <v>351</v>
      </c>
      <c r="W29">
        <v>29</v>
      </c>
      <c r="X29" s="5">
        <v>41107</v>
      </c>
      <c r="Y29" t="s">
        <v>351</v>
      </c>
      <c r="Z29" t="s">
        <v>350</v>
      </c>
      <c r="AA29" t="s">
        <v>351</v>
      </c>
      <c r="AB29" t="s">
        <v>351</v>
      </c>
      <c r="AC29" t="s">
        <v>351</v>
      </c>
      <c r="AD29" t="s">
        <v>351</v>
      </c>
      <c r="AE29" t="s">
        <v>351</v>
      </c>
      <c r="AF29">
        <v>30</v>
      </c>
      <c r="AG29" s="5">
        <v>41114</v>
      </c>
      <c r="AH29" t="s">
        <v>350</v>
      </c>
      <c r="AI29" t="s">
        <v>347</v>
      </c>
      <c r="AJ29" t="s">
        <v>347</v>
      </c>
      <c r="AK29" t="s">
        <v>347</v>
      </c>
      <c r="AL29" t="s">
        <v>354</v>
      </c>
      <c r="AM29" t="s">
        <v>354</v>
      </c>
      <c r="AN29" t="s">
        <v>350</v>
      </c>
      <c r="AO29">
        <v>31</v>
      </c>
      <c r="AP29" s="5">
        <v>41121</v>
      </c>
      <c r="AQ29" t="s">
        <v>347</v>
      </c>
      <c r="AR29" t="s">
        <v>354</v>
      </c>
      <c r="AS29" t="s">
        <v>354</v>
      </c>
      <c r="AT29" t="s">
        <v>354</v>
      </c>
      <c r="AU29" t="s">
        <v>354</v>
      </c>
      <c r="AV29" t="s">
        <v>350</v>
      </c>
      <c r="AW29" t="s">
        <v>354</v>
      </c>
      <c r="AX29">
        <v>32</v>
      </c>
      <c r="AY29" s="5">
        <v>41128</v>
      </c>
      <c r="AZ29" t="s">
        <v>347</v>
      </c>
      <c r="BA29" t="s">
        <v>354</v>
      </c>
      <c r="BB29" t="s">
        <v>348</v>
      </c>
      <c r="BC29" t="s">
        <v>349</v>
      </c>
      <c r="BD29" t="s">
        <v>350</v>
      </c>
      <c r="BE29" t="s">
        <v>347</v>
      </c>
      <c r="BF29" t="s">
        <v>354</v>
      </c>
      <c r="BG29">
        <v>33</v>
      </c>
      <c r="BH29" s="5">
        <v>41135</v>
      </c>
      <c r="BI29" t="s">
        <v>347</v>
      </c>
      <c r="BJ29" t="s">
        <v>354</v>
      </c>
      <c r="BK29" t="s">
        <v>347</v>
      </c>
      <c r="BL29" t="s">
        <v>350</v>
      </c>
      <c r="BM29" t="s">
        <v>354</v>
      </c>
      <c r="BN29" t="s">
        <v>347</v>
      </c>
      <c r="BO29" t="s">
        <v>354</v>
      </c>
      <c r="BP29">
        <v>34</v>
      </c>
      <c r="BQ29" s="5">
        <v>41142</v>
      </c>
      <c r="BR29" t="s">
        <v>348</v>
      </c>
      <c r="BS29" t="s">
        <v>349</v>
      </c>
      <c r="BT29" t="s">
        <v>350</v>
      </c>
      <c r="BU29" t="s">
        <v>347</v>
      </c>
      <c r="BV29" t="s">
        <v>354</v>
      </c>
      <c r="BW29" t="s">
        <v>354</v>
      </c>
      <c r="BX29" t="s">
        <v>348</v>
      </c>
      <c r="BY29">
        <v>35</v>
      </c>
      <c r="BZ29" s="5">
        <v>41149</v>
      </c>
      <c r="CA29" t="s">
        <v>349</v>
      </c>
      <c r="CB29" t="s">
        <v>350</v>
      </c>
      <c r="CC29" t="s">
        <v>347</v>
      </c>
      <c r="CD29" t="s">
        <v>347</v>
      </c>
      <c r="CE29" t="s">
        <v>354</v>
      </c>
      <c r="CF29" t="s">
        <v>354</v>
      </c>
      <c r="CG29" t="s">
        <v>347</v>
      </c>
      <c r="CH29">
        <v>36</v>
      </c>
      <c r="CI29" s="5">
        <v>41156</v>
      </c>
      <c r="CJ29" t="s">
        <v>350</v>
      </c>
      <c r="CK29" t="s">
        <v>351</v>
      </c>
      <c r="CL29" t="s">
        <v>351</v>
      </c>
      <c r="CM29" t="s">
        <v>351</v>
      </c>
      <c r="CN29" t="s">
        <v>351</v>
      </c>
      <c r="CO29" t="s">
        <v>351</v>
      </c>
      <c r="CP29" t="s">
        <v>350</v>
      </c>
      <c r="CQ29">
        <v>37</v>
      </c>
      <c r="CR29" s="5">
        <v>41163</v>
      </c>
      <c r="CS29" t="s">
        <v>347</v>
      </c>
      <c r="CT29" t="s">
        <v>354</v>
      </c>
      <c r="CU29" t="s">
        <v>354</v>
      </c>
      <c r="CV29" t="s">
        <v>348</v>
      </c>
      <c r="CW29" t="s">
        <v>349</v>
      </c>
      <c r="CX29" t="s">
        <v>350</v>
      </c>
      <c r="CY29" t="s">
        <v>347</v>
      </c>
      <c r="CZ29">
        <v>38</v>
      </c>
      <c r="DA29" s="5">
        <v>41170</v>
      </c>
      <c r="DB29" t="s">
        <v>354</v>
      </c>
      <c r="DC29" t="s">
        <v>354</v>
      </c>
      <c r="DD29" t="s">
        <v>347</v>
      </c>
      <c r="DE29" t="s">
        <v>354</v>
      </c>
      <c r="DF29" t="s">
        <v>350</v>
      </c>
      <c r="DG29" t="s">
        <v>347</v>
      </c>
      <c r="DH29" t="s">
        <v>354</v>
      </c>
      <c r="DI29">
        <v>39</v>
      </c>
      <c r="DJ29" s="5">
        <v>41177</v>
      </c>
      <c r="DK29" t="s">
        <v>354</v>
      </c>
      <c r="DL29" t="s">
        <v>348</v>
      </c>
      <c r="DM29" t="s">
        <v>349</v>
      </c>
      <c r="DN29" t="s">
        <v>350</v>
      </c>
      <c r="DO29" t="s">
        <v>347</v>
      </c>
      <c r="DP29" t="s">
        <v>354</v>
      </c>
      <c r="DQ29" t="s">
        <v>354</v>
      </c>
      <c r="DR29">
        <v>40</v>
      </c>
      <c r="DS29" s="5">
        <v>41184</v>
      </c>
      <c r="DT29" t="s">
        <v>354</v>
      </c>
      <c r="DU29" t="s">
        <v>354</v>
      </c>
      <c r="DV29" t="s">
        <v>350</v>
      </c>
      <c r="DW29" t="s">
        <v>354</v>
      </c>
      <c r="DX29" t="s">
        <v>354</v>
      </c>
      <c r="DY29" t="s">
        <v>348</v>
      </c>
      <c r="DZ29" t="s">
        <v>349</v>
      </c>
      <c r="EA29">
        <v>41</v>
      </c>
      <c r="EB29" s="5">
        <v>41191</v>
      </c>
      <c r="EC29" t="s">
        <v>350</v>
      </c>
      <c r="ED29" t="s">
        <v>347</v>
      </c>
      <c r="EE29" t="s">
        <v>354</v>
      </c>
      <c r="EF29" t="s">
        <v>354</v>
      </c>
      <c r="EG29" t="s">
        <v>348</v>
      </c>
      <c r="EH29" t="s">
        <v>349</v>
      </c>
      <c r="EI29" t="s">
        <v>350</v>
      </c>
      <c r="EJ29">
        <v>42</v>
      </c>
      <c r="EK29" s="5">
        <v>41198</v>
      </c>
      <c r="EL29" t="s">
        <v>347</v>
      </c>
      <c r="EM29" t="s">
        <v>354</v>
      </c>
      <c r="EN29" t="s">
        <v>354</v>
      </c>
      <c r="EO29" t="s">
        <v>354</v>
      </c>
      <c r="EP29" t="s">
        <v>354</v>
      </c>
      <c r="EQ29" t="s">
        <v>350</v>
      </c>
      <c r="ER29" t="s">
        <v>354</v>
      </c>
      <c r="ES29">
        <v>43</v>
      </c>
      <c r="ET29" s="5">
        <v>41205</v>
      </c>
      <c r="EU29" t="s">
        <v>354</v>
      </c>
      <c r="EV29" t="s">
        <v>354</v>
      </c>
      <c r="EW29" t="s">
        <v>348</v>
      </c>
      <c r="EX29" t="s">
        <v>349</v>
      </c>
      <c r="EY29" t="s">
        <v>350</v>
      </c>
      <c r="EZ29" t="s">
        <v>347</v>
      </c>
      <c r="FA29" t="s">
        <v>354</v>
      </c>
      <c r="FB29">
        <v>44</v>
      </c>
      <c r="FC29" s="5">
        <v>41212</v>
      </c>
      <c r="FD29" t="s">
        <v>347</v>
      </c>
      <c r="FE29" t="s">
        <v>354</v>
      </c>
      <c r="FF29" t="s">
        <v>347</v>
      </c>
      <c r="FG29" t="s">
        <v>350</v>
      </c>
      <c r="FH29" t="s">
        <v>347</v>
      </c>
      <c r="FI29" t="s">
        <v>347</v>
      </c>
      <c r="FJ29" t="s">
        <v>354</v>
      </c>
    </row>
    <row r="30" spans="1:166">
      <c r="A30" t="s">
        <v>118</v>
      </c>
      <c r="B30" t="s">
        <v>119</v>
      </c>
      <c r="C30" t="s">
        <v>120</v>
      </c>
      <c r="D30">
        <v>2016</v>
      </c>
      <c r="E30">
        <v>27</v>
      </c>
      <c r="F30" s="5">
        <v>41093</v>
      </c>
      <c r="G30" t="s">
        <v>354</v>
      </c>
      <c r="H30" t="s">
        <v>354</v>
      </c>
      <c r="I30" t="s">
        <v>354</v>
      </c>
      <c r="J30" t="s">
        <v>350</v>
      </c>
      <c r="K30" t="s">
        <v>347</v>
      </c>
      <c r="L30" t="s">
        <v>354</v>
      </c>
      <c r="M30" t="s">
        <v>354</v>
      </c>
      <c r="N30">
        <v>28</v>
      </c>
      <c r="O30" s="5">
        <v>41100</v>
      </c>
      <c r="P30" t="s">
        <v>348</v>
      </c>
      <c r="Q30" t="s">
        <v>349</v>
      </c>
      <c r="R30" t="s">
        <v>350</v>
      </c>
      <c r="S30" t="s">
        <v>347</v>
      </c>
      <c r="T30" t="s">
        <v>354</v>
      </c>
      <c r="U30" t="s">
        <v>354</v>
      </c>
      <c r="V30" t="s">
        <v>348</v>
      </c>
      <c r="W30">
        <v>29</v>
      </c>
      <c r="X30" s="5">
        <v>41107</v>
      </c>
      <c r="Y30" t="s">
        <v>349</v>
      </c>
      <c r="Z30" t="s">
        <v>350</v>
      </c>
      <c r="AA30" t="s">
        <v>347</v>
      </c>
      <c r="AB30" t="s">
        <v>354</v>
      </c>
      <c r="AC30" t="s">
        <v>354</v>
      </c>
      <c r="AD30" t="s">
        <v>354</v>
      </c>
      <c r="AE30" t="s">
        <v>354</v>
      </c>
      <c r="AF30">
        <v>30</v>
      </c>
      <c r="AG30" s="5">
        <v>41114</v>
      </c>
      <c r="AH30" t="s">
        <v>350</v>
      </c>
      <c r="AI30" t="s">
        <v>347</v>
      </c>
      <c r="AJ30" t="s">
        <v>347</v>
      </c>
      <c r="AK30" t="s">
        <v>354</v>
      </c>
      <c r="AL30" t="s">
        <v>347</v>
      </c>
      <c r="AM30" t="s">
        <v>354</v>
      </c>
      <c r="AN30" t="s">
        <v>350</v>
      </c>
      <c r="AO30">
        <v>31</v>
      </c>
      <c r="AP30" s="5">
        <v>41121</v>
      </c>
      <c r="AQ30" t="s">
        <v>354</v>
      </c>
      <c r="AR30" t="s">
        <v>354</v>
      </c>
      <c r="AS30" t="s">
        <v>354</v>
      </c>
      <c r="AT30" t="s">
        <v>348</v>
      </c>
      <c r="AU30" t="s">
        <v>349</v>
      </c>
      <c r="AV30" t="s">
        <v>350</v>
      </c>
      <c r="AW30" t="s">
        <v>347</v>
      </c>
      <c r="AX30">
        <v>32</v>
      </c>
      <c r="AY30" s="5">
        <v>41128</v>
      </c>
      <c r="AZ30" t="s">
        <v>354</v>
      </c>
      <c r="BA30" t="s">
        <v>347</v>
      </c>
      <c r="BB30" t="s">
        <v>347</v>
      </c>
      <c r="BC30" t="s">
        <v>354</v>
      </c>
      <c r="BD30" t="s">
        <v>350</v>
      </c>
      <c r="BE30" t="s">
        <v>347</v>
      </c>
      <c r="BF30" t="s">
        <v>347</v>
      </c>
      <c r="BG30">
        <v>33</v>
      </c>
      <c r="BH30" s="5">
        <v>41135</v>
      </c>
      <c r="BI30" t="s">
        <v>354</v>
      </c>
      <c r="BJ30" t="s">
        <v>348</v>
      </c>
      <c r="BK30" t="s">
        <v>349</v>
      </c>
      <c r="BL30" t="s">
        <v>350</v>
      </c>
      <c r="BM30" t="s">
        <v>347</v>
      </c>
      <c r="BN30" t="s">
        <v>354</v>
      </c>
      <c r="BO30" t="s">
        <v>347</v>
      </c>
      <c r="BP30">
        <v>34</v>
      </c>
      <c r="BQ30" s="5">
        <v>41142</v>
      </c>
      <c r="BR30" t="s">
        <v>354</v>
      </c>
      <c r="BS30" t="s">
        <v>354</v>
      </c>
      <c r="BT30" t="s">
        <v>350</v>
      </c>
      <c r="BU30" t="s">
        <v>347</v>
      </c>
      <c r="BV30" t="s">
        <v>354</v>
      </c>
      <c r="BW30" t="s">
        <v>348</v>
      </c>
      <c r="BX30" t="s">
        <v>349</v>
      </c>
      <c r="BY30">
        <v>35</v>
      </c>
      <c r="BZ30" s="5">
        <v>41149</v>
      </c>
      <c r="CA30" t="s">
        <v>350</v>
      </c>
      <c r="CB30" t="s">
        <v>347</v>
      </c>
      <c r="CC30" t="s">
        <v>354</v>
      </c>
      <c r="CD30" t="s">
        <v>354</v>
      </c>
      <c r="CE30" t="s">
        <v>348</v>
      </c>
      <c r="CF30" t="s">
        <v>349</v>
      </c>
      <c r="CG30" t="s">
        <v>350</v>
      </c>
      <c r="CH30">
        <v>36</v>
      </c>
      <c r="CI30" s="5">
        <v>41156</v>
      </c>
      <c r="CJ30" t="s">
        <v>351</v>
      </c>
      <c r="CK30" t="s">
        <v>351</v>
      </c>
      <c r="CL30" t="s">
        <v>351</v>
      </c>
      <c r="CM30" t="s">
        <v>351</v>
      </c>
      <c r="CN30" t="s">
        <v>351</v>
      </c>
      <c r="CO30" t="s">
        <v>350</v>
      </c>
      <c r="CP30" t="s">
        <v>351</v>
      </c>
      <c r="CQ30">
        <v>37</v>
      </c>
      <c r="CR30" s="5">
        <v>41163</v>
      </c>
      <c r="CS30" t="s">
        <v>351</v>
      </c>
      <c r="CT30" t="s">
        <v>351</v>
      </c>
      <c r="CU30" t="s">
        <v>351</v>
      </c>
      <c r="CV30" t="s">
        <v>351</v>
      </c>
      <c r="CW30" t="s">
        <v>350</v>
      </c>
      <c r="CX30" t="s">
        <v>351</v>
      </c>
      <c r="CY30" t="s">
        <v>351</v>
      </c>
      <c r="CZ30">
        <v>38</v>
      </c>
      <c r="DA30" s="5">
        <v>41170</v>
      </c>
      <c r="DB30" t="s">
        <v>347</v>
      </c>
      <c r="DC30" t="s">
        <v>354</v>
      </c>
      <c r="DD30" t="s">
        <v>354</v>
      </c>
      <c r="DE30" t="s">
        <v>350</v>
      </c>
      <c r="DF30" t="s">
        <v>347</v>
      </c>
      <c r="DG30" t="s">
        <v>354</v>
      </c>
      <c r="DH30" t="s">
        <v>354</v>
      </c>
      <c r="DI30">
        <v>39</v>
      </c>
      <c r="DJ30" s="5">
        <v>41177</v>
      </c>
      <c r="DK30" t="s">
        <v>354</v>
      </c>
      <c r="DL30" t="s">
        <v>354</v>
      </c>
      <c r="DM30" t="s">
        <v>350</v>
      </c>
      <c r="DN30" t="s">
        <v>358</v>
      </c>
      <c r="DO30" t="s">
        <v>354</v>
      </c>
      <c r="DP30" t="s">
        <v>347</v>
      </c>
      <c r="DQ30" t="s">
        <v>354</v>
      </c>
      <c r="DR30">
        <v>40</v>
      </c>
      <c r="DS30" s="5">
        <v>41184</v>
      </c>
      <c r="DT30" t="s">
        <v>354</v>
      </c>
      <c r="DU30" t="s">
        <v>350</v>
      </c>
      <c r="DV30" t="s">
        <v>347</v>
      </c>
      <c r="DW30" t="s">
        <v>354</v>
      </c>
      <c r="DX30" t="s">
        <v>347</v>
      </c>
      <c r="DY30" t="s">
        <v>354</v>
      </c>
      <c r="DZ30" t="s">
        <v>354</v>
      </c>
      <c r="EA30">
        <v>41</v>
      </c>
      <c r="EB30" s="5">
        <v>41191</v>
      </c>
      <c r="EC30" t="s">
        <v>350</v>
      </c>
      <c r="ED30" t="s">
        <v>354</v>
      </c>
      <c r="EE30" t="s">
        <v>354</v>
      </c>
      <c r="EF30" t="s">
        <v>347</v>
      </c>
      <c r="EG30" t="s">
        <v>354</v>
      </c>
      <c r="EH30" t="s">
        <v>354</v>
      </c>
      <c r="EI30" t="s">
        <v>350</v>
      </c>
      <c r="EJ30">
        <v>42</v>
      </c>
      <c r="EK30" s="5">
        <v>41198</v>
      </c>
      <c r="EL30" t="s">
        <v>354</v>
      </c>
      <c r="EM30" t="s">
        <v>347</v>
      </c>
      <c r="EN30" t="s">
        <v>354</v>
      </c>
      <c r="EO30" t="s">
        <v>347</v>
      </c>
      <c r="EP30" t="s">
        <v>354</v>
      </c>
      <c r="EQ30" t="s">
        <v>350</v>
      </c>
      <c r="ER30" t="s">
        <v>354</v>
      </c>
      <c r="ES30">
        <v>43</v>
      </c>
      <c r="ET30" s="5">
        <v>41205</v>
      </c>
      <c r="EU30" t="s">
        <v>354</v>
      </c>
      <c r="EV30" t="s">
        <v>347</v>
      </c>
      <c r="EW30" t="s">
        <v>354</v>
      </c>
      <c r="EX30" t="s">
        <v>354</v>
      </c>
      <c r="EY30" t="s">
        <v>350</v>
      </c>
      <c r="EZ30" t="s">
        <v>347</v>
      </c>
      <c r="FA30" t="s">
        <v>347</v>
      </c>
      <c r="FB30">
        <v>44</v>
      </c>
      <c r="FC30" s="5">
        <v>41212</v>
      </c>
      <c r="FD30" t="s">
        <v>347</v>
      </c>
      <c r="FE30" t="s">
        <v>354</v>
      </c>
      <c r="FF30" t="s">
        <v>347</v>
      </c>
      <c r="FG30" t="s">
        <v>350</v>
      </c>
      <c r="FH30" t="s">
        <v>347</v>
      </c>
      <c r="FI30" t="s">
        <v>354</v>
      </c>
      <c r="FJ30" t="s">
        <v>347</v>
      </c>
    </row>
    <row r="31" spans="1:166">
      <c r="A31" t="s">
        <v>121</v>
      </c>
      <c r="B31" t="s">
        <v>122</v>
      </c>
      <c r="C31" t="s">
        <v>123</v>
      </c>
      <c r="D31">
        <v>2016</v>
      </c>
      <c r="E31">
        <v>27</v>
      </c>
      <c r="F31" s="5">
        <v>41093</v>
      </c>
      <c r="G31" t="s">
        <v>354</v>
      </c>
      <c r="H31" t="s">
        <v>354</v>
      </c>
      <c r="I31" t="s">
        <v>347</v>
      </c>
      <c r="J31" t="s">
        <v>354</v>
      </c>
      <c r="K31" t="s">
        <v>350</v>
      </c>
      <c r="L31" t="s">
        <v>347</v>
      </c>
      <c r="M31" t="s">
        <v>354</v>
      </c>
      <c r="N31">
        <v>28</v>
      </c>
      <c r="O31" s="5">
        <v>41100</v>
      </c>
      <c r="P31" t="s">
        <v>354</v>
      </c>
      <c r="Q31" t="s">
        <v>348</v>
      </c>
      <c r="R31" t="s">
        <v>349</v>
      </c>
      <c r="S31" t="s">
        <v>350</v>
      </c>
      <c r="T31" t="s">
        <v>347</v>
      </c>
      <c r="U31" t="s">
        <v>354</v>
      </c>
      <c r="V31" t="s">
        <v>354</v>
      </c>
      <c r="W31">
        <v>29</v>
      </c>
      <c r="X31" s="5">
        <v>41107</v>
      </c>
      <c r="Y31" t="s">
        <v>351</v>
      </c>
      <c r="Z31" t="s">
        <v>354</v>
      </c>
      <c r="AA31" t="s">
        <v>350</v>
      </c>
      <c r="AB31" t="s">
        <v>347</v>
      </c>
      <c r="AC31" t="s">
        <v>354</v>
      </c>
      <c r="AD31" t="s">
        <v>348</v>
      </c>
      <c r="AE31" t="s">
        <v>349</v>
      </c>
      <c r="AF31">
        <v>30</v>
      </c>
      <c r="AG31" s="5">
        <v>41114</v>
      </c>
      <c r="AH31" t="s">
        <v>350</v>
      </c>
      <c r="AI31" t="s">
        <v>347</v>
      </c>
      <c r="AJ31" t="s">
        <v>354</v>
      </c>
      <c r="AK31" t="s">
        <v>354</v>
      </c>
      <c r="AL31" t="s">
        <v>348</v>
      </c>
      <c r="AM31" t="s">
        <v>349</v>
      </c>
      <c r="AN31" t="s">
        <v>350</v>
      </c>
      <c r="AO31">
        <v>31</v>
      </c>
      <c r="AP31" s="5">
        <v>41121</v>
      </c>
      <c r="AQ31" t="s">
        <v>354</v>
      </c>
      <c r="AR31" t="s">
        <v>347</v>
      </c>
      <c r="AS31" t="s">
        <v>354</v>
      </c>
      <c r="AT31" t="s">
        <v>347</v>
      </c>
      <c r="AU31" t="s">
        <v>350</v>
      </c>
      <c r="AV31" t="s">
        <v>354</v>
      </c>
      <c r="AW31" t="s">
        <v>354</v>
      </c>
      <c r="AX31">
        <v>32</v>
      </c>
      <c r="AY31" s="5">
        <v>41128</v>
      </c>
      <c r="AZ31" t="s">
        <v>353</v>
      </c>
      <c r="BA31" t="s">
        <v>353</v>
      </c>
      <c r="BB31" t="s">
        <v>353</v>
      </c>
      <c r="BC31" t="s">
        <v>353</v>
      </c>
      <c r="BD31" t="s">
        <v>350</v>
      </c>
      <c r="BE31" t="s">
        <v>352</v>
      </c>
      <c r="BF31" t="s">
        <v>352</v>
      </c>
      <c r="BG31">
        <v>33</v>
      </c>
      <c r="BH31" s="5">
        <v>41135</v>
      </c>
      <c r="BI31" t="s">
        <v>352</v>
      </c>
      <c r="BJ31" t="s">
        <v>353</v>
      </c>
      <c r="BK31" t="s">
        <v>352</v>
      </c>
      <c r="BL31" t="s">
        <v>350</v>
      </c>
      <c r="BM31" t="s">
        <v>352</v>
      </c>
      <c r="BN31" t="s">
        <v>353</v>
      </c>
      <c r="BO31" t="s">
        <v>353</v>
      </c>
      <c r="BP31">
        <v>34</v>
      </c>
      <c r="BQ31" s="5">
        <v>41142</v>
      </c>
      <c r="BR31" t="s">
        <v>351</v>
      </c>
      <c r="BS31" t="s">
        <v>351</v>
      </c>
      <c r="BT31" t="s">
        <v>350</v>
      </c>
      <c r="BU31" t="s">
        <v>351</v>
      </c>
      <c r="BV31" t="s">
        <v>351</v>
      </c>
      <c r="BW31" t="s">
        <v>351</v>
      </c>
      <c r="BX31" t="s">
        <v>351</v>
      </c>
      <c r="BY31">
        <v>35</v>
      </c>
      <c r="BZ31" s="5">
        <v>41149</v>
      </c>
      <c r="CA31" t="s">
        <v>351</v>
      </c>
      <c r="CB31" t="s">
        <v>350</v>
      </c>
      <c r="CC31" t="s">
        <v>351</v>
      </c>
      <c r="CD31" t="s">
        <v>351</v>
      </c>
      <c r="CE31" t="s">
        <v>351</v>
      </c>
      <c r="CF31" t="s">
        <v>351</v>
      </c>
      <c r="CG31" t="s">
        <v>351</v>
      </c>
      <c r="CH31">
        <v>36</v>
      </c>
      <c r="CI31" s="5">
        <v>41156</v>
      </c>
      <c r="CJ31" t="s">
        <v>354</v>
      </c>
      <c r="CK31" t="s">
        <v>350</v>
      </c>
      <c r="CL31" t="s">
        <v>354</v>
      </c>
      <c r="CM31" t="s">
        <v>347</v>
      </c>
      <c r="CN31" t="s">
        <v>354</v>
      </c>
      <c r="CO31" t="s">
        <v>354</v>
      </c>
      <c r="CP31" t="s">
        <v>350</v>
      </c>
      <c r="CQ31">
        <v>37</v>
      </c>
      <c r="CR31" s="5">
        <v>41163</v>
      </c>
      <c r="CS31" t="s">
        <v>347</v>
      </c>
      <c r="CT31" t="s">
        <v>351</v>
      </c>
      <c r="CU31" t="s">
        <v>354</v>
      </c>
      <c r="CV31" t="s">
        <v>354</v>
      </c>
      <c r="CW31" t="s">
        <v>354</v>
      </c>
      <c r="CX31" t="s">
        <v>350</v>
      </c>
      <c r="CY31" t="s">
        <v>354</v>
      </c>
      <c r="CZ31">
        <v>38</v>
      </c>
      <c r="DA31" s="5">
        <v>41170</v>
      </c>
      <c r="DB31" t="s">
        <v>354</v>
      </c>
      <c r="DC31" t="s">
        <v>354</v>
      </c>
      <c r="DD31" t="s">
        <v>347</v>
      </c>
      <c r="DE31" t="s">
        <v>354</v>
      </c>
      <c r="DF31" t="s">
        <v>350</v>
      </c>
      <c r="DG31" t="s">
        <v>351</v>
      </c>
      <c r="DH31" t="s">
        <v>351</v>
      </c>
      <c r="DI31">
        <v>39</v>
      </c>
      <c r="DJ31" s="5">
        <v>41177</v>
      </c>
      <c r="DK31" t="s">
        <v>354</v>
      </c>
      <c r="DL31" t="s">
        <v>354</v>
      </c>
      <c r="DM31" t="s">
        <v>354</v>
      </c>
      <c r="DN31" t="s">
        <v>350</v>
      </c>
      <c r="DO31" t="s">
        <v>358</v>
      </c>
      <c r="DP31" t="s">
        <v>347</v>
      </c>
      <c r="DQ31" t="s">
        <v>354</v>
      </c>
      <c r="DR31">
        <v>40</v>
      </c>
      <c r="DS31" s="5">
        <v>41184</v>
      </c>
      <c r="DT31" t="s">
        <v>354</v>
      </c>
      <c r="DU31" t="s">
        <v>348</v>
      </c>
      <c r="DV31" t="s">
        <v>349</v>
      </c>
      <c r="DW31" t="s">
        <v>350</v>
      </c>
      <c r="DX31" t="s">
        <v>347</v>
      </c>
      <c r="DY31" t="s">
        <v>354</v>
      </c>
      <c r="DZ31" t="s">
        <v>354</v>
      </c>
      <c r="EA31">
        <v>41</v>
      </c>
      <c r="EB31" s="5">
        <v>41191</v>
      </c>
      <c r="EC31" t="s">
        <v>354</v>
      </c>
      <c r="ED31" t="s">
        <v>354</v>
      </c>
      <c r="EE31" t="s">
        <v>350</v>
      </c>
      <c r="EF31" t="s">
        <v>354</v>
      </c>
      <c r="EG31" t="s">
        <v>354</v>
      </c>
      <c r="EH31" t="s">
        <v>348</v>
      </c>
      <c r="EI31" t="s">
        <v>349</v>
      </c>
      <c r="EJ31">
        <v>42</v>
      </c>
      <c r="EK31" s="5">
        <v>41198</v>
      </c>
      <c r="EL31" t="s">
        <v>350</v>
      </c>
      <c r="EM31" t="s">
        <v>347</v>
      </c>
      <c r="EN31" t="s">
        <v>354</v>
      </c>
      <c r="EO31" t="s">
        <v>354</v>
      </c>
      <c r="EP31" t="s">
        <v>348</v>
      </c>
      <c r="EQ31" t="s">
        <v>349</v>
      </c>
      <c r="ER31" t="s">
        <v>350</v>
      </c>
      <c r="ES31">
        <v>43</v>
      </c>
      <c r="ET31" s="5">
        <v>41205</v>
      </c>
      <c r="EU31" t="s">
        <v>347</v>
      </c>
      <c r="EV31" t="s">
        <v>354</v>
      </c>
      <c r="EW31" t="s">
        <v>354</v>
      </c>
      <c r="EX31" t="s">
        <v>354</v>
      </c>
      <c r="EY31" t="s">
        <v>354</v>
      </c>
      <c r="EZ31" t="s">
        <v>350</v>
      </c>
      <c r="FA31" t="s">
        <v>354</v>
      </c>
      <c r="FB31">
        <v>44</v>
      </c>
      <c r="FC31" s="5">
        <v>41212</v>
      </c>
      <c r="FD31" t="s">
        <v>347</v>
      </c>
      <c r="FE31" t="s">
        <v>354</v>
      </c>
      <c r="FF31" t="s">
        <v>348</v>
      </c>
      <c r="FG31" t="s">
        <v>349</v>
      </c>
      <c r="FH31" t="s">
        <v>350</v>
      </c>
      <c r="FI31" t="s">
        <v>347</v>
      </c>
      <c r="FJ31" t="s">
        <v>354</v>
      </c>
    </row>
    <row r="32" spans="1:166">
      <c r="A32" t="s">
        <v>124</v>
      </c>
      <c r="B32" t="s">
        <v>125</v>
      </c>
      <c r="C32" t="s">
        <v>126</v>
      </c>
      <c r="D32">
        <v>2016</v>
      </c>
      <c r="E32">
        <v>27</v>
      </c>
      <c r="F32" s="5">
        <v>41093</v>
      </c>
      <c r="G32" t="s">
        <v>347</v>
      </c>
      <c r="H32" t="s">
        <v>354</v>
      </c>
      <c r="I32" t="s">
        <v>354</v>
      </c>
      <c r="J32" t="s">
        <v>350</v>
      </c>
      <c r="K32" t="s">
        <v>347</v>
      </c>
      <c r="L32" t="s">
        <v>354</v>
      </c>
      <c r="M32" t="s">
        <v>354</v>
      </c>
      <c r="N32">
        <v>28</v>
      </c>
      <c r="O32" s="5">
        <v>41100</v>
      </c>
      <c r="P32" t="s">
        <v>348</v>
      </c>
      <c r="Q32" t="s">
        <v>349</v>
      </c>
      <c r="R32" t="s">
        <v>350</v>
      </c>
      <c r="S32" t="s">
        <v>347</v>
      </c>
      <c r="T32" t="s">
        <v>354</v>
      </c>
      <c r="U32" t="s">
        <v>354</v>
      </c>
      <c r="V32" t="s">
        <v>354</v>
      </c>
      <c r="W32">
        <v>29</v>
      </c>
      <c r="X32" s="5">
        <v>41107</v>
      </c>
      <c r="Y32" t="s">
        <v>351</v>
      </c>
      <c r="Z32" t="s">
        <v>350</v>
      </c>
      <c r="AA32" t="s">
        <v>351</v>
      </c>
      <c r="AB32" t="s">
        <v>351</v>
      </c>
      <c r="AC32" t="s">
        <v>351</v>
      </c>
      <c r="AD32" t="s">
        <v>351</v>
      </c>
      <c r="AE32" t="s">
        <v>351</v>
      </c>
      <c r="AF32">
        <v>30</v>
      </c>
      <c r="AG32" s="5">
        <v>41114</v>
      </c>
      <c r="AH32" t="s">
        <v>350</v>
      </c>
      <c r="AI32" t="s">
        <v>351</v>
      </c>
      <c r="AJ32" t="s">
        <v>351</v>
      </c>
      <c r="AK32" t="s">
        <v>351</v>
      </c>
      <c r="AL32" t="s">
        <v>351</v>
      </c>
      <c r="AM32" t="s">
        <v>351</v>
      </c>
      <c r="AN32" t="s">
        <v>350</v>
      </c>
      <c r="AO32">
        <v>31</v>
      </c>
      <c r="AP32" s="5">
        <v>41121</v>
      </c>
      <c r="AQ32" t="s">
        <v>354</v>
      </c>
      <c r="AR32" t="s">
        <v>354</v>
      </c>
      <c r="AS32" t="s">
        <v>354</v>
      </c>
      <c r="AT32" t="s">
        <v>348</v>
      </c>
      <c r="AU32" t="s">
        <v>349</v>
      </c>
      <c r="AV32" t="s">
        <v>350</v>
      </c>
      <c r="AW32" t="s">
        <v>347</v>
      </c>
      <c r="AX32">
        <v>32</v>
      </c>
      <c r="AY32" s="5">
        <v>41128</v>
      </c>
      <c r="AZ32" t="s">
        <v>354</v>
      </c>
      <c r="BA32" t="s">
        <v>347</v>
      </c>
      <c r="BB32" t="s">
        <v>347</v>
      </c>
      <c r="BC32" t="s">
        <v>354</v>
      </c>
      <c r="BD32" t="s">
        <v>350</v>
      </c>
      <c r="BE32" t="s">
        <v>347</v>
      </c>
      <c r="BF32" t="s">
        <v>347</v>
      </c>
      <c r="BG32">
        <v>33</v>
      </c>
      <c r="BH32" s="5">
        <v>41135</v>
      </c>
      <c r="BI32" t="s">
        <v>354</v>
      </c>
      <c r="BJ32" t="s">
        <v>348</v>
      </c>
      <c r="BK32" t="s">
        <v>349</v>
      </c>
      <c r="BL32" t="s">
        <v>350</v>
      </c>
      <c r="BM32" t="s">
        <v>347</v>
      </c>
      <c r="BN32" t="s">
        <v>354</v>
      </c>
      <c r="BO32" t="s">
        <v>354</v>
      </c>
      <c r="BP32">
        <v>34</v>
      </c>
      <c r="BQ32" s="5">
        <v>41142</v>
      </c>
      <c r="BR32" t="s">
        <v>354</v>
      </c>
      <c r="BS32" t="s">
        <v>354</v>
      </c>
      <c r="BT32" t="s">
        <v>350</v>
      </c>
      <c r="BU32" t="s">
        <v>354</v>
      </c>
      <c r="BV32" t="s">
        <v>354</v>
      </c>
      <c r="BW32" t="s">
        <v>348</v>
      </c>
      <c r="BX32" t="s">
        <v>349</v>
      </c>
      <c r="BY32">
        <v>35</v>
      </c>
      <c r="BZ32" s="5">
        <v>41149</v>
      </c>
      <c r="CA32" t="s">
        <v>350</v>
      </c>
      <c r="CB32" t="s">
        <v>347</v>
      </c>
      <c r="CC32" t="s">
        <v>354</v>
      </c>
      <c r="CD32" t="s">
        <v>354</v>
      </c>
      <c r="CE32" t="s">
        <v>348</v>
      </c>
      <c r="CF32" t="s">
        <v>349</v>
      </c>
      <c r="CG32" t="s">
        <v>350</v>
      </c>
      <c r="CH32">
        <v>36</v>
      </c>
      <c r="CI32" s="5">
        <v>41156</v>
      </c>
      <c r="CJ32" t="s">
        <v>354</v>
      </c>
      <c r="CK32" t="s">
        <v>347</v>
      </c>
      <c r="CL32" t="s">
        <v>354</v>
      </c>
      <c r="CM32" t="s">
        <v>354</v>
      </c>
      <c r="CN32" t="s">
        <v>354</v>
      </c>
      <c r="CO32" t="s">
        <v>350</v>
      </c>
      <c r="CP32" t="s">
        <v>347</v>
      </c>
      <c r="CQ32">
        <v>37</v>
      </c>
      <c r="CR32" s="5">
        <v>41163</v>
      </c>
      <c r="CS32" t="s">
        <v>354</v>
      </c>
      <c r="CT32" t="s">
        <v>354</v>
      </c>
      <c r="CU32" t="s">
        <v>348</v>
      </c>
      <c r="CV32" t="s">
        <v>349</v>
      </c>
      <c r="CW32" t="s">
        <v>350</v>
      </c>
      <c r="CX32" t="s">
        <v>347</v>
      </c>
      <c r="CY32" t="s">
        <v>354</v>
      </c>
      <c r="CZ32">
        <v>38</v>
      </c>
      <c r="DA32" s="5">
        <v>41170</v>
      </c>
      <c r="DB32" t="s">
        <v>354</v>
      </c>
      <c r="DC32" t="s">
        <v>347</v>
      </c>
      <c r="DD32" t="s">
        <v>354</v>
      </c>
      <c r="DE32" t="s">
        <v>350</v>
      </c>
      <c r="DF32" t="s">
        <v>347</v>
      </c>
      <c r="DG32" t="s">
        <v>354</v>
      </c>
      <c r="DH32" t="s">
        <v>354</v>
      </c>
      <c r="DI32">
        <v>39</v>
      </c>
      <c r="DJ32" s="5">
        <v>41177</v>
      </c>
      <c r="DK32" t="s">
        <v>348</v>
      </c>
      <c r="DL32" t="s">
        <v>349</v>
      </c>
      <c r="DM32" t="s">
        <v>350</v>
      </c>
      <c r="DN32" t="s">
        <v>347</v>
      </c>
      <c r="DO32" t="s">
        <v>354</v>
      </c>
      <c r="DP32" t="s">
        <v>358</v>
      </c>
      <c r="DQ32" t="s">
        <v>348</v>
      </c>
      <c r="DR32">
        <v>40</v>
      </c>
      <c r="DS32" s="5">
        <v>41184</v>
      </c>
      <c r="DT32" t="s">
        <v>349</v>
      </c>
      <c r="DU32" t="s">
        <v>350</v>
      </c>
      <c r="DV32" t="s">
        <v>347</v>
      </c>
      <c r="DW32" t="s">
        <v>354</v>
      </c>
      <c r="DX32" t="s">
        <v>354</v>
      </c>
      <c r="DY32" t="s">
        <v>354</v>
      </c>
      <c r="DZ32" t="s">
        <v>347</v>
      </c>
      <c r="EA32">
        <v>41</v>
      </c>
      <c r="EB32" s="5">
        <v>41191</v>
      </c>
      <c r="EC32" t="s">
        <v>350</v>
      </c>
      <c r="ED32" t="s">
        <v>347</v>
      </c>
      <c r="EE32" t="s">
        <v>354</v>
      </c>
      <c r="EF32" t="s">
        <v>347</v>
      </c>
      <c r="EG32" t="s">
        <v>347</v>
      </c>
      <c r="EH32" t="s">
        <v>354</v>
      </c>
      <c r="EI32" t="s">
        <v>350</v>
      </c>
      <c r="EJ32">
        <v>42</v>
      </c>
      <c r="EK32" s="5">
        <v>41198</v>
      </c>
      <c r="EL32" t="s">
        <v>354</v>
      </c>
      <c r="EM32" t="s">
        <v>354</v>
      </c>
      <c r="EN32" t="s">
        <v>354</v>
      </c>
      <c r="EO32" t="s">
        <v>348</v>
      </c>
      <c r="EP32" t="s">
        <v>349</v>
      </c>
      <c r="EQ32" t="s">
        <v>350</v>
      </c>
      <c r="ER32" t="s">
        <v>347</v>
      </c>
      <c r="ES32">
        <v>43</v>
      </c>
      <c r="ET32" s="5">
        <v>41205</v>
      </c>
      <c r="EU32" t="s">
        <v>354</v>
      </c>
      <c r="EV32" t="s">
        <v>347</v>
      </c>
      <c r="EW32" t="s">
        <v>347</v>
      </c>
      <c r="EX32" t="s">
        <v>354</v>
      </c>
      <c r="EY32" t="s">
        <v>350</v>
      </c>
      <c r="EZ32" t="s">
        <v>347</v>
      </c>
      <c r="FA32" t="s">
        <v>347</v>
      </c>
      <c r="FB32">
        <v>44</v>
      </c>
      <c r="FC32" s="5">
        <v>41212</v>
      </c>
      <c r="FD32" t="s">
        <v>354</v>
      </c>
      <c r="FE32" t="s">
        <v>348</v>
      </c>
      <c r="FF32" t="s">
        <v>349</v>
      </c>
      <c r="FG32" t="s">
        <v>350</v>
      </c>
      <c r="FH32" t="s">
        <v>347</v>
      </c>
      <c r="FI32" t="s">
        <v>354</v>
      </c>
      <c r="FJ32" t="s">
        <v>347</v>
      </c>
    </row>
    <row r="33" spans="1:166">
      <c r="A33" t="s">
        <v>127</v>
      </c>
      <c r="B33" t="s">
        <v>128</v>
      </c>
      <c r="C33" t="s">
        <v>129</v>
      </c>
      <c r="D33">
        <v>2016</v>
      </c>
      <c r="E33">
        <v>27</v>
      </c>
      <c r="F33" s="5">
        <v>41093</v>
      </c>
      <c r="G33" t="s">
        <v>353</v>
      </c>
      <c r="H33" t="s">
        <v>353</v>
      </c>
      <c r="I33" t="s">
        <v>352</v>
      </c>
      <c r="J33" t="s">
        <v>353</v>
      </c>
      <c r="K33" t="s">
        <v>350</v>
      </c>
      <c r="L33" t="s">
        <v>352</v>
      </c>
      <c r="M33" t="s">
        <v>353</v>
      </c>
      <c r="N33">
        <v>28</v>
      </c>
      <c r="O33" s="5">
        <v>41100</v>
      </c>
      <c r="P33" t="s">
        <v>351</v>
      </c>
      <c r="Q33" t="s">
        <v>351</v>
      </c>
      <c r="R33" t="s">
        <v>351</v>
      </c>
      <c r="S33" t="s">
        <v>350</v>
      </c>
      <c r="T33" t="s">
        <v>351</v>
      </c>
      <c r="U33" t="s">
        <v>351</v>
      </c>
      <c r="V33" t="s">
        <v>351</v>
      </c>
      <c r="W33">
        <v>29</v>
      </c>
      <c r="X33" s="5">
        <v>41107</v>
      </c>
      <c r="Y33" t="s">
        <v>351</v>
      </c>
      <c r="Z33" t="s">
        <v>351</v>
      </c>
      <c r="AA33" t="s">
        <v>350</v>
      </c>
      <c r="AB33" t="s">
        <v>351</v>
      </c>
      <c r="AC33" t="s">
        <v>351</v>
      </c>
      <c r="AD33" t="s">
        <v>351</v>
      </c>
      <c r="AE33" t="s">
        <v>351</v>
      </c>
      <c r="AF33">
        <v>30</v>
      </c>
      <c r="AG33" s="5">
        <v>41114</v>
      </c>
      <c r="AH33" t="s">
        <v>352</v>
      </c>
      <c r="AI33" t="s">
        <v>350</v>
      </c>
      <c r="AJ33" t="s">
        <v>352</v>
      </c>
      <c r="AK33" t="s">
        <v>353</v>
      </c>
      <c r="AL33" t="s">
        <v>353</v>
      </c>
      <c r="AM33" t="s">
        <v>353</v>
      </c>
      <c r="AN33" t="s">
        <v>353</v>
      </c>
      <c r="AO33">
        <v>31</v>
      </c>
      <c r="AP33" s="5">
        <v>41121</v>
      </c>
      <c r="AQ33" t="s">
        <v>350</v>
      </c>
      <c r="AR33" t="s">
        <v>347</v>
      </c>
      <c r="AS33" t="s">
        <v>354</v>
      </c>
      <c r="AT33" t="s">
        <v>347</v>
      </c>
      <c r="AU33" t="s">
        <v>348</v>
      </c>
      <c r="AV33" t="s">
        <v>349</v>
      </c>
      <c r="AW33" t="s">
        <v>350</v>
      </c>
      <c r="AX33">
        <v>32</v>
      </c>
      <c r="AY33" s="5">
        <v>41128</v>
      </c>
      <c r="AZ33" t="s">
        <v>354</v>
      </c>
      <c r="BA33" t="s">
        <v>354</v>
      </c>
      <c r="BB33" t="s">
        <v>354</v>
      </c>
      <c r="BC33" t="s">
        <v>348</v>
      </c>
      <c r="BD33" t="s">
        <v>349</v>
      </c>
      <c r="BE33" t="s">
        <v>350</v>
      </c>
      <c r="BF33" t="s">
        <v>347</v>
      </c>
      <c r="BG33">
        <v>33</v>
      </c>
      <c r="BH33" s="5">
        <v>41135</v>
      </c>
      <c r="BI33" t="s">
        <v>354</v>
      </c>
      <c r="BJ33" t="s">
        <v>347</v>
      </c>
      <c r="BK33" t="s">
        <v>354</v>
      </c>
      <c r="BL33" t="s">
        <v>354</v>
      </c>
      <c r="BM33" t="s">
        <v>350</v>
      </c>
      <c r="BN33" t="s">
        <v>347</v>
      </c>
      <c r="BO33" t="s">
        <v>347</v>
      </c>
      <c r="BP33">
        <v>34</v>
      </c>
      <c r="BQ33" s="5">
        <v>41142</v>
      </c>
      <c r="BR33" t="s">
        <v>354</v>
      </c>
      <c r="BS33" t="s">
        <v>348</v>
      </c>
      <c r="BT33" t="s">
        <v>349</v>
      </c>
      <c r="BU33" t="s">
        <v>350</v>
      </c>
      <c r="BV33" t="s">
        <v>347</v>
      </c>
      <c r="BW33" t="s">
        <v>354</v>
      </c>
      <c r="BX33" t="s">
        <v>354</v>
      </c>
      <c r="BY33">
        <v>35</v>
      </c>
      <c r="BZ33" s="5">
        <v>41149</v>
      </c>
      <c r="CA33" t="s">
        <v>354</v>
      </c>
      <c r="CB33" t="s">
        <v>354</v>
      </c>
      <c r="CC33" t="s">
        <v>350</v>
      </c>
      <c r="CD33" t="s">
        <v>354</v>
      </c>
      <c r="CE33" t="s">
        <v>354</v>
      </c>
      <c r="CF33" t="s">
        <v>348</v>
      </c>
      <c r="CG33" t="s">
        <v>349</v>
      </c>
      <c r="CH33">
        <v>36</v>
      </c>
      <c r="CI33" s="5">
        <v>41156</v>
      </c>
      <c r="CJ33" t="s">
        <v>349</v>
      </c>
      <c r="CK33" t="s">
        <v>350</v>
      </c>
      <c r="CL33" t="s">
        <v>347</v>
      </c>
      <c r="CM33" t="s">
        <v>354</v>
      </c>
      <c r="CN33" t="s">
        <v>348</v>
      </c>
      <c r="CO33" t="s">
        <v>349</v>
      </c>
      <c r="CP33" t="s">
        <v>350</v>
      </c>
      <c r="CQ33">
        <v>37</v>
      </c>
      <c r="CR33" s="5">
        <v>41163</v>
      </c>
      <c r="CS33" t="s">
        <v>347</v>
      </c>
      <c r="CT33" t="s">
        <v>354</v>
      </c>
      <c r="CU33" t="s">
        <v>347</v>
      </c>
      <c r="CV33" t="s">
        <v>354</v>
      </c>
      <c r="CW33" t="s">
        <v>354</v>
      </c>
      <c r="CX33" t="s">
        <v>350</v>
      </c>
      <c r="CY33" t="s">
        <v>347</v>
      </c>
      <c r="CZ33">
        <v>38</v>
      </c>
      <c r="DA33" s="5">
        <v>41170</v>
      </c>
      <c r="DB33" t="s">
        <v>354</v>
      </c>
      <c r="DC33" t="s">
        <v>354</v>
      </c>
      <c r="DD33" t="s">
        <v>348</v>
      </c>
      <c r="DE33" t="s">
        <v>349</v>
      </c>
      <c r="DF33" t="s">
        <v>350</v>
      </c>
      <c r="DG33" t="s">
        <v>347</v>
      </c>
      <c r="DH33" t="s">
        <v>347</v>
      </c>
      <c r="DI33">
        <v>39</v>
      </c>
      <c r="DJ33" s="5">
        <v>41177</v>
      </c>
      <c r="DK33" t="s">
        <v>354</v>
      </c>
      <c r="DL33" t="s">
        <v>347</v>
      </c>
      <c r="DM33" t="s">
        <v>354</v>
      </c>
      <c r="DN33" t="s">
        <v>350</v>
      </c>
      <c r="DO33" t="s">
        <v>347</v>
      </c>
      <c r="DP33" t="s">
        <v>354</v>
      </c>
      <c r="DQ33" t="s">
        <v>347</v>
      </c>
      <c r="DR33">
        <v>40</v>
      </c>
      <c r="DS33" s="5">
        <v>41184</v>
      </c>
      <c r="DT33" t="s">
        <v>347</v>
      </c>
      <c r="DU33" t="s">
        <v>347</v>
      </c>
      <c r="DV33" t="s">
        <v>350</v>
      </c>
      <c r="DW33" t="s">
        <v>354</v>
      </c>
      <c r="DX33" t="s">
        <v>354</v>
      </c>
      <c r="DY33" t="s">
        <v>347</v>
      </c>
      <c r="DZ33" t="s">
        <v>354</v>
      </c>
      <c r="EA33">
        <v>41</v>
      </c>
      <c r="EB33" s="5">
        <v>41191</v>
      </c>
      <c r="EC33" t="s">
        <v>354</v>
      </c>
      <c r="ED33" t="s">
        <v>350</v>
      </c>
      <c r="EE33" t="s">
        <v>347</v>
      </c>
      <c r="EF33" t="s">
        <v>354</v>
      </c>
      <c r="EG33" t="s">
        <v>347</v>
      </c>
      <c r="EH33" t="s">
        <v>354</v>
      </c>
      <c r="EI33" t="s">
        <v>354</v>
      </c>
      <c r="EJ33">
        <v>42</v>
      </c>
      <c r="EK33" s="5">
        <v>41198</v>
      </c>
      <c r="EL33" t="s">
        <v>350</v>
      </c>
      <c r="EM33" t="s">
        <v>354</v>
      </c>
      <c r="EN33" t="s">
        <v>354</v>
      </c>
      <c r="EO33" t="s">
        <v>347</v>
      </c>
      <c r="EP33" t="s">
        <v>354</v>
      </c>
      <c r="EQ33" t="s">
        <v>354</v>
      </c>
      <c r="ER33" t="s">
        <v>350</v>
      </c>
      <c r="ES33">
        <v>43</v>
      </c>
      <c r="ET33" s="5">
        <v>41205</v>
      </c>
      <c r="EU33" t="s">
        <v>354</v>
      </c>
      <c r="EV33" t="s">
        <v>347</v>
      </c>
      <c r="EW33" t="s">
        <v>354</v>
      </c>
      <c r="EX33" t="s">
        <v>347</v>
      </c>
      <c r="EY33" t="s">
        <v>354</v>
      </c>
      <c r="EZ33" t="s">
        <v>350</v>
      </c>
      <c r="FA33" t="s">
        <v>354</v>
      </c>
      <c r="FB33">
        <v>44</v>
      </c>
      <c r="FC33" s="5">
        <v>41212</v>
      </c>
      <c r="FD33" t="s">
        <v>354</v>
      </c>
      <c r="FE33" t="s">
        <v>347</v>
      </c>
      <c r="FF33" t="s">
        <v>354</v>
      </c>
      <c r="FG33" t="s">
        <v>354</v>
      </c>
      <c r="FH33" t="s">
        <v>350</v>
      </c>
      <c r="FI33" t="s">
        <v>347</v>
      </c>
      <c r="FJ33" t="s">
        <v>347</v>
      </c>
    </row>
    <row r="34" spans="1:166">
      <c r="BZ34" s="5"/>
    </row>
    <row r="35" spans="1:166">
      <c r="BZ35" s="5"/>
    </row>
    <row r="36" spans="1:166">
      <c r="D36" s="7" t="s">
        <v>483</v>
      </c>
      <c r="E36" s="5"/>
      <c r="F36" s="5" t="s">
        <v>484</v>
      </c>
      <c r="G36" s="5"/>
      <c r="H36" s="5" t="s">
        <v>485</v>
      </c>
      <c r="I36" s="5"/>
      <c r="J36" t="s">
        <v>486</v>
      </c>
      <c r="L36" t="s">
        <v>487</v>
      </c>
      <c r="N36" t="s">
        <v>488</v>
      </c>
      <c r="P36" t="s">
        <v>489</v>
      </c>
      <c r="R36" t="s">
        <v>501</v>
      </c>
      <c r="T36" t="s">
        <v>512</v>
      </c>
      <c r="V36" t="s">
        <v>520</v>
      </c>
      <c r="X36" t="s">
        <v>540</v>
      </c>
      <c r="Z36" t="s">
        <v>552</v>
      </c>
      <c r="AB36" t="s">
        <v>563</v>
      </c>
      <c r="AD36" t="s">
        <v>578</v>
      </c>
      <c r="AF36" t="s">
        <v>583</v>
      </c>
      <c r="AH36" t="s">
        <v>585</v>
      </c>
      <c r="AJ36" t="s">
        <v>589</v>
      </c>
      <c r="AL36" t="s">
        <v>592</v>
      </c>
      <c r="BZ36" s="5"/>
    </row>
    <row r="37" spans="1:166">
      <c r="A37" t="str">
        <f>A2</f>
        <v>1</v>
      </c>
      <c r="B37" t="str">
        <f t="shared" ref="B37:C37" si="0">B2</f>
        <v>Alaimo</v>
      </c>
      <c r="C37" t="str">
        <f t="shared" si="0"/>
        <v>Dorella</v>
      </c>
      <c r="D37" s="8" t="s">
        <v>372</v>
      </c>
      <c r="E37" s="2">
        <v>1.5833333333333333</v>
      </c>
      <c r="F37" t="s">
        <v>402</v>
      </c>
      <c r="G37" s="2">
        <v>1.5833333333333333</v>
      </c>
      <c r="H37" t="s">
        <v>379</v>
      </c>
      <c r="I37" s="2">
        <v>1.2916666666666667</v>
      </c>
      <c r="J37" t="s">
        <v>436</v>
      </c>
      <c r="K37" s="2">
        <v>1.75</v>
      </c>
      <c r="L37" t="s">
        <v>432</v>
      </c>
      <c r="M37" s="2">
        <v>1.5833333333333333</v>
      </c>
      <c r="N37" t="s">
        <v>470</v>
      </c>
      <c r="O37" s="2">
        <v>1.75</v>
      </c>
      <c r="P37" t="s">
        <v>388</v>
      </c>
      <c r="Q37" s="2">
        <v>1.7083333333333333</v>
      </c>
      <c r="R37" t="s">
        <v>456</v>
      </c>
      <c r="S37" s="2">
        <v>1.4583333333333333</v>
      </c>
      <c r="T37" t="s">
        <v>511</v>
      </c>
      <c r="U37" s="2">
        <v>1.4583333333333333</v>
      </c>
      <c r="V37" t="s">
        <v>519</v>
      </c>
      <c r="W37" s="2">
        <v>1.5833333333333333</v>
      </c>
      <c r="X37" t="s">
        <v>539</v>
      </c>
      <c r="Y37" s="2">
        <v>1.75</v>
      </c>
      <c r="Z37" t="s">
        <v>372</v>
      </c>
      <c r="AA37" s="2">
        <v>1.5833333333333333</v>
      </c>
      <c r="AB37" t="s">
        <v>562</v>
      </c>
      <c r="AC37" s="2">
        <v>1.5833333333333333</v>
      </c>
      <c r="AD37" t="s">
        <v>396</v>
      </c>
      <c r="AE37" s="2">
        <v>1.2916666666666667</v>
      </c>
      <c r="AF37" t="s">
        <v>467</v>
      </c>
      <c r="AG37" s="2">
        <v>1.75</v>
      </c>
      <c r="AH37" t="s">
        <v>432</v>
      </c>
      <c r="AI37" s="2">
        <v>1.5833333333333333</v>
      </c>
      <c r="AJ37" t="s">
        <v>588</v>
      </c>
      <c r="AK37" s="2">
        <v>1.75</v>
      </c>
      <c r="AL37" t="s">
        <v>388</v>
      </c>
      <c r="AM37" s="2">
        <v>1.7083333333333333</v>
      </c>
      <c r="BZ37" s="5"/>
    </row>
    <row r="38" spans="1:166">
      <c r="A38" t="str">
        <f t="shared" ref="A38:C38" si="1">A3</f>
        <v>2</v>
      </c>
      <c r="B38" t="str">
        <f t="shared" si="1"/>
        <v>Canino</v>
      </c>
      <c r="C38" t="str">
        <f t="shared" si="1"/>
        <v>Gaetana</v>
      </c>
      <c r="D38" s="8" t="s">
        <v>373</v>
      </c>
      <c r="E38" s="2">
        <v>1.4583333333333333</v>
      </c>
      <c r="F38" t="s">
        <v>403</v>
      </c>
      <c r="G38" s="2">
        <v>1.5555555555555556</v>
      </c>
      <c r="H38" t="s">
        <v>420</v>
      </c>
      <c r="I38" s="2">
        <v>1.75</v>
      </c>
      <c r="J38" t="s">
        <v>380</v>
      </c>
      <c r="K38" s="2">
        <v>1.5833333333333333</v>
      </c>
      <c r="L38" t="s">
        <v>451</v>
      </c>
      <c r="M38" s="2">
        <v>1.75</v>
      </c>
      <c r="N38" t="s">
        <v>471</v>
      </c>
      <c r="O38" s="2">
        <v>1.7083333333333333</v>
      </c>
      <c r="P38" t="s">
        <v>490</v>
      </c>
      <c r="Q38" s="2">
        <v>1.4583333333333333</v>
      </c>
      <c r="R38" t="s">
        <v>502</v>
      </c>
      <c r="S38" s="2">
        <v>1.75</v>
      </c>
      <c r="T38" t="s">
        <v>513</v>
      </c>
      <c r="U38" s="2">
        <v>1.2916666666666667</v>
      </c>
      <c r="V38" t="s">
        <v>521</v>
      </c>
      <c r="W38" s="2">
        <v>1.75</v>
      </c>
      <c r="X38" t="s">
        <v>384</v>
      </c>
      <c r="Y38" s="2">
        <v>1.5833333333333333</v>
      </c>
      <c r="Z38" t="s">
        <v>393</v>
      </c>
      <c r="AA38" s="2">
        <v>1.5833333333333333</v>
      </c>
      <c r="AB38" t="s">
        <v>379</v>
      </c>
      <c r="AC38" s="2">
        <v>1.2916666666666667</v>
      </c>
      <c r="AD38" t="s">
        <v>467</v>
      </c>
      <c r="AE38" s="2">
        <v>1.75</v>
      </c>
      <c r="AF38" t="s">
        <v>432</v>
      </c>
      <c r="AG38" s="2">
        <v>1.5833333333333333</v>
      </c>
      <c r="AH38" t="s">
        <v>477</v>
      </c>
      <c r="AI38" s="2">
        <v>1.75</v>
      </c>
      <c r="AJ38" t="s">
        <v>388</v>
      </c>
      <c r="AK38" s="2">
        <v>1.7083333333333333</v>
      </c>
      <c r="AL38" t="s">
        <v>456</v>
      </c>
      <c r="AM38" s="2">
        <v>1.4583333333333333</v>
      </c>
      <c r="BZ38" s="5"/>
    </row>
    <row r="39" spans="1:166">
      <c r="A39" t="str">
        <f t="shared" ref="A39:C39" si="2">A4</f>
        <v>3</v>
      </c>
      <c r="B39" t="str">
        <f t="shared" si="2"/>
        <v>Canzoneri</v>
      </c>
      <c r="C39" t="str">
        <f t="shared" si="2"/>
        <v>Domenica</v>
      </c>
      <c r="D39" s="8" t="s">
        <v>374</v>
      </c>
      <c r="E39" s="2">
        <v>1.8194444444444444</v>
      </c>
      <c r="F39" t="s">
        <v>404</v>
      </c>
      <c r="G39" s="2">
        <v>1.4583333333333333</v>
      </c>
      <c r="H39" t="s">
        <v>417</v>
      </c>
      <c r="I39" s="2">
        <v>1.4583333333333333</v>
      </c>
      <c r="J39" t="s">
        <v>437</v>
      </c>
      <c r="K39" s="2">
        <v>1.75</v>
      </c>
      <c r="L39" t="s">
        <v>452</v>
      </c>
      <c r="M39" s="2">
        <v>1.75</v>
      </c>
      <c r="N39" t="s">
        <v>384</v>
      </c>
      <c r="O39" s="2">
        <v>1.5833333333333333</v>
      </c>
      <c r="P39" t="s">
        <v>491</v>
      </c>
      <c r="Q39" s="2">
        <v>1.5833333333333333</v>
      </c>
      <c r="R39" t="s">
        <v>396</v>
      </c>
      <c r="S39" s="2">
        <v>1.2916666666666667</v>
      </c>
      <c r="T39" t="s">
        <v>467</v>
      </c>
      <c r="U39" s="2">
        <v>1.75</v>
      </c>
      <c r="V39" t="s">
        <v>522</v>
      </c>
      <c r="W39" s="2">
        <v>1.2916666666666667</v>
      </c>
      <c r="X39" t="s">
        <v>533</v>
      </c>
      <c r="Y39" s="2">
        <v>1.75</v>
      </c>
      <c r="Z39" t="s">
        <v>388</v>
      </c>
      <c r="AA39" s="2">
        <v>1.7083333333333333</v>
      </c>
      <c r="AB39" t="s">
        <v>474</v>
      </c>
      <c r="AC39" s="2">
        <v>1.4583333333333333</v>
      </c>
      <c r="AD39" t="s">
        <v>511</v>
      </c>
      <c r="AE39" s="2">
        <v>1.4583333333333333</v>
      </c>
      <c r="AF39" t="s">
        <v>375</v>
      </c>
      <c r="AG39" s="2">
        <v>1.5833333333333333</v>
      </c>
      <c r="AH39" t="s">
        <v>462</v>
      </c>
      <c r="AI39" s="2">
        <v>1.75</v>
      </c>
      <c r="AJ39" t="s">
        <v>384</v>
      </c>
      <c r="AK39" s="2">
        <v>1.5833333333333333</v>
      </c>
      <c r="AL39" t="s">
        <v>472</v>
      </c>
      <c r="AM39" s="2">
        <v>1.5833333333333333</v>
      </c>
      <c r="BZ39" s="5"/>
    </row>
    <row r="40" spans="1:166">
      <c r="A40" t="str">
        <f t="shared" ref="A40:C40" si="3">A5</f>
        <v>4</v>
      </c>
      <c r="B40" t="str">
        <f t="shared" si="3"/>
        <v>Carbone</v>
      </c>
      <c r="C40" t="str">
        <f t="shared" si="3"/>
        <v>Maria Rita</v>
      </c>
      <c r="D40" s="8" t="s">
        <v>375</v>
      </c>
      <c r="E40" s="2">
        <v>1.5833333333333333</v>
      </c>
      <c r="F40" t="s">
        <v>380</v>
      </c>
      <c r="G40" s="2">
        <v>1.5833333333333333</v>
      </c>
      <c r="H40" t="s">
        <v>384</v>
      </c>
      <c r="I40" s="2">
        <v>1.5833333333333333</v>
      </c>
      <c r="J40" t="s">
        <v>421</v>
      </c>
      <c r="K40" s="2">
        <v>1.75</v>
      </c>
      <c r="L40" t="s">
        <v>384</v>
      </c>
      <c r="M40" s="2">
        <v>1.5833333333333333</v>
      </c>
      <c r="N40" t="s">
        <v>472</v>
      </c>
      <c r="O40" s="2">
        <v>1.5833333333333333</v>
      </c>
      <c r="P40" t="s">
        <v>492</v>
      </c>
      <c r="Q40" s="2">
        <v>1.4583333333333333</v>
      </c>
      <c r="R40" t="s">
        <v>503</v>
      </c>
      <c r="S40" s="2">
        <v>1.75</v>
      </c>
      <c r="T40" t="s">
        <v>432</v>
      </c>
      <c r="U40" s="2">
        <v>1.5833333333333333</v>
      </c>
      <c r="V40" t="s">
        <v>523</v>
      </c>
      <c r="W40" s="2">
        <v>1.75</v>
      </c>
      <c r="X40" t="s">
        <v>388</v>
      </c>
      <c r="Y40" s="2">
        <v>1.7083333333333333</v>
      </c>
      <c r="Z40" t="s">
        <v>415</v>
      </c>
      <c r="AA40" s="2">
        <v>1.4583333333333333</v>
      </c>
      <c r="AB40" t="s">
        <v>390</v>
      </c>
      <c r="AC40" s="2">
        <v>1.4583333333333333</v>
      </c>
      <c r="AD40" t="s">
        <v>375</v>
      </c>
      <c r="AE40" s="2">
        <v>1.5833333333333333</v>
      </c>
      <c r="AF40" t="s">
        <v>462</v>
      </c>
      <c r="AG40" s="2">
        <v>1.75</v>
      </c>
      <c r="AH40" t="s">
        <v>384</v>
      </c>
      <c r="AI40" s="2">
        <v>1.5833333333333333</v>
      </c>
      <c r="AJ40" t="s">
        <v>472</v>
      </c>
      <c r="AK40" s="2">
        <v>1.5833333333333333</v>
      </c>
      <c r="AL40" t="s">
        <v>396</v>
      </c>
      <c r="AM40" s="2">
        <v>1.2916666666666667</v>
      </c>
      <c r="BZ40" s="5"/>
    </row>
    <row r="41" spans="1:166">
      <c r="A41" t="str">
        <f t="shared" ref="A41:C41" si="4">A6</f>
        <v>5</v>
      </c>
      <c r="B41" t="str">
        <f t="shared" si="4"/>
        <v>Carollo</v>
      </c>
      <c r="C41" t="str">
        <f t="shared" si="4"/>
        <v>Maria</v>
      </c>
      <c r="D41" s="8" t="s">
        <v>376</v>
      </c>
      <c r="E41" s="2">
        <v>1.4583333333333333</v>
      </c>
      <c r="F41" t="s">
        <v>394</v>
      </c>
      <c r="G41" s="2">
        <v>1.5833333333333333</v>
      </c>
      <c r="H41" t="s">
        <v>380</v>
      </c>
      <c r="I41" s="2">
        <v>1.5833333333333333</v>
      </c>
      <c r="J41" t="s">
        <v>384</v>
      </c>
      <c r="K41" s="2">
        <v>1.5833333333333333</v>
      </c>
      <c r="L41" t="s">
        <v>446</v>
      </c>
      <c r="M41" s="2">
        <v>1.5833333333333333</v>
      </c>
      <c r="N41" t="s">
        <v>417</v>
      </c>
      <c r="O41" s="2">
        <v>1.4583333333333333</v>
      </c>
      <c r="P41" t="s">
        <v>381</v>
      </c>
      <c r="Q41" s="2">
        <v>1.75</v>
      </c>
      <c r="R41" t="s">
        <v>504</v>
      </c>
      <c r="S41" s="2">
        <v>1.5833333333333333</v>
      </c>
      <c r="T41" t="s">
        <v>477</v>
      </c>
      <c r="U41" s="2">
        <v>1.75</v>
      </c>
      <c r="V41" t="s">
        <v>388</v>
      </c>
      <c r="W41" s="2">
        <v>1.7083333333333333</v>
      </c>
      <c r="X41" t="s">
        <v>434</v>
      </c>
      <c r="Y41" s="2">
        <v>1.4583333333333333</v>
      </c>
      <c r="Z41" t="s">
        <v>389</v>
      </c>
      <c r="AA41" s="2">
        <v>1.4583333333333333</v>
      </c>
      <c r="AB41" t="s">
        <v>394</v>
      </c>
      <c r="AC41" s="2">
        <v>1.5833333333333333</v>
      </c>
      <c r="AD41" t="s">
        <v>462</v>
      </c>
      <c r="AE41" s="2">
        <v>1.75</v>
      </c>
      <c r="AF41" t="s">
        <v>384</v>
      </c>
      <c r="AG41" s="2">
        <v>1.5833333333333333</v>
      </c>
      <c r="AH41" t="s">
        <v>472</v>
      </c>
      <c r="AI41" s="2">
        <v>1.5833333333333333</v>
      </c>
      <c r="AJ41" t="s">
        <v>396</v>
      </c>
      <c r="AK41" s="2">
        <v>1.2916666666666667</v>
      </c>
      <c r="AL41" t="s">
        <v>467</v>
      </c>
      <c r="AM41" s="2">
        <v>1.75</v>
      </c>
      <c r="BZ41" s="5"/>
    </row>
    <row r="42" spans="1:166">
      <c r="A42" t="str">
        <f t="shared" ref="A42:C42" si="5">A7</f>
        <v>6</v>
      </c>
      <c r="B42" t="str">
        <f t="shared" si="5"/>
        <v>Conti</v>
      </c>
      <c r="C42" t="str">
        <f t="shared" si="5"/>
        <v>Rosaria</v>
      </c>
      <c r="D42" s="8" t="s">
        <v>377</v>
      </c>
      <c r="E42" s="2">
        <v>1.4583333333333333</v>
      </c>
      <c r="F42" t="s">
        <v>405</v>
      </c>
      <c r="G42" s="2">
        <v>1.75</v>
      </c>
      <c r="H42" t="s">
        <v>424</v>
      </c>
      <c r="I42" s="2">
        <v>1.5833333333333333</v>
      </c>
      <c r="J42" t="s">
        <v>438</v>
      </c>
      <c r="K42" s="2">
        <v>1.5833333333333333</v>
      </c>
      <c r="L42" t="s">
        <v>453</v>
      </c>
      <c r="M42" s="2">
        <v>1.5833333333333333</v>
      </c>
      <c r="N42" t="s">
        <v>473</v>
      </c>
      <c r="O42" s="2">
        <v>1.6388888888888891</v>
      </c>
      <c r="P42" t="s">
        <v>493</v>
      </c>
      <c r="Q42" s="2">
        <v>1.4583333333333333</v>
      </c>
      <c r="R42" t="s">
        <v>505</v>
      </c>
      <c r="S42" s="2">
        <v>1.75</v>
      </c>
      <c r="T42" t="s">
        <v>514</v>
      </c>
      <c r="U42" s="2">
        <v>1.5833333333333333</v>
      </c>
      <c r="V42" t="s">
        <v>524</v>
      </c>
      <c r="W42" s="2">
        <v>1.75</v>
      </c>
      <c r="X42" t="s">
        <v>421</v>
      </c>
      <c r="Y42" s="2">
        <v>1.75</v>
      </c>
      <c r="Z42" t="s">
        <v>433</v>
      </c>
      <c r="AA42" s="2">
        <v>1.75</v>
      </c>
      <c r="AB42" t="s">
        <v>564</v>
      </c>
      <c r="AC42" s="2">
        <v>1.4583333333333333</v>
      </c>
      <c r="AD42" t="s">
        <v>481</v>
      </c>
      <c r="AE42" s="2">
        <v>1.75</v>
      </c>
      <c r="AF42" t="s">
        <v>412</v>
      </c>
      <c r="AG42" s="2">
        <v>1.75</v>
      </c>
      <c r="AH42" t="s">
        <v>579</v>
      </c>
      <c r="AI42" s="2">
        <v>1.75</v>
      </c>
      <c r="AJ42" t="s">
        <v>580</v>
      </c>
      <c r="AK42" s="2">
        <v>1.75</v>
      </c>
      <c r="AL42" t="s">
        <v>582</v>
      </c>
      <c r="AM42" s="2">
        <v>1.75</v>
      </c>
      <c r="BZ42" s="5"/>
    </row>
    <row r="43" spans="1:166">
      <c r="A43" t="str">
        <f t="shared" ref="A43:C43" si="6">A8</f>
        <v>7</v>
      </c>
      <c r="B43" t="str">
        <f t="shared" si="6"/>
        <v>Conti</v>
      </c>
      <c r="C43" t="str">
        <f t="shared" si="6"/>
        <v>V</v>
      </c>
      <c r="D43" s="8" t="s">
        <v>378</v>
      </c>
      <c r="E43" s="2">
        <v>1.2916666666666667</v>
      </c>
      <c r="F43" t="s">
        <v>406</v>
      </c>
      <c r="G43" s="2">
        <v>1.4583333333333333</v>
      </c>
      <c r="H43" t="s">
        <v>375</v>
      </c>
      <c r="I43" s="2">
        <v>1.5833333333333333</v>
      </c>
      <c r="J43" t="s">
        <v>439</v>
      </c>
      <c r="K43" s="2">
        <v>1.75</v>
      </c>
      <c r="L43" t="s">
        <v>454</v>
      </c>
      <c r="M43" s="2">
        <v>1.5833333333333333</v>
      </c>
      <c r="N43" t="s">
        <v>388</v>
      </c>
      <c r="O43" s="2">
        <v>1.7083333333333333</v>
      </c>
      <c r="P43" t="s">
        <v>456</v>
      </c>
      <c r="Q43" s="2">
        <v>1.4583333333333333</v>
      </c>
      <c r="R43" t="s">
        <v>502</v>
      </c>
      <c r="S43" s="2">
        <v>1.75</v>
      </c>
      <c r="T43" t="s">
        <v>513</v>
      </c>
      <c r="U43" s="2">
        <v>1.2916666666666667</v>
      </c>
      <c r="V43" t="s">
        <v>408</v>
      </c>
      <c r="W43" s="2">
        <v>1.75</v>
      </c>
      <c r="X43" t="s">
        <v>423</v>
      </c>
      <c r="Y43" s="2">
        <v>1.75</v>
      </c>
      <c r="Z43" t="s">
        <v>553</v>
      </c>
      <c r="AA43" s="2">
        <v>1.75</v>
      </c>
      <c r="AB43" t="s">
        <v>565</v>
      </c>
      <c r="AC43" s="2">
        <v>1.75</v>
      </c>
      <c r="AD43" t="s">
        <v>466</v>
      </c>
      <c r="AE43" s="2">
        <v>1.4583333333333333</v>
      </c>
      <c r="AF43" t="s">
        <v>481</v>
      </c>
      <c r="AG43" s="2">
        <v>1.75</v>
      </c>
      <c r="AH43" t="s">
        <v>412</v>
      </c>
      <c r="AI43" s="2">
        <v>1.75</v>
      </c>
      <c r="AJ43" t="s">
        <v>579</v>
      </c>
      <c r="AK43" s="2">
        <v>1.75</v>
      </c>
      <c r="AL43" t="s">
        <v>580</v>
      </c>
      <c r="AM43" s="2">
        <v>1.75</v>
      </c>
      <c r="BZ43" s="5"/>
    </row>
    <row r="44" spans="1:166">
      <c r="A44" t="str">
        <f t="shared" ref="A44:C44" si="7">A9</f>
        <v>8</v>
      </c>
      <c r="B44" t="str">
        <f t="shared" si="7"/>
        <v>Cottone</v>
      </c>
      <c r="C44" t="str">
        <f t="shared" si="7"/>
        <v>Francesco</v>
      </c>
      <c r="D44" s="8" t="s">
        <v>379</v>
      </c>
      <c r="E44" s="2">
        <v>1.2916666666666667</v>
      </c>
      <c r="F44" t="s">
        <v>407</v>
      </c>
      <c r="G44" s="2">
        <v>1.75</v>
      </c>
      <c r="H44" t="s">
        <v>408</v>
      </c>
      <c r="I44" s="2">
        <v>1.75</v>
      </c>
      <c r="J44" t="s">
        <v>423</v>
      </c>
      <c r="K44" s="2">
        <v>1.75</v>
      </c>
      <c r="L44" t="s">
        <v>455</v>
      </c>
      <c r="M44" s="2">
        <v>1.7083333333333333</v>
      </c>
      <c r="N44" t="s">
        <v>474</v>
      </c>
      <c r="O44" s="2">
        <v>1.4583333333333333</v>
      </c>
      <c r="P44" t="s">
        <v>469</v>
      </c>
      <c r="Q44" s="2">
        <v>1.2916666666666667</v>
      </c>
      <c r="R44" t="s">
        <v>375</v>
      </c>
      <c r="S44" s="2">
        <v>1.5833333333333333</v>
      </c>
      <c r="T44" t="s">
        <v>462</v>
      </c>
      <c r="U44" s="2">
        <v>1.75</v>
      </c>
      <c r="V44" t="s">
        <v>430</v>
      </c>
      <c r="W44" s="2">
        <v>1.5833333333333333</v>
      </c>
      <c r="X44" t="s">
        <v>393</v>
      </c>
      <c r="Y44" s="2">
        <v>1.5833333333333333</v>
      </c>
      <c r="Z44" t="s">
        <v>379</v>
      </c>
      <c r="AA44" s="2">
        <v>1.2916666666666667</v>
      </c>
      <c r="AB44" t="s">
        <v>551</v>
      </c>
      <c r="AC44" s="2">
        <v>1.75</v>
      </c>
      <c r="AD44" t="s">
        <v>432</v>
      </c>
      <c r="AE44" s="2">
        <v>1.5833333333333333</v>
      </c>
      <c r="AF44" t="s">
        <v>477</v>
      </c>
      <c r="AG44" s="2">
        <v>1.75</v>
      </c>
      <c r="AH44" t="s">
        <v>388</v>
      </c>
      <c r="AI44" s="2">
        <v>1.7083333333333333</v>
      </c>
      <c r="AJ44" t="s">
        <v>456</v>
      </c>
      <c r="AK44" s="2">
        <v>1.4583333333333333</v>
      </c>
      <c r="AL44" t="s">
        <v>511</v>
      </c>
      <c r="AM44" s="2">
        <v>1.4583333333333333</v>
      </c>
      <c r="BZ44" s="5"/>
    </row>
    <row r="45" spans="1:166">
      <c r="A45" t="str">
        <f t="shared" ref="A45:C45" si="8">A10</f>
        <v>9</v>
      </c>
      <c r="B45" t="str">
        <f t="shared" si="8"/>
        <v>Custode</v>
      </c>
      <c r="C45" t="str">
        <f t="shared" si="8"/>
        <v>Franca Maria</v>
      </c>
      <c r="D45" s="8" t="s">
        <v>380</v>
      </c>
      <c r="E45" s="2">
        <v>1.5833333333333333</v>
      </c>
      <c r="F45" t="s">
        <v>398</v>
      </c>
      <c r="G45" s="2">
        <v>1.75</v>
      </c>
      <c r="H45" t="s">
        <v>422</v>
      </c>
      <c r="I45" s="2">
        <v>1.5833333333333333</v>
      </c>
      <c r="J45" t="s">
        <v>433</v>
      </c>
      <c r="K45" s="2">
        <v>1.75</v>
      </c>
      <c r="L45" t="s">
        <v>417</v>
      </c>
      <c r="M45" s="2">
        <v>1.4583333333333333</v>
      </c>
      <c r="N45" t="s">
        <v>375</v>
      </c>
      <c r="O45" s="2">
        <v>1.5833333333333333</v>
      </c>
      <c r="P45" t="s">
        <v>462</v>
      </c>
      <c r="Q45" s="2">
        <v>1.75</v>
      </c>
      <c r="R45" t="s">
        <v>384</v>
      </c>
      <c r="S45" s="2">
        <v>1.5833333333333333</v>
      </c>
      <c r="T45" t="s">
        <v>515</v>
      </c>
      <c r="U45" s="2">
        <v>1.4166666666666667</v>
      </c>
      <c r="V45" t="s">
        <v>396</v>
      </c>
      <c r="W45" s="2">
        <v>1.2916666666666667</v>
      </c>
      <c r="X45" t="s">
        <v>532</v>
      </c>
      <c r="Y45" s="2">
        <v>1.75</v>
      </c>
      <c r="Z45" t="s">
        <v>380</v>
      </c>
      <c r="AA45" s="2">
        <v>1.5833333333333333</v>
      </c>
      <c r="AB45" t="s">
        <v>400</v>
      </c>
      <c r="AC45" s="2">
        <v>1.75</v>
      </c>
      <c r="AD45" t="s">
        <v>388</v>
      </c>
      <c r="AE45" s="2">
        <v>1.7083333333333333</v>
      </c>
      <c r="AF45" t="s">
        <v>456</v>
      </c>
      <c r="AG45" s="2">
        <v>1.4583333333333333</v>
      </c>
      <c r="AH45" t="s">
        <v>511</v>
      </c>
      <c r="AI45" s="2">
        <v>1.4583333333333333</v>
      </c>
      <c r="AJ45" t="s">
        <v>375</v>
      </c>
      <c r="AK45" s="2">
        <v>1.5833333333333333</v>
      </c>
      <c r="AL45" t="s">
        <v>462</v>
      </c>
      <c r="AM45" s="2">
        <v>1.75</v>
      </c>
      <c r="BZ45" s="5"/>
    </row>
    <row r="46" spans="1:166">
      <c r="A46" t="str">
        <f t="shared" ref="A46:C46" si="9">A11</f>
        <v>10</v>
      </c>
      <c r="B46" t="str">
        <f t="shared" si="9"/>
        <v>Di Marco</v>
      </c>
      <c r="C46" t="str">
        <f t="shared" si="9"/>
        <v>Fortunata</v>
      </c>
      <c r="D46" s="8" t="s">
        <v>381</v>
      </c>
      <c r="E46" s="2">
        <v>1.75</v>
      </c>
      <c r="F46" t="s">
        <v>408</v>
      </c>
      <c r="G46" s="2">
        <v>1.75</v>
      </c>
      <c r="H46" t="s">
        <v>400</v>
      </c>
      <c r="I46" s="2">
        <v>1.75</v>
      </c>
      <c r="J46" t="s">
        <v>388</v>
      </c>
      <c r="K46" s="2">
        <v>1.7083333333333333</v>
      </c>
      <c r="L46" t="s">
        <v>456</v>
      </c>
      <c r="M46" s="2">
        <v>1.4583333333333333</v>
      </c>
      <c r="N46" t="s">
        <v>469</v>
      </c>
      <c r="O46" s="2">
        <v>1.2916666666666667</v>
      </c>
      <c r="P46" t="s">
        <v>375</v>
      </c>
      <c r="Q46" s="2">
        <v>1.5833333333333333</v>
      </c>
      <c r="R46" t="s">
        <v>506</v>
      </c>
      <c r="S46" s="2">
        <v>1.75</v>
      </c>
      <c r="T46" t="s">
        <v>384</v>
      </c>
      <c r="U46" s="2">
        <v>1.5833333333333333</v>
      </c>
      <c r="V46" t="s">
        <v>525</v>
      </c>
      <c r="W46" s="2">
        <v>1.5833333333333333</v>
      </c>
      <c r="X46" t="s">
        <v>396</v>
      </c>
      <c r="Y46" s="2">
        <v>1.2916666666666667</v>
      </c>
      <c r="Z46" t="s">
        <v>416</v>
      </c>
      <c r="AA46" s="2">
        <v>1.75</v>
      </c>
      <c r="AB46" t="s">
        <v>380</v>
      </c>
      <c r="AC46" s="2">
        <v>1.5833333333333333</v>
      </c>
      <c r="AD46" t="s">
        <v>477</v>
      </c>
      <c r="AE46" s="2">
        <v>1.75</v>
      </c>
      <c r="AF46" t="s">
        <v>388</v>
      </c>
      <c r="AG46" s="2">
        <v>1.7083333333333333</v>
      </c>
      <c r="AH46" t="s">
        <v>456</v>
      </c>
      <c r="AI46" s="2">
        <v>1.4583333333333333</v>
      </c>
      <c r="AJ46" t="s">
        <v>511</v>
      </c>
      <c r="AK46" s="2">
        <v>1.4583333333333333</v>
      </c>
      <c r="AL46" t="s">
        <v>375</v>
      </c>
      <c r="AM46" s="2">
        <v>1.5833333333333333</v>
      </c>
      <c r="BZ46" s="5"/>
    </row>
    <row r="47" spans="1:166">
      <c r="A47" t="str">
        <f t="shared" ref="A47:C47" si="10">A12</f>
        <v>11</v>
      </c>
      <c r="B47" t="str">
        <f t="shared" si="10"/>
        <v>Di Scafani</v>
      </c>
      <c r="C47" t="str">
        <f t="shared" si="10"/>
        <v>Francesco</v>
      </c>
      <c r="D47" s="8" t="s">
        <v>381</v>
      </c>
      <c r="E47" s="2">
        <v>1.75</v>
      </c>
      <c r="F47" t="s">
        <v>409</v>
      </c>
      <c r="G47" s="2">
        <v>1.6944444444444444</v>
      </c>
      <c r="H47" t="s">
        <v>425</v>
      </c>
      <c r="I47" s="2">
        <v>1.5833333333333333</v>
      </c>
      <c r="J47" t="s">
        <v>440</v>
      </c>
      <c r="K47" s="2">
        <v>1.5833333333333333</v>
      </c>
      <c r="L47" t="s">
        <v>396</v>
      </c>
      <c r="M47" s="2">
        <v>1.2916666666666667</v>
      </c>
      <c r="N47" t="s">
        <v>383</v>
      </c>
      <c r="O47" s="2">
        <v>1.75</v>
      </c>
      <c r="P47" t="s">
        <v>432</v>
      </c>
      <c r="Q47" s="2">
        <v>1.5833333333333333</v>
      </c>
      <c r="R47" t="s">
        <v>507</v>
      </c>
      <c r="S47" s="2">
        <v>1.75</v>
      </c>
      <c r="T47" t="s">
        <v>516</v>
      </c>
      <c r="U47" s="2">
        <v>1.875</v>
      </c>
      <c r="V47" t="s">
        <v>526</v>
      </c>
      <c r="W47" s="2">
        <v>1.4583333333333333</v>
      </c>
      <c r="X47" t="s">
        <v>396</v>
      </c>
      <c r="Y47" s="2">
        <v>1.2916666666666667</v>
      </c>
      <c r="Z47" t="s">
        <v>554</v>
      </c>
      <c r="AA47" s="2">
        <v>1.5833333333333333</v>
      </c>
      <c r="AB47" t="s">
        <v>452</v>
      </c>
      <c r="AC47" s="2">
        <v>1.75</v>
      </c>
      <c r="AD47" t="s">
        <v>579</v>
      </c>
      <c r="AE47" s="2">
        <v>1.75</v>
      </c>
      <c r="AF47" t="s">
        <v>580</v>
      </c>
      <c r="AG47" s="2">
        <v>1.75</v>
      </c>
      <c r="AH47" t="s">
        <v>582</v>
      </c>
      <c r="AI47" s="2">
        <v>1.75</v>
      </c>
      <c r="AJ47" t="s">
        <v>466</v>
      </c>
      <c r="AK47" s="2">
        <v>1.4583333333333333</v>
      </c>
      <c r="AL47" t="s">
        <v>481</v>
      </c>
      <c r="AM47" s="2">
        <v>1.75</v>
      </c>
      <c r="BZ47" s="5"/>
    </row>
    <row r="48" spans="1:166">
      <c r="A48" t="str">
        <f t="shared" ref="A48:C48" si="11">A13</f>
        <v>12</v>
      </c>
      <c r="B48" t="str">
        <f t="shared" si="11"/>
        <v>Eroe</v>
      </c>
      <c r="C48" t="str">
        <f t="shared" si="11"/>
        <v>Elvira</v>
      </c>
      <c r="D48" s="8" t="s">
        <v>382</v>
      </c>
      <c r="E48" s="2">
        <v>1.5833333333333333</v>
      </c>
      <c r="F48" t="s">
        <v>410</v>
      </c>
      <c r="G48" s="2">
        <v>1.5833333333333333</v>
      </c>
      <c r="H48" t="s">
        <v>426</v>
      </c>
      <c r="I48" s="2">
        <v>1.5833333333333333</v>
      </c>
      <c r="J48" t="s">
        <v>441</v>
      </c>
      <c r="K48" s="2">
        <v>1.4027777777777777</v>
      </c>
      <c r="L48" t="s">
        <v>457</v>
      </c>
      <c r="M48" s="2">
        <v>1.75</v>
      </c>
      <c r="N48" t="s">
        <v>475</v>
      </c>
      <c r="O48" s="2">
        <v>0</v>
      </c>
      <c r="P48" t="s">
        <v>475</v>
      </c>
      <c r="Q48" s="2">
        <v>0</v>
      </c>
      <c r="R48" t="s">
        <v>475</v>
      </c>
      <c r="S48" s="2">
        <v>0</v>
      </c>
      <c r="T48" t="s">
        <v>475</v>
      </c>
      <c r="U48" s="2">
        <v>0</v>
      </c>
      <c r="V48" t="s">
        <v>527</v>
      </c>
      <c r="W48" s="2">
        <v>1.75</v>
      </c>
      <c r="X48" t="s">
        <v>541</v>
      </c>
      <c r="Y48" s="2">
        <v>1.4583333333333333</v>
      </c>
      <c r="Z48" t="s">
        <v>555</v>
      </c>
      <c r="AA48" s="2">
        <v>1.75</v>
      </c>
      <c r="AB48" t="s">
        <v>566</v>
      </c>
      <c r="AC48" s="2">
        <v>1.75</v>
      </c>
      <c r="AD48" t="s">
        <v>580</v>
      </c>
      <c r="AE48" s="2">
        <v>1.75</v>
      </c>
      <c r="AF48" t="s">
        <v>582</v>
      </c>
      <c r="AG48" s="2">
        <v>1.75</v>
      </c>
      <c r="AH48" t="s">
        <v>466</v>
      </c>
      <c r="AI48" s="2">
        <v>1.4583333333333333</v>
      </c>
      <c r="AJ48" t="s">
        <v>481</v>
      </c>
      <c r="AK48" s="2">
        <v>1.75</v>
      </c>
      <c r="AL48" t="s">
        <v>412</v>
      </c>
      <c r="AM48" s="2">
        <v>1.75</v>
      </c>
      <c r="BZ48" s="5"/>
    </row>
    <row r="49" spans="1:78">
      <c r="A49" t="str">
        <f t="shared" ref="A49:C49" si="12">A14</f>
        <v>30</v>
      </c>
      <c r="B49" t="str">
        <f t="shared" si="12"/>
        <v>Eroe</v>
      </c>
      <c r="C49" t="str">
        <f t="shared" si="12"/>
        <v>Maurizio</v>
      </c>
      <c r="D49" s="8" t="s">
        <v>383</v>
      </c>
      <c r="E49" s="2">
        <v>1.75</v>
      </c>
      <c r="F49" t="s">
        <v>380</v>
      </c>
      <c r="G49" s="2">
        <v>1.5833333333333333</v>
      </c>
      <c r="H49" t="s">
        <v>398</v>
      </c>
      <c r="I49" s="2">
        <v>1.75</v>
      </c>
      <c r="J49" t="s">
        <v>388</v>
      </c>
      <c r="K49" s="2">
        <v>1.7083333333333333</v>
      </c>
      <c r="L49" t="s">
        <v>458</v>
      </c>
      <c r="M49" s="2">
        <v>1.5833333333333333</v>
      </c>
      <c r="N49" t="s">
        <v>476</v>
      </c>
      <c r="O49" s="2">
        <v>1.1666666666666667</v>
      </c>
      <c r="P49" t="s">
        <v>494</v>
      </c>
      <c r="Q49" s="2">
        <v>1.5833333333333333</v>
      </c>
      <c r="R49" t="s">
        <v>462</v>
      </c>
      <c r="S49" s="2">
        <v>1.75</v>
      </c>
      <c r="T49" t="s">
        <v>384</v>
      </c>
      <c r="U49" s="2">
        <v>1.5833333333333333</v>
      </c>
      <c r="V49" t="s">
        <v>528</v>
      </c>
      <c r="W49" s="2">
        <v>1.75</v>
      </c>
      <c r="X49" t="s">
        <v>542</v>
      </c>
      <c r="Y49" s="2">
        <v>1.75</v>
      </c>
      <c r="Z49" t="s">
        <v>390</v>
      </c>
      <c r="AA49" s="2">
        <v>1.4583333333333333</v>
      </c>
      <c r="AB49" t="s">
        <v>567</v>
      </c>
      <c r="AC49" s="2">
        <v>1.75</v>
      </c>
      <c r="AD49" t="s">
        <v>432</v>
      </c>
      <c r="AE49" s="2">
        <v>1.5833333333333333</v>
      </c>
      <c r="AF49" t="s">
        <v>477</v>
      </c>
      <c r="AG49" s="2">
        <v>1.75</v>
      </c>
      <c r="AH49" t="s">
        <v>388</v>
      </c>
      <c r="AI49" s="2">
        <v>1.7083333333333333</v>
      </c>
      <c r="AJ49" t="s">
        <v>456</v>
      </c>
      <c r="AK49" s="2">
        <v>1.4583333333333333</v>
      </c>
      <c r="AL49" t="s">
        <v>511</v>
      </c>
      <c r="AM49" s="2">
        <v>1.4583333333333333</v>
      </c>
      <c r="BZ49" s="5"/>
    </row>
    <row r="50" spans="1:78">
      <c r="A50" t="str">
        <f t="shared" ref="A50:C50" si="13">A15</f>
        <v>13</v>
      </c>
      <c r="B50" t="str">
        <f t="shared" si="13"/>
        <v>Farinella</v>
      </c>
      <c r="C50" t="str">
        <f t="shared" si="13"/>
        <v/>
      </c>
      <c r="D50" s="8" t="s">
        <v>384</v>
      </c>
      <c r="E50" s="2">
        <v>1.5833333333333333</v>
      </c>
      <c r="F50" t="s">
        <v>411</v>
      </c>
      <c r="G50" s="2">
        <v>1.5833333333333333</v>
      </c>
      <c r="H50" t="s">
        <v>379</v>
      </c>
      <c r="I50" s="2">
        <v>1.2916666666666667</v>
      </c>
      <c r="J50" t="s">
        <v>383</v>
      </c>
      <c r="K50" s="2">
        <v>1.75</v>
      </c>
      <c r="L50" t="s">
        <v>432</v>
      </c>
      <c r="M50" s="2">
        <v>1.5833333333333333</v>
      </c>
      <c r="N50" t="s">
        <v>477</v>
      </c>
      <c r="O50" s="2">
        <v>1.75</v>
      </c>
      <c r="P50" t="s">
        <v>422</v>
      </c>
      <c r="Q50" s="2">
        <v>1.5833333333333333</v>
      </c>
      <c r="R50" t="s">
        <v>433</v>
      </c>
      <c r="S50" s="2">
        <v>1.75</v>
      </c>
      <c r="T50" t="s">
        <v>417</v>
      </c>
      <c r="U50" s="2">
        <v>1.4583333333333333</v>
      </c>
      <c r="V50" t="s">
        <v>394</v>
      </c>
      <c r="W50" s="2">
        <v>1.5833333333333333</v>
      </c>
      <c r="X50" t="s">
        <v>380</v>
      </c>
      <c r="Y50" s="2">
        <v>1.5833333333333333</v>
      </c>
      <c r="Z50" t="s">
        <v>398</v>
      </c>
      <c r="AA50" s="2">
        <v>1.75</v>
      </c>
      <c r="AB50" t="s">
        <v>568</v>
      </c>
      <c r="AC50" s="2">
        <v>1.7083333333333333</v>
      </c>
      <c r="AD50" t="s">
        <v>456</v>
      </c>
      <c r="AE50" s="2">
        <v>1.4583333333333333</v>
      </c>
      <c r="AF50" t="s">
        <v>511</v>
      </c>
      <c r="AG50" s="2">
        <v>1.4583333333333333</v>
      </c>
      <c r="AH50" t="s">
        <v>375</v>
      </c>
      <c r="AI50" s="2">
        <v>1.5833333333333333</v>
      </c>
      <c r="AJ50" t="s">
        <v>590</v>
      </c>
      <c r="AK50" s="2">
        <v>1.75</v>
      </c>
      <c r="AL50" t="s">
        <v>384</v>
      </c>
      <c r="AM50" s="2">
        <v>1.5833333333333333</v>
      </c>
      <c r="BZ50" s="5"/>
    </row>
    <row r="51" spans="1:78">
      <c r="A51" t="str">
        <f t="shared" ref="A51:C51" si="14">A16</f>
        <v>31</v>
      </c>
      <c r="B51" t="str">
        <f t="shared" si="14"/>
        <v>Fucarino</v>
      </c>
      <c r="C51" t="str">
        <f t="shared" si="14"/>
        <v>Natale</v>
      </c>
      <c r="D51" s="8" t="s">
        <v>385</v>
      </c>
      <c r="E51" s="2">
        <v>1.4583333333333333</v>
      </c>
      <c r="F51" t="s">
        <v>412</v>
      </c>
      <c r="G51" s="2">
        <v>1.75</v>
      </c>
      <c r="H51" t="s">
        <v>427</v>
      </c>
      <c r="I51" s="2">
        <v>1.5833333333333333</v>
      </c>
      <c r="J51" t="s">
        <v>442</v>
      </c>
      <c r="K51" s="2">
        <v>1.5833333333333333</v>
      </c>
      <c r="L51" t="s">
        <v>459</v>
      </c>
      <c r="M51" s="2">
        <v>1.2916666666666667</v>
      </c>
      <c r="N51" t="s">
        <v>396</v>
      </c>
      <c r="O51" s="2">
        <v>1.2916666666666667</v>
      </c>
      <c r="P51" t="s">
        <v>467</v>
      </c>
      <c r="Q51" s="2">
        <v>1.75</v>
      </c>
      <c r="R51" t="s">
        <v>432</v>
      </c>
      <c r="S51" s="2">
        <v>1.5833333333333333</v>
      </c>
      <c r="T51" t="s">
        <v>477</v>
      </c>
      <c r="U51" s="2">
        <v>1.75</v>
      </c>
      <c r="V51" t="s">
        <v>388</v>
      </c>
      <c r="W51" s="2">
        <v>1.7083333333333333</v>
      </c>
      <c r="X51" t="s">
        <v>543</v>
      </c>
      <c r="Y51" s="2">
        <v>1.2916666666666667</v>
      </c>
      <c r="Z51" t="s">
        <v>376</v>
      </c>
      <c r="AA51" s="2">
        <v>1.4583333333333333</v>
      </c>
      <c r="AB51" t="s">
        <v>394</v>
      </c>
      <c r="AC51" s="2">
        <v>1.5833333333333333</v>
      </c>
      <c r="AD51" t="s">
        <v>462</v>
      </c>
      <c r="AE51" s="2">
        <v>1.75</v>
      </c>
      <c r="AF51" t="s">
        <v>384</v>
      </c>
      <c r="AG51" s="2">
        <v>1.5833333333333333</v>
      </c>
      <c r="AH51" t="s">
        <v>472</v>
      </c>
      <c r="AI51" s="2">
        <v>1.5833333333333333</v>
      </c>
      <c r="AJ51" t="s">
        <v>396</v>
      </c>
      <c r="AK51" s="2">
        <v>1.2916666666666667</v>
      </c>
      <c r="AL51" t="s">
        <v>467</v>
      </c>
      <c r="AM51" s="2">
        <v>1.75</v>
      </c>
      <c r="BZ51" s="5"/>
    </row>
    <row r="52" spans="1:78">
      <c r="A52" t="str">
        <f t="shared" ref="A52:C52" si="15">A17</f>
        <v>14</v>
      </c>
      <c r="B52" t="str">
        <f t="shared" si="15"/>
        <v>Giglio</v>
      </c>
      <c r="C52" t="str">
        <f t="shared" si="15"/>
        <v>Nicola</v>
      </c>
      <c r="D52" s="8" t="s">
        <v>380</v>
      </c>
      <c r="E52" s="2">
        <v>1.5833333333333333</v>
      </c>
      <c r="F52" t="s">
        <v>413</v>
      </c>
      <c r="G52" s="2">
        <v>1.75</v>
      </c>
      <c r="H52" t="s">
        <v>388</v>
      </c>
      <c r="I52" s="2">
        <v>1.7083333333333333</v>
      </c>
      <c r="J52" t="s">
        <v>378</v>
      </c>
      <c r="K52" s="2">
        <v>1.2916666666666667</v>
      </c>
      <c r="L52" t="s">
        <v>417</v>
      </c>
      <c r="M52" s="2">
        <v>1.4583333333333333</v>
      </c>
      <c r="N52" t="s">
        <v>478</v>
      </c>
      <c r="O52" s="2">
        <v>1.75</v>
      </c>
      <c r="P52" t="s">
        <v>432</v>
      </c>
      <c r="Q52" s="2">
        <v>1.5833333333333333</v>
      </c>
      <c r="R52" t="s">
        <v>477</v>
      </c>
      <c r="S52" s="2">
        <v>1.75</v>
      </c>
      <c r="T52" t="s">
        <v>388</v>
      </c>
      <c r="U52" s="2">
        <v>1.7083333333333333</v>
      </c>
      <c r="V52" t="s">
        <v>529</v>
      </c>
      <c r="W52" s="2">
        <v>1.4583333333333333</v>
      </c>
      <c r="X52" t="s">
        <v>389</v>
      </c>
      <c r="Y52" s="2">
        <v>1.4583333333333333</v>
      </c>
      <c r="Z52" t="s">
        <v>375</v>
      </c>
      <c r="AA52" s="2">
        <v>1.5833333333333333</v>
      </c>
      <c r="AB52" t="s">
        <v>559</v>
      </c>
      <c r="AC52" s="2">
        <v>1.75</v>
      </c>
      <c r="AD52" t="s">
        <v>384</v>
      </c>
      <c r="AE52" s="2">
        <v>1.5833333333333333</v>
      </c>
      <c r="AF52" t="s">
        <v>472</v>
      </c>
      <c r="AG52" s="2">
        <v>1.5833333333333333</v>
      </c>
      <c r="AH52" t="s">
        <v>396</v>
      </c>
      <c r="AI52" s="2">
        <v>1.2916666666666667</v>
      </c>
      <c r="AJ52" t="s">
        <v>591</v>
      </c>
      <c r="AK52" s="2">
        <v>1.75</v>
      </c>
      <c r="AL52" t="s">
        <v>432</v>
      </c>
      <c r="AM52" s="2">
        <v>1.5833333333333333</v>
      </c>
      <c r="BZ52" s="5"/>
    </row>
    <row r="53" spans="1:78">
      <c r="A53" t="str">
        <f t="shared" ref="A53:C53" si="16">A18</f>
        <v>15</v>
      </c>
      <c r="B53" t="str">
        <f t="shared" si="16"/>
        <v>Graziano</v>
      </c>
      <c r="C53" t="str">
        <f t="shared" si="16"/>
        <v>Lorenza</v>
      </c>
      <c r="D53" s="8" t="s">
        <v>386</v>
      </c>
      <c r="E53" s="2">
        <v>1.75</v>
      </c>
      <c r="F53" t="s">
        <v>384</v>
      </c>
      <c r="G53" s="2">
        <v>1.5833333333333333</v>
      </c>
      <c r="H53" t="s">
        <v>393</v>
      </c>
      <c r="I53" s="2">
        <v>1.5833333333333333</v>
      </c>
      <c r="J53" t="s">
        <v>396</v>
      </c>
      <c r="K53" s="2">
        <v>1.2916666666666667</v>
      </c>
      <c r="L53" t="s">
        <v>460</v>
      </c>
      <c r="M53" s="2">
        <v>1.75</v>
      </c>
      <c r="N53" t="s">
        <v>432</v>
      </c>
      <c r="O53" s="2">
        <v>1.5833333333333333</v>
      </c>
      <c r="P53" t="s">
        <v>477</v>
      </c>
      <c r="Q53" s="2">
        <v>1.75</v>
      </c>
      <c r="R53" t="s">
        <v>388</v>
      </c>
      <c r="S53" s="2">
        <v>1.7083333333333333</v>
      </c>
      <c r="T53" t="s">
        <v>456</v>
      </c>
      <c r="U53" s="2">
        <v>1.4583333333333333</v>
      </c>
      <c r="V53" t="s">
        <v>530</v>
      </c>
      <c r="W53" s="2">
        <v>1.75</v>
      </c>
      <c r="X53" t="s">
        <v>544</v>
      </c>
      <c r="Y53" s="2">
        <v>1.4583333333333333</v>
      </c>
      <c r="Z53" t="s">
        <v>408</v>
      </c>
      <c r="AA53" s="2">
        <v>1.75</v>
      </c>
      <c r="AB53" t="s">
        <v>569</v>
      </c>
      <c r="AC53" s="2">
        <v>1.75</v>
      </c>
      <c r="AD53" t="s">
        <v>388</v>
      </c>
      <c r="AE53" s="2">
        <v>1.7083333333333333</v>
      </c>
      <c r="AF53" t="s">
        <v>456</v>
      </c>
      <c r="AG53" s="2">
        <v>1.4583333333333333</v>
      </c>
      <c r="AH53" t="s">
        <v>511</v>
      </c>
      <c r="AI53" s="2">
        <v>1.4583333333333333</v>
      </c>
      <c r="AJ53" t="s">
        <v>375</v>
      </c>
      <c r="AK53" s="2">
        <v>1.5833333333333333</v>
      </c>
      <c r="AL53" t="s">
        <v>462</v>
      </c>
      <c r="AM53" s="2">
        <v>1.75</v>
      </c>
      <c r="BZ53" s="5"/>
    </row>
    <row r="54" spans="1:78">
      <c r="A54" t="str">
        <f t="shared" ref="A54:C54" si="17">A19</f>
        <v>16</v>
      </c>
      <c r="B54" t="str">
        <f t="shared" si="17"/>
        <v>Guarino</v>
      </c>
      <c r="C54" t="str">
        <f t="shared" si="17"/>
        <v>Domenica</v>
      </c>
      <c r="D54" s="8" t="s">
        <v>387</v>
      </c>
      <c r="E54" s="2">
        <v>1.6111111111111109</v>
      </c>
      <c r="F54" t="s">
        <v>414</v>
      </c>
      <c r="G54" s="2">
        <v>1.4583333333333333</v>
      </c>
      <c r="H54" t="s">
        <v>428</v>
      </c>
      <c r="I54" s="2">
        <v>1.75</v>
      </c>
      <c r="J54" t="s">
        <v>443</v>
      </c>
      <c r="K54" s="2">
        <v>1.5833333333333333</v>
      </c>
      <c r="L54" t="s">
        <v>461</v>
      </c>
      <c r="M54" s="2">
        <v>1.5833333333333333</v>
      </c>
      <c r="N54" t="s">
        <v>453</v>
      </c>
      <c r="O54" s="2">
        <v>1.5833333333333333</v>
      </c>
      <c r="P54" t="s">
        <v>479</v>
      </c>
      <c r="Q54" s="2">
        <v>1.5833333333333333</v>
      </c>
      <c r="R54" t="s">
        <v>389</v>
      </c>
      <c r="S54" s="2">
        <v>1.4583333333333333</v>
      </c>
      <c r="T54" t="s">
        <v>481</v>
      </c>
      <c r="U54" s="2">
        <v>1.75</v>
      </c>
      <c r="V54" t="s">
        <v>407</v>
      </c>
      <c r="W54" s="2">
        <v>1.75</v>
      </c>
      <c r="X54" t="s">
        <v>545</v>
      </c>
      <c r="Y54" s="2">
        <v>1.75</v>
      </c>
      <c r="Z54" t="s">
        <v>421</v>
      </c>
      <c r="AA54" s="2">
        <v>1.75</v>
      </c>
      <c r="AB54" t="s">
        <v>570</v>
      </c>
      <c r="AC54" s="2">
        <v>1.75</v>
      </c>
      <c r="AD54" t="s">
        <v>466</v>
      </c>
      <c r="AE54" s="2">
        <v>1.4583333333333333</v>
      </c>
      <c r="AF54" t="s">
        <v>481</v>
      </c>
      <c r="AG54" s="2">
        <v>1.75</v>
      </c>
      <c r="AH54" t="s">
        <v>412</v>
      </c>
      <c r="AI54" s="2">
        <v>1.75</v>
      </c>
      <c r="AJ54" t="s">
        <v>579</v>
      </c>
      <c r="AK54" s="2">
        <v>1.75</v>
      </c>
      <c r="AL54" t="s">
        <v>580</v>
      </c>
      <c r="AM54" s="2">
        <v>1.75</v>
      </c>
    </row>
    <row r="55" spans="1:78">
      <c r="A55" t="str">
        <f t="shared" ref="A55:C55" si="18">A20</f>
        <v>17</v>
      </c>
      <c r="B55" t="str">
        <f t="shared" si="18"/>
        <v>Guarino</v>
      </c>
      <c r="C55" t="str">
        <f t="shared" si="18"/>
        <v>Filomena</v>
      </c>
      <c r="D55" s="8" t="s">
        <v>388</v>
      </c>
      <c r="E55" s="2">
        <v>1.7083333333333333</v>
      </c>
      <c r="F55" t="s">
        <v>415</v>
      </c>
      <c r="G55" s="2">
        <v>1.4583333333333333</v>
      </c>
      <c r="H55" t="s">
        <v>389</v>
      </c>
      <c r="I55" s="2">
        <v>1.4583333333333333</v>
      </c>
      <c r="J55" t="s">
        <v>394</v>
      </c>
      <c r="K55" s="2">
        <v>1.5833333333333333</v>
      </c>
      <c r="L55" t="s">
        <v>462</v>
      </c>
      <c r="M55" s="2">
        <v>1.75</v>
      </c>
      <c r="N55" t="s">
        <v>384</v>
      </c>
      <c r="O55" s="2">
        <v>1.5833333333333333</v>
      </c>
      <c r="P55" t="s">
        <v>472</v>
      </c>
      <c r="Q55" s="2">
        <v>1.5833333333333333</v>
      </c>
      <c r="R55" t="s">
        <v>417</v>
      </c>
      <c r="S55" s="2">
        <v>1.4583333333333333</v>
      </c>
      <c r="T55" t="s">
        <v>381</v>
      </c>
      <c r="U55" s="2">
        <v>1.75</v>
      </c>
      <c r="V55" t="s">
        <v>531</v>
      </c>
      <c r="W55" s="2">
        <v>1.75</v>
      </c>
      <c r="X55" t="s">
        <v>546</v>
      </c>
      <c r="Y55" s="2">
        <v>1.5833333333333333</v>
      </c>
      <c r="Z55" t="s">
        <v>393</v>
      </c>
      <c r="AA55" s="2">
        <v>1.5833333333333333</v>
      </c>
      <c r="AB55" t="s">
        <v>571</v>
      </c>
      <c r="AC55" s="2">
        <v>1.2916666666666667</v>
      </c>
      <c r="AD55" t="s">
        <v>467</v>
      </c>
      <c r="AE55" s="2">
        <v>1.75</v>
      </c>
      <c r="AF55" t="s">
        <v>432</v>
      </c>
      <c r="AG55" s="2">
        <v>1.5833333333333333</v>
      </c>
      <c r="AH55" t="s">
        <v>477</v>
      </c>
      <c r="AI55" s="2">
        <v>1.75</v>
      </c>
      <c r="AJ55" t="s">
        <v>388</v>
      </c>
      <c r="AK55" s="2">
        <v>1.7083333333333333</v>
      </c>
      <c r="AL55" t="s">
        <v>456</v>
      </c>
      <c r="AM55" s="2">
        <v>1.4583333333333333</v>
      </c>
    </row>
    <row r="56" spans="1:78">
      <c r="A56" t="str">
        <f t="shared" ref="A56:C56" si="19">A21</f>
        <v>18</v>
      </c>
      <c r="B56" t="str">
        <f t="shared" si="19"/>
        <v>La Barbera</v>
      </c>
      <c r="C56" t="str">
        <f t="shared" si="19"/>
        <v>Santino</v>
      </c>
      <c r="D56" s="8" t="s">
        <v>389</v>
      </c>
      <c r="E56" s="2">
        <v>1.4583333333333333</v>
      </c>
      <c r="F56" t="s">
        <v>394</v>
      </c>
      <c r="G56" s="2">
        <v>1.5833333333333333</v>
      </c>
      <c r="H56" t="s">
        <v>386</v>
      </c>
      <c r="I56" s="2">
        <v>1.75</v>
      </c>
      <c r="J56" t="s">
        <v>444</v>
      </c>
      <c r="K56" s="2">
        <v>1.5833333333333333</v>
      </c>
      <c r="L56" t="s">
        <v>463</v>
      </c>
      <c r="M56" s="2">
        <v>1.5833333333333333</v>
      </c>
      <c r="N56" t="s">
        <v>479</v>
      </c>
      <c r="O56" s="2">
        <v>1.5833333333333333</v>
      </c>
      <c r="P56" t="s">
        <v>466</v>
      </c>
      <c r="Q56" s="2">
        <v>1.4583333333333333</v>
      </c>
      <c r="R56" t="s">
        <v>508</v>
      </c>
      <c r="S56" s="2">
        <v>1.75</v>
      </c>
      <c r="T56" t="s">
        <v>517</v>
      </c>
      <c r="U56" s="2">
        <v>1.5833333333333333</v>
      </c>
      <c r="V56" t="s">
        <v>454</v>
      </c>
      <c r="W56" s="2">
        <v>1.5833333333333333</v>
      </c>
      <c r="X56" t="s">
        <v>547</v>
      </c>
      <c r="Y56" s="2">
        <v>1.75</v>
      </c>
      <c r="Z56" t="s">
        <v>396</v>
      </c>
      <c r="AA56" s="2">
        <v>1.2916666666666667</v>
      </c>
      <c r="AB56" t="s">
        <v>551</v>
      </c>
      <c r="AC56" s="2">
        <v>1.75</v>
      </c>
      <c r="AD56" t="s">
        <v>412</v>
      </c>
      <c r="AE56" s="2">
        <v>1.75</v>
      </c>
      <c r="AF56" t="s">
        <v>579</v>
      </c>
      <c r="AG56" s="2">
        <v>1.75</v>
      </c>
      <c r="AH56" t="s">
        <v>580</v>
      </c>
      <c r="AI56" s="2">
        <v>1.75</v>
      </c>
      <c r="AJ56" t="s">
        <v>582</v>
      </c>
      <c r="AK56" s="2">
        <v>1.75</v>
      </c>
      <c r="AL56" t="s">
        <v>466</v>
      </c>
      <c r="AM56" s="2">
        <v>1.4583333333333333</v>
      </c>
    </row>
    <row r="57" spans="1:78">
      <c r="A57" t="str">
        <f t="shared" ref="A57:C57" si="20">A22</f>
        <v>19</v>
      </c>
      <c r="B57" t="str">
        <f t="shared" si="20"/>
        <v>La Barbera</v>
      </c>
      <c r="C57" t="str">
        <f t="shared" si="20"/>
        <v>Maria Carmela</v>
      </c>
      <c r="D57" s="8" t="s">
        <v>390</v>
      </c>
      <c r="E57" s="2">
        <v>1.4583333333333333</v>
      </c>
      <c r="F57" t="s">
        <v>416</v>
      </c>
      <c r="G57" s="2">
        <v>1.75</v>
      </c>
      <c r="H57" t="s">
        <v>429</v>
      </c>
      <c r="I57" s="2">
        <v>1.5833333333333333</v>
      </c>
      <c r="J57" t="s">
        <v>445</v>
      </c>
      <c r="K57" s="2">
        <v>1.5833333333333333</v>
      </c>
      <c r="L57" t="s">
        <v>464</v>
      </c>
      <c r="M57" s="2">
        <v>1.5833333333333333</v>
      </c>
      <c r="N57" t="s">
        <v>475</v>
      </c>
      <c r="O57" s="2">
        <v>0</v>
      </c>
      <c r="P57" t="s">
        <v>475</v>
      </c>
      <c r="Q57" s="2">
        <v>0</v>
      </c>
      <c r="R57" t="s">
        <v>475</v>
      </c>
      <c r="S57" s="2">
        <v>0</v>
      </c>
      <c r="T57" t="s">
        <v>475</v>
      </c>
      <c r="U57" s="2">
        <v>0</v>
      </c>
      <c r="V57" t="s">
        <v>423</v>
      </c>
      <c r="W57" s="2">
        <v>1.75</v>
      </c>
      <c r="X57" t="s">
        <v>421</v>
      </c>
      <c r="Y57" s="2">
        <v>1.75</v>
      </c>
      <c r="Z57" t="s">
        <v>556</v>
      </c>
      <c r="AA57" s="2">
        <v>1.75</v>
      </c>
      <c r="AB57" t="s">
        <v>572</v>
      </c>
      <c r="AC57" s="2">
        <v>1.4583333333333333</v>
      </c>
      <c r="AD57" t="s">
        <v>481</v>
      </c>
      <c r="AE57" s="2">
        <v>1.75</v>
      </c>
      <c r="AF57" t="s">
        <v>412</v>
      </c>
      <c r="AG57" s="2">
        <v>1.75</v>
      </c>
      <c r="AH57" t="s">
        <v>586</v>
      </c>
      <c r="AI57" s="2">
        <v>1.75</v>
      </c>
      <c r="AJ57" t="s">
        <v>580</v>
      </c>
      <c r="AK57" s="2">
        <v>1.75</v>
      </c>
      <c r="AL57" t="s">
        <v>593</v>
      </c>
      <c r="AM57" s="2">
        <v>1.75</v>
      </c>
    </row>
    <row r="58" spans="1:78">
      <c r="A58" t="str">
        <f t="shared" ref="A58:C58" si="21">A23</f>
        <v>20</v>
      </c>
      <c r="B58" t="str">
        <f t="shared" si="21"/>
        <v>Macagnone</v>
      </c>
      <c r="C58" t="str">
        <f t="shared" si="21"/>
        <v>Francesca</v>
      </c>
      <c r="D58" s="8" t="s">
        <v>391</v>
      </c>
      <c r="E58" s="2">
        <v>1.4583333333333333</v>
      </c>
      <c r="F58" t="s">
        <v>396</v>
      </c>
      <c r="G58" s="2">
        <v>1.2916666666666667</v>
      </c>
      <c r="H58" t="s">
        <v>394</v>
      </c>
      <c r="I58" s="2">
        <v>1.5833333333333333</v>
      </c>
      <c r="J58" t="s">
        <v>380</v>
      </c>
      <c r="K58" s="2">
        <v>1.5833333333333333</v>
      </c>
      <c r="L58" t="s">
        <v>423</v>
      </c>
      <c r="M58" s="2">
        <v>1.75</v>
      </c>
      <c r="N58" t="s">
        <v>464</v>
      </c>
      <c r="O58" s="2">
        <v>1.5833333333333333</v>
      </c>
      <c r="P58" t="s">
        <v>495</v>
      </c>
      <c r="Q58" s="2">
        <v>1.8194444444444444</v>
      </c>
      <c r="R58" t="s">
        <v>509</v>
      </c>
      <c r="S58" s="2">
        <v>1.1666666666666667</v>
      </c>
      <c r="T58" t="s">
        <v>481</v>
      </c>
      <c r="U58" s="2">
        <v>1.75</v>
      </c>
      <c r="V58" t="s">
        <v>380</v>
      </c>
      <c r="W58" s="2">
        <v>1.5833333333333333</v>
      </c>
      <c r="X58" t="s">
        <v>548</v>
      </c>
      <c r="Y58" s="2">
        <v>1.75</v>
      </c>
      <c r="Z58" t="s">
        <v>388</v>
      </c>
      <c r="AA58" s="2">
        <v>1.7083333333333333</v>
      </c>
      <c r="AB58" t="s">
        <v>456</v>
      </c>
      <c r="AC58" s="2">
        <v>1.4583333333333333</v>
      </c>
      <c r="AD58" t="s">
        <v>389</v>
      </c>
      <c r="AE58" s="2">
        <v>1.4583333333333333</v>
      </c>
      <c r="AF58" t="s">
        <v>375</v>
      </c>
      <c r="AG58" s="2">
        <v>1.5833333333333333</v>
      </c>
      <c r="AH58" t="s">
        <v>452</v>
      </c>
      <c r="AI58" s="2">
        <v>1.75</v>
      </c>
      <c r="AJ58" t="s">
        <v>384</v>
      </c>
      <c r="AK58" s="2">
        <v>1.5833333333333333</v>
      </c>
      <c r="AL58" t="s">
        <v>472</v>
      </c>
      <c r="AM58" s="2">
        <v>1.5833333333333333</v>
      </c>
    </row>
    <row r="59" spans="1:78">
      <c r="A59" t="str">
        <f t="shared" ref="A59:C59" si="22">A24</f>
        <v>32</v>
      </c>
      <c r="B59" t="str">
        <f t="shared" si="22"/>
        <v>Perrone</v>
      </c>
      <c r="C59" t="str">
        <f t="shared" si="22"/>
        <v>Lucio</v>
      </c>
      <c r="D59" s="8" t="s">
        <v>392</v>
      </c>
      <c r="E59" s="2">
        <v>1.5833333333333333</v>
      </c>
      <c r="F59" t="s">
        <v>376</v>
      </c>
      <c r="G59" s="2">
        <v>1.4583333333333333</v>
      </c>
      <c r="H59" t="s">
        <v>383</v>
      </c>
      <c r="I59" s="2">
        <v>1.75</v>
      </c>
      <c r="J59" t="s">
        <v>443</v>
      </c>
      <c r="K59" s="2">
        <v>1.5833333333333333</v>
      </c>
      <c r="L59" t="s">
        <v>465</v>
      </c>
      <c r="M59" s="2">
        <v>1.5833333333333333</v>
      </c>
      <c r="N59" t="s">
        <v>480</v>
      </c>
      <c r="O59" s="2">
        <v>1.5833333333333333</v>
      </c>
      <c r="P59" t="s">
        <v>496</v>
      </c>
      <c r="Q59" s="2">
        <v>1.5833333333333333</v>
      </c>
      <c r="R59" t="s">
        <v>510</v>
      </c>
      <c r="S59" s="2">
        <v>1.4583333333333333</v>
      </c>
      <c r="T59" t="s">
        <v>481</v>
      </c>
      <c r="U59" s="2">
        <v>1.75</v>
      </c>
      <c r="V59" t="s">
        <v>532</v>
      </c>
      <c r="W59" s="2">
        <v>1.75</v>
      </c>
      <c r="X59" t="s">
        <v>398</v>
      </c>
      <c r="Y59" s="2">
        <v>1.75</v>
      </c>
      <c r="Z59" t="s">
        <v>557</v>
      </c>
      <c r="AA59" s="2">
        <v>1.75</v>
      </c>
      <c r="AB59" t="s">
        <v>573</v>
      </c>
      <c r="AC59" s="2">
        <v>1.75</v>
      </c>
      <c r="AD59" t="s">
        <v>581</v>
      </c>
      <c r="AE59" s="2">
        <v>1.4583333333333333</v>
      </c>
      <c r="AF59" t="s">
        <v>481</v>
      </c>
      <c r="AG59" s="2">
        <v>1.75</v>
      </c>
      <c r="AH59" t="s">
        <v>587</v>
      </c>
      <c r="AI59" s="2">
        <v>1.75</v>
      </c>
      <c r="AJ59" t="s">
        <v>579</v>
      </c>
      <c r="AK59" s="2">
        <v>1.75</v>
      </c>
      <c r="AL59" t="s">
        <v>528</v>
      </c>
      <c r="AM59" s="2">
        <v>1.75</v>
      </c>
    </row>
    <row r="60" spans="1:78">
      <c r="A60" t="str">
        <f t="shared" ref="A60:C60" si="23">A25</f>
        <v>21</v>
      </c>
      <c r="B60" t="str">
        <f t="shared" si="23"/>
        <v>Pomara</v>
      </c>
      <c r="C60" t="str">
        <f t="shared" si="23"/>
        <v>Nunzio</v>
      </c>
      <c r="D60" s="8" t="s">
        <v>393</v>
      </c>
      <c r="E60" s="2">
        <v>1.5833333333333333</v>
      </c>
      <c r="F60" t="s">
        <v>417</v>
      </c>
      <c r="G60" s="2">
        <v>1.4583333333333333</v>
      </c>
      <c r="H60" t="s">
        <v>381</v>
      </c>
      <c r="I60" s="2">
        <v>1.75</v>
      </c>
      <c r="J60" t="s">
        <v>408</v>
      </c>
      <c r="K60" s="2">
        <v>1.75</v>
      </c>
      <c r="L60" t="s">
        <v>423</v>
      </c>
      <c r="M60" s="2">
        <v>1.75</v>
      </c>
      <c r="N60" t="s">
        <v>421</v>
      </c>
      <c r="O60" s="2">
        <v>1.75</v>
      </c>
      <c r="P60" t="s">
        <v>417</v>
      </c>
      <c r="Q60" s="2">
        <v>1.4583333333333333</v>
      </c>
      <c r="R60" t="s">
        <v>467</v>
      </c>
      <c r="S60" s="2">
        <v>1.75</v>
      </c>
      <c r="T60" t="s">
        <v>380</v>
      </c>
      <c r="U60" s="2">
        <v>1.5833333333333333</v>
      </c>
      <c r="V60" t="s">
        <v>533</v>
      </c>
      <c r="W60" s="2">
        <v>1.75</v>
      </c>
      <c r="X60" t="s">
        <v>388</v>
      </c>
      <c r="Y60" s="2">
        <v>1.7083333333333333</v>
      </c>
      <c r="Z60" t="s">
        <v>434</v>
      </c>
      <c r="AA60" s="2">
        <v>1.4583333333333333</v>
      </c>
      <c r="AB60" t="s">
        <v>389</v>
      </c>
      <c r="AC60" s="2">
        <v>1.4583333333333333</v>
      </c>
      <c r="AD60" t="s">
        <v>375</v>
      </c>
      <c r="AE60" s="2">
        <v>1.5833333333333333</v>
      </c>
      <c r="AF60" t="s">
        <v>584</v>
      </c>
      <c r="AG60" s="2">
        <v>1.75</v>
      </c>
      <c r="AH60" t="s">
        <v>384</v>
      </c>
      <c r="AI60" s="2">
        <v>1.5833333333333333</v>
      </c>
      <c r="AJ60" t="s">
        <v>472</v>
      </c>
      <c r="AK60" s="2">
        <v>1.5833333333333333</v>
      </c>
      <c r="AL60" t="s">
        <v>571</v>
      </c>
      <c r="AM60" s="2">
        <v>1.2916666666666667</v>
      </c>
    </row>
    <row r="61" spans="1:78">
      <c r="A61" t="str">
        <f t="shared" ref="A61:C61" si="24">A26</f>
        <v>22</v>
      </c>
      <c r="B61" t="str">
        <f t="shared" si="24"/>
        <v>Raia</v>
      </c>
      <c r="C61" t="str">
        <f t="shared" si="24"/>
        <v>Alfonsa</v>
      </c>
      <c r="D61" s="8" t="s">
        <v>394</v>
      </c>
      <c r="E61" s="2">
        <v>1.5833333333333333</v>
      </c>
      <c r="F61" t="s">
        <v>418</v>
      </c>
      <c r="G61" s="2">
        <v>1.75</v>
      </c>
      <c r="H61" t="s">
        <v>430</v>
      </c>
      <c r="I61" s="2">
        <v>1.5833333333333333</v>
      </c>
      <c r="J61" t="s">
        <v>446</v>
      </c>
      <c r="K61" s="2">
        <v>1.5833333333333333</v>
      </c>
      <c r="L61" t="s">
        <v>466</v>
      </c>
      <c r="M61" s="2">
        <v>1.4583333333333333</v>
      </c>
      <c r="N61" t="s">
        <v>481</v>
      </c>
      <c r="O61" s="2">
        <v>1.75</v>
      </c>
      <c r="P61" t="s">
        <v>497</v>
      </c>
      <c r="Q61" s="2">
        <v>1.6111111111111109</v>
      </c>
      <c r="R61" t="s">
        <v>423</v>
      </c>
      <c r="S61" s="2">
        <v>1.75</v>
      </c>
      <c r="T61" t="s">
        <v>421</v>
      </c>
      <c r="U61" s="2">
        <v>1.75</v>
      </c>
      <c r="V61" t="s">
        <v>389</v>
      </c>
      <c r="W61" s="2">
        <v>1.4583333333333333</v>
      </c>
      <c r="X61" t="s">
        <v>394</v>
      </c>
      <c r="Y61" s="2">
        <v>1.5833333333333333</v>
      </c>
      <c r="Z61" t="s">
        <v>399</v>
      </c>
      <c r="AA61" s="2">
        <v>1.75</v>
      </c>
      <c r="AB61" t="s">
        <v>384</v>
      </c>
      <c r="AC61" s="2">
        <v>1.5833333333333333</v>
      </c>
      <c r="AD61" t="s">
        <v>472</v>
      </c>
      <c r="AE61" s="2">
        <v>1.5833333333333333</v>
      </c>
      <c r="AF61" t="s">
        <v>396</v>
      </c>
      <c r="AG61" s="2">
        <v>1.2916666666666667</v>
      </c>
      <c r="AH61" t="s">
        <v>467</v>
      </c>
      <c r="AI61" s="2">
        <v>1.75</v>
      </c>
      <c r="AJ61" t="s">
        <v>432</v>
      </c>
      <c r="AK61" s="2">
        <v>1.5833333333333333</v>
      </c>
      <c r="AL61" t="s">
        <v>477</v>
      </c>
      <c r="AM61" s="2">
        <v>1.75</v>
      </c>
    </row>
    <row r="62" spans="1:78">
      <c r="A62" t="str">
        <f t="shared" ref="A62:C62" si="25">A27</f>
        <v>23</v>
      </c>
      <c r="B62" t="str">
        <f t="shared" si="25"/>
        <v>Randazzo</v>
      </c>
      <c r="C62" t="str">
        <f t="shared" si="25"/>
        <v>Giuseppe</v>
      </c>
      <c r="D62" s="8" t="s">
        <v>395</v>
      </c>
      <c r="E62" s="2">
        <v>1.5833333333333333</v>
      </c>
      <c r="F62" t="s">
        <v>419</v>
      </c>
      <c r="G62" s="2">
        <v>1.4583333333333333</v>
      </c>
      <c r="H62" t="s">
        <v>431</v>
      </c>
      <c r="I62" s="2">
        <v>1.7222222222222223</v>
      </c>
      <c r="J62" t="s">
        <v>447</v>
      </c>
      <c r="K62" s="2">
        <v>1.5833333333333333</v>
      </c>
      <c r="L62" t="s">
        <v>462</v>
      </c>
      <c r="M62" s="2">
        <v>1.75</v>
      </c>
      <c r="N62" t="s">
        <v>398</v>
      </c>
      <c r="O62" s="2">
        <v>1.75</v>
      </c>
      <c r="P62" t="s">
        <v>498</v>
      </c>
      <c r="Q62" s="2">
        <v>1.75</v>
      </c>
      <c r="R62" t="s">
        <v>396</v>
      </c>
      <c r="S62" s="2">
        <v>1.2916666666666667</v>
      </c>
      <c r="T62" t="s">
        <v>518</v>
      </c>
      <c r="U62" s="2">
        <v>1.75</v>
      </c>
      <c r="V62" t="s">
        <v>534</v>
      </c>
      <c r="W62" s="2">
        <v>1.75</v>
      </c>
      <c r="X62" t="s">
        <v>549</v>
      </c>
      <c r="Y62" s="2">
        <v>1.75</v>
      </c>
      <c r="Z62" t="s">
        <v>454</v>
      </c>
      <c r="AA62" s="2">
        <v>1.5833333333333333</v>
      </c>
      <c r="AB62" t="s">
        <v>574</v>
      </c>
      <c r="AC62" s="2">
        <v>1.5833333333333333</v>
      </c>
      <c r="AD62" t="s">
        <v>396</v>
      </c>
      <c r="AE62" s="2">
        <v>1.2916666666666667</v>
      </c>
      <c r="AF62" t="s">
        <v>467</v>
      </c>
      <c r="AG62" s="2">
        <v>1.75</v>
      </c>
      <c r="AH62" t="s">
        <v>432</v>
      </c>
      <c r="AI62" s="2">
        <v>1.5833333333333333</v>
      </c>
      <c r="AJ62" t="s">
        <v>477</v>
      </c>
      <c r="AK62" s="2">
        <v>1.75</v>
      </c>
      <c r="AL62" t="s">
        <v>388</v>
      </c>
      <c r="AM62" s="2">
        <v>1.7083333333333333</v>
      </c>
    </row>
    <row r="63" spans="1:78">
      <c r="A63" t="str">
        <f t="shared" ref="A63:C63" si="26">A28</f>
        <v>24</v>
      </c>
      <c r="B63" t="str">
        <f t="shared" si="26"/>
        <v>Ribaudo</v>
      </c>
      <c r="C63" t="str">
        <f t="shared" si="26"/>
        <v>Giacomo</v>
      </c>
      <c r="D63" s="8" t="s">
        <v>396</v>
      </c>
      <c r="E63" s="2">
        <v>1.2916666666666667</v>
      </c>
      <c r="F63" t="s">
        <v>420</v>
      </c>
      <c r="G63" s="2">
        <v>1.75</v>
      </c>
      <c r="H63" t="s">
        <v>432</v>
      </c>
      <c r="I63" s="2">
        <v>1.5833333333333333</v>
      </c>
      <c r="J63" t="s">
        <v>423</v>
      </c>
      <c r="K63" s="2">
        <v>1.75</v>
      </c>
      <c r="L63" t="s">
        <v>421</v>
      </c>
      <c r="M63" s="2">
        <v>1.75</v>
      </c>
      <c r="N63" t="s">
        <v>482</v>
      </c>
      <c r="O63" s="2">
        <v>1.5833333333333333</v>
      </c>
      <c r="P63" t="s">
        <v>469</v>
      </c>
      <c r="Q63" s="2">
        <v>1.2916666666666667</v>
      </c>
      <c r="R63" t="s">
        <v>375</v>
      </c>
      <c r="S63" s="2">
        <v>1.5833333333333333</v>
      </c>
      <c r="T63" t="s">
        <v>462</v>
      </c>
      <c r="U63" s="2">
        <v>1.75</v>
      </c>
      <c r="V63" t="s">
        <v>535</v>
      </c>
      <c r="W63" s="2">
        <v>1.2916666666666667</v>
      </c>
      <c r="X63" t="s">
        <v>389</v>
      </c>
      <c r="Y63" s="2">
        <v>1.4583333333333333</v>
      </c>
      <c r="Z63" t="s">
        <v>558</v>
      </c>
      <c r="AA63" s="2">
        <v>1.75</v>
      </c>
      <c r="AB63" t="s">
        <v>380</v>
      </c>
      <c r="AC63" s="2">
        <v>1.5833333333333333</v>
      </c>
      <c r="AD63" t="s">
        <v>477</v>
      </c>
      <c r="AE63" s="2">
        <v>1.75</v>
      </c>
      <c r="AF63" t="s">
        <v>388</v>
      </c>
      <c r="AG63" s="2">
        <v>1.7083333333333333</v>
      </c>
      <c r="AH63" t="s">
        <v>456</v>
      </c>
      <c r="AI63" s="2">
        <v>1.4583333333333333</v>
      </c>
      <c r="AJ63" t="s">
        <v>511</v>
      </c>
      <c r="AK63" s="2">
        <v>1.4583333333333333</v>
      </c>
      <c r="AL63" t="s">
        <v>375</v>
      </c>
      <c r="AM63" s="2">
        <v>1.5833333333333333</v>
      </c>
    </row>
    <row r="64" spans="1:78">
      <c r="A64" t="str">
        <f t="shared" ref="A64:C64" si="27">A29</f>
        <v>25</v>
      </c>
      <c r="B64" t="str">
        <f t="shared" si="27"/>
        <v>Roccaforte</v>
      </c>
      <c r="C64" t="str">
        <f t="shared" si="27"/>
        <v>Carolina</v>
      </c>
      <c r="D64" s="8" t="s">
        <v>397</v>
      </c>
      <c r="E64" s="2">
        <v>1.5833333333333333</v>
      </c>
      <c r="F64" t="s">
        <v>421</v>
      </c>
      <c r="G64" s="2">
        <v>1.75</v>
      </c>
      <c r="H64" t="s">
        <v>433</v>
      </c>
      <c r="I64" s="2">
        <v>1.75</v>
      </c>
      <c r="J64" t="s">
        <v>448</v>
      </c>
      <c r="K64" s="2">
        <v>1.4583333333333333</v>
      </c>
      <c r="L64" t="s">
        <v>467</v>
      </c>
      <c r="M64" s="2">
        <v>1.75</v>
      </c>
      <c r="N64" t="s">
        <v>432</v>
      </c>
      <c r="O64" s="2">
        <v>1.5833333333333333</v>
      </c>
      <c r="P64" t="s">
        <v>499</v>
      </c>
      <c r="Q64" s="2">
        <v>1.75</v>
      </c>
      <c r="R64" t="s">
        <v>388</v>
      </c>
      <c r="S64" s="2">
        <v>1.7083333333333333</v>
      </c>
      <c r="T64" t="s">
        <v>456</v>
      </c>
      <c r="U64" s="2">
        <v>1.4583333333333333</v>
      </c>
      <c r="V64" t="s">
        <v>417</v>
      </c>
      <c r="W64" s="2">
        <v>1.4583333333333333</v>
      </c>
      <c r="X64" t="s">
        <v>394</v>
      </c>
      <c r="Y64" s="2">
        <v>1.5833333333333333</v>
      </c>
      <c r="Z64" t="s">
        <v>399</v>
      </c>
      <c r="AA64" s="2">
        <v>1.75</v>
      </c>
      <c r="AB64" t="s">
        <v>384</v>
      </c>
      <c r="AC64" s="2">
        <v>1.5833333333333333</v>
      </c>
      <c r="AD64" t="s">
        <v>472</v>
      </c>
      <c r="AE64" s="2">
        <v>1.5833333333333333</v>
      </c>
      <c r="AF64" t="s">
        <v>396</v>
      </c>
      <c r="AG64" s="2">
        <v>1.2916666666666667</v>
      </c>
      <c r="AH64" t="s">
        <v>467</v>
      </c>
      <c r="AI64" s="2">
        <v>1.75</v>
      </c>
      <c r="AJ64" t="s">
        <v>380</v>
      </c>
      <c r="AK64" s="2">
        <v>1.5833333333333333</v>
      </c>
      <c r="AL64" t="s">
        <v>477</v>
      </c>
      <c r="AM64" s="2">
        <v>1.75</v>
      </c>
    </row>
    <row r="65" spans="1:39">
      <c r="A65" t="str">
        <f t="shared" ref="A65:C65" si="28">A30</f>
        <v>26</v>
      </c>
      <c r="B65" t="str">
        <f t="shared" si="28"/>
        <v>Saglimbeni</v>
      </c>
      <c r="C65" t="str">
        <f t="shared" si="28"/>
        <v>Massimiliano</v>
      </c>
      <c r="D65" s="8" t="s">
        <v>398</v>
      </c>
      <c r="E65" s="2">
        <v>1.75</v>
      </c>
      <c r="F65" t="s">
        <v>388</v>
      </c>
      <c r="G65" s="2">
        <v>1.7083333333333333</v>
      </c>
      <c r="H65" t="s">
        <v>434</v>
      </c>
      <c r="I65" s="2">
        <v>1.4583333333333333</v>
      </c>
      <c r="J65" t="s">
        <v>449</v>
      </c>
      <c r="K65" s="2">
        <v>1.4583333333333333</v>
      </c>
      <c r="L65" t="s">
        <v>375</v>
      </c>
      <c r="M65" s="2">
        <v>1.5833333333333333</v>
      </c>
      <c r="N65" t="s">
        <v>462</v>
      </c>
      <c r="O65" s="2">
        <v>1.75</v>
      </c>
      <c r="P65" t="s">
        <v>430</v>
      </c>
      <c r="Q65" s="2">
        <v>1.5833333333333333</v>
      </c>
      <c r="R65" t="s">
        <v>393</v>
      </c>
      <c r="S65" s="2">
        <v>1.5833333333333333</v>
      </c>
      <c r="T65" t="s">
        <v>396</v>
      </c>
      <c r="U65" s="2">
        <v>1.2916666666666667</v>
      </c>
      <c r="V65" t="s">
        <v>381</v>
      </c>
      <c r="W65" s="2">
        <v>1.75</v>
      </c>
      <c r="X65" t="s">
        <v>408</v>
      </c>
      <c r="Y65" s="2">
        <v>1.75</v>
      </c>
      <c r="Z65" t="s">
        <v>400</v>
      </c>
      <c r="AA65" s="2">
        <v>1.75</v>
      </c>
      <c r="AB65" t="s">
        <v>575</v>
      </c>
      <c r="AC65" s="2">
        <v>1.75</v>
      </c>
      <c r="AD65" t="s">
        <v>582</v>
      </c>
      <c r="AE65" s="2">
        <v>1.75</v>
      </c>
      <c r="AF65" t="s">
        <v>466</v>
      </c>
      <c r="AG65" s="2">
        <v>1.4583333333333333</v>
      </c>
      <c r="AH65" t="s">
        <v>481</v>
      </c>
      <c r="AI65" s="2">
        <v>1.75</v>
      </c>
      <c r="AJ65" t="s">
        <v>412</v>
      </c>
      <c r="AK65" s="2">
        <v>1.75</v>
      </c>
      <c r="AL65" t="s">
        <v>579</v>
      </c>
      <c r="AM65" s="2">
        <v>1.75</v>
      </c>
    </row>
    <row r="66" spans="1:39">
      <c r="A66" t="str">
        <f t="shared" ref="A66:C66" si="29">A31</f>
        <v>27</v>
      </c>
      <c r="B66" t="str">
        <f t="shared" si="29"/>
        <v>Sblandi</v>
      </c>
      <c r="C66" t="str">
        <f t="shared" si="29"/>
        <v>Vincenza</v>
      </c>
      <c r="D66" s="8" t="s">
        <v>399</v>
      </c>
      <c r="E66" s="2">
        <v>1.75</v>
      </c>
      <c r="F66" t="s">
        <v>384</v>
      </c>
      <c r="G66" s="2">
        <v>1.5833333333333333</v>
      </c>
      <c r="H66" t="s">
        <v>435</v>
      </c>
      <c r="I66" s="2">
        <v>1.5833333333333333</v>
      </c>
      <c r="J66" t="s">
        <v>396</v>
      </c>
      <c r="K66" s="2">
        <v>1.2916666666666667</v>
      </c>
      <c r="L66" t="s">
        <v>468</v>
      </c>
      <c r="M66" s="2">
        <v>1.75</v>
      </c>
      <c r="N66" t="s">
        <v>443</v>
      </c>
      <c r="O66" s="2">
        <v>1.5833333333333333</v>
      </c>
      <c r="P66" t="s">
        <v>500</v>
      </c>
      <c r="Q66" s="2">
        <v>1.5833333333333333</v>
      </c>
      <c r="R66" t="s">
        <v>421</v>
      </c>
      <c r="S66" s="2">
        <v>1.75</v>
      </c>
      <c r="T66" t="s">
        <v>433</v>
      </c>
      <c r="U66" s="2">
        <v>1.75</v>
      </c>
      <c r="V66" t="s">
        <v>536</v>
      </c>
      <c r="W66" s="2">
        <v>1.4583333333333333</v>
      </c>
      <c r="X66" t="s">
        <v>550</v>
      </c>
      <c r="Y66" s="2">
        <v>1.75</v>
      </c>
      <c r="Z66" t="s">
        <v>559</v>
      </c>
      <c r="AA66" s="2">
        <v>1.75</v>
      </c>
      <c r="AB66" t="s">
        <v>576</v>
      </c>
      <c r="AC66" s="2">
        <v>1.75</v>
      </c>
      <c r="AD66" t="s">
        <v>384</v>
      </c>
      <c r="AE66" s="2">
        <v>1.5833333333333333</v>
      </c>
      <c r="AF66" t="s">
        <v>472</v>
      </c>
      <c r="AG66" s="2">
        <v>1.5833333333333333</v>
      </c>
      <c r="AH66" t="s">
        <v>396</v>
      </c>
      <c r="AI66" s="2">
        <v>1.2916666666666667</v>
      </c>
      <c r="AJ66" t="s">
        <v>467</v>
      </c>
      <c r="AK66" s="2">
        <v>1.75</v>
      </c>
      <c r="AL66" t="s">
        <v>432</v>
      </c>
      <c r="AM66" s="2">
        <v>1.5833333333333333</v>
      </c>
    </row>
    <row r="67" spans="1:39">
      <c r="A67" t="str">
        <f t="shared" ref="A67:C67" si="30">A32</f>
        <v>28</v>
      </c>
      <c r="B67" t="str">
        <f t="shared" si="30"/>
        <v>Scozzari</v>
      </c>
      <c r="C67" t="str">
        <f t="shared" si="30"/>
        <v>Giuseppina</v>
      </c>
      <c r="D67" s="8" t="s">
        <v>400</v>
      </c>
      <c r="E67" s="2">
        <v>1.75</v>
      </c>
      <c r="F67" t="s">
        <v>422</v>
      </c>
      <c r="G67" s="2">
        <v>1.5833333333333333</v>
      </c>
      <c r="H67" t="s">
        <v>433</v>
      </c>
      <c r="I67" s="2">
        <v>1.75</v>
      </c>
      <c r="J67" t="s">
        <v>417</v>
      </c>
      <c r="K67" s="2">
        <v>1.4583333333333333</v>
      </c>
      <c r="L67" t="s">
        <v>375</v>
      </c>
      <c r="M67" s="2">
        <v>1.5833333333333333</v>
      </c>
      <c r="N67" t="s">
        <v>462</v>
      </c>
      <c r="O67" s="2">
        <v>1.75</v>
      </c>
      <c r="P67" t="s">
        <v>384</v>
      </c>
      <c r="Q67" s="2">
        <v>1.5833333333333333</v>
      </c>
      <c r="R67" t="s">
        <v>472</v>
      </c>
      <c r="S67" s="2">
        <v>1.5833333333333333</v>
      </c>
      <c r="T67" t="s">
        <v>396</v>
      </c>
      <c r="U67" s="2">
        <v>1.2916666666666667</v>
      </c>
      <c r="V67" t="s">
        <v>537</v>
      </c>
      <c r="W67" s="2">
        <v>1.75</v>
      </c>
      <c r="X67" t="s">
        <v>380</v>
      </c>
      <c r="Y67" s="2">
        <v>1.5833333333333333</v>
      </c>
      <c r="Z67" t="s">
        <v>560</v>
      </c>
      <c r="AA67" s="2">
        <v>1.75</v>
      </c>
      <c r="AB67" t="s">
        <v>568</v>
      </c>
      <c r="AC67" s="2">
        <v>1.7083333333333333</v>
      </c>
      <c r="AD67" t="s">
        <v>474</v>
      </c>
      <c r="AE67" s="2">
        <v>1.4583333333333333</v>
      </c>
      <c r="AF67" t="s">
        <v>511</v>
      </c>
      <c r="AG67" s="2">
        <v>1.4583333333333333</v>
      </c>
      <c r="AH67" t="s">
        <v>375</v>
      </c>
      <c r="AI67" s="2">
        <v>1.5833333333333333</v>
      </c>
      <c r="AJ67" t="s">
        <v>462</v>
      </c>
      <c r="AK67" s="2">
        <v>1.75</v>
      </c>
      <c r="AL67" t="s">
        <v>430</v>
      </c>
      <c r="AM67" s="2">
        <v>1.5833333333333333</v>
      </c>
    </row>
    <row r="68" spans="1:39">
      <c r="A68" t="str">
        <f t="shared" ref="A68:C68" si="31">A33</f>
        <v>29</v>
      </c>
      <c r="B68" t="str">
        <f t="shared" si="31"/>
        <v>Tripi</v>
      </c>
      <c r="C68" t="str">
        <f t="shared" si="31"/>
        <v>Elisa</v>
      </c>
      <c r="D68" s="8" t="s">
        <v>401</v>
      </c>
      <c r="E68" s="2">
        <v>1.5833333333333333</v>
      </c>
      <c r="F68" t="s">
        <v>423</v>
      </c>
      <c r="G68" s="2">
        <v>1.75</v>
      </c>
      <c r="H68" t="s">
        <v>421</v>
      </c>
      <c r="I68" s="2">
        <v>1.75</v>
      </c>
      <c r="J68" t="s">
        <v>450</v>
      </c>
      <c r="K68" s="2">
        <v>1.5833333333333333</v>
      </c>
      <c r="L68" t="s">
        <v>469</v>
      </c>
      <c r="M68" s="2">
        <v>1.2916666666666667</v>
      </c>
      <c r="N68" t="s">
        <v>375</v>
      </c>
      <c r="O68" s="2">
        <v>1.5833333333333333</v>
      </c>
      <c r="P68" t="s">
        <v>412</v>
      </c>
      <c r="Q68" s="2">
        <v>1.75</v>
      </c>
      <c r="R68" t="s">
        <v>384</v>
      </c>
      <c r="S68" s="2">
        <v>1.5833333333333333</v>
      </c>
      <c r="T68" t="s">
        <v>472</v>
      </c>
      <c r="U68" s="2">
        <v>1.5833333333333333</v>
      </c>
      <c r="V68" t="s">
        <v>538</v>
      </c>
      <c r="W68" s="2">
        <v>1</v>
      </c>
      <c r="X68" t="s">
        <v>551</v>
      </c>
      <c r="Y68" s="2">
        <v>1.75</v>
      </c>
      <c r="Z68" t="s">
        <v>561</v>
      </c>
      <c r="AA68" s="2">
        <v>1.5833333333333333</v>
      </c>
      <c r="AB68" t="s">
        <v>577</v>
      </c>
      <c r="AC68" s="2">
        <v>1.75</v>
      </c>
      <c r="AD68" t="s">
        <v>580</v>
      </c>
      <c r="AE68" s="2">
        <v>1.75</v>
      </c>
      <c r="AF68" t="s">
        <v>582</v>
      </c>
      <c r="AG68" s="2">
        <v>1.75</v>
      </c>
      <c r="AH68" t="s">
        <v>466</v>
      </c>
      <c r="AI68" s="2">
        <v>1.4583333333333333</v>
      </c>
      <c r="AJ68" t="s">
        <v>481</v>
      </c>
      <c r="AK68" s="2">
        <v>1.75</v>
      </c>
      <c r="AL68" t="s">
        <v>412</v>
      </c>
      <c r="AM68" s="2">
        <v>1.75</v>
      </c>
    </row>
    <row r="70" spans="1:39" s="2" customFormat="1"/>
    <row r="71" spans="1:39" s="2" customFormat="1">
      <c r="D71" s="6"/>
    </row>
    <row r="72" spans="1:39" s="2" customFormat="1">
      <c r="D72" s="6"/>
    </row>
    <row r="73" spans="1:39" s="2" customFormat="1">
      <c r="D73" s="6"/>
    </row>
    <row r="74" spans="1:39" s="2" customFormat="1">
      <c r="D74" s="6"/>
    </row>
    <row r="75" spans="1:39" s="2" customFormat="1">
      <c r="D75" s="6"/>
    </row>
    <row r="76" spans="1:39" s="2" customFormat="1">
      <c r="D76" s="6"/>
    </row>
    <row r="77" spans="1:39" s="2" customFormat="1">
      <c r="D77" s="6"/>
    </row>
    <row r="78" spans="1:39" s="2" customFormat="1">
      <c r="D78" s="6"/>
    </row>
    <row r="79" spans="1:39" s="2" customFormat="1">
      <c r="D79" s="6"/>
    </row>
    <row r="80" spans="1:39" s="2" customFormat="1">
      <c r="D80" s="6"/>
    </row>
    <row r="81" spans="4:4" s="2" customFormat="1">
      <c r="D81" s="6"/>
    </row>
    <row r="82" spans="4:4" s="2" customFormat="1">
      <c r="D82" s="6"/>
    </row>
    <row r="83" spans="4:4" s="2" customFormat="1">
      <c r="D83" s="6"/>
    </row>
    <row r="84" spans="4:4" s="2" customFormat="1">
      <c r="D84" s="6"/>
    </row>
    <row r="85" spans="4:4" s="2" customFormat="1">
      <c r="D85" s="6"/>
    </row>
    <row r="86" spans="4:4" s="2" customFormat="1">
      <c r="D86" s="6"/>
    </row>
    <row r="87" spans="4:4" s="2" customFormat="1">
      <c r="D87" s="6"/>
    </row>
    <row r="88" spans="4:4" s="2" customFormat="1">
      <c r="D88" s="6"/>
    </row>
    <row r="89" spans="4:4" s="2" customFormat="1">
      <c r="D89" s="6"/>
    </row>
    <row r="90" spans="4:4" s="2" customFormat="1">
      <c r="D90" s="6"/>
    </row>
    <row r="91" spans="4:4" s="2" customFormat="1">
      <c r="D91" s="6"/>
    </row>
    <row r="92" spans="4:4" s="2" customFormat="1">
      <c r="D92" s="6"/>
    </row>
    <row r="93" spans="4:4" s="2" customFormat="1">
      <c r="D93" s="6"/>
    </row>
    <row r="94" spans="4:4" s="2" customFormat="1">
      <c r="D94" s="6"/>
    </row>
    <row r="95" spans="4:4" s="2" customFormat="1">
      <c r="D95" s="6"/>
    </row>
    <row r="96" spans="4:4" s="2" customFormat="1">
      <c r="D96" s="6"/>
    </row>
    <row r="97" spans="4:4" s="2" customFormat="1">
      <c r="D97" s="6"/>
    </row>
    <row r="98" spans="4:4" s="2" customFormat="1">
      <c r="D98" s="6"/>
    </row>
    <row r="99" spans="4:4" s="2" customFormat="1">
      <c r="D99" s="6"/>
    </row>
    <row r="100" spans="4:4" s="2" customFormat="1">
      <c r="D100" s="6"/>
    </row>
    <row r="101" spans="4:4" s="2" customFormat="1">
      <c r="D101" s="6"/>
    </row>
    <row r="102" spans="4:4" s="2" customFormat="1">
      <c r="D102" s="6"/>
    </row>
    <row r="103" spans="4:4" s="2" customFormat="1"/>
  </sheetData>
  <pageMargins left="0.7" right="0.7" top="0.75" bottom="0.75" header="0.3" footer="0.3"/>
  <pageSetup paperSize="9" orientation="portrait" r:id="rId1"/>
  <tableParts count="18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T33"/>
  <sheetViews>
    <sheetView tabSelected="1" zoomScaleNormal="100" workbookViewId="0">
      <selection activeCell="AF6" sqref="AF6"/>
    </sheetView>
  </sheetViews>
  <sheetFormatPr defaultColWidth="9.28515625" defaultRowHeight="15"/>
  <cols>
    <col min="1" max="1" width="9.140625" bestFit="1" customWidth="1"/>
    <col min="2" max="2" width="11.140625" bestFit="1" customWidth="1"/>
    <col min="3" max="3" width="13.85546875" bestFit="1" customWidth="1"/>
    <col min="4" max="4" width="22.140625" hidden="1" customWidth="1"/>
    <col min="5" max="5" width="5.5703125" bestFit="1" customWidth="1"/>
    <col min="6" max="6" width="18.85546875" hidden="1" customWidth="1"/>
    <col min="7" max="7" width="5.5703125" bestFit="1" customWidth="1"/>
    <col min="8" max="8" width="20.5703125" hidden="1" customWidth="1"/>
    <col min="9" max="9" width="5.5703125" bestFit="1" customWidth="1"/>
    <col min="10" max="10" width="21.140625" hidden="1" customWidth="1"/>
    <col min="11" max="11" width="5.5703125" bestFit="1" customWidth="1"/>
    <col min="12" max="12" width="21.85546875" hidden="1" customWidth="1"/>
    <col min="13" max="13" width="6.5703125" bestFit="1" customWidth="1"/>
    <col min="14" max="14" width="5.5703125" bestFit="1" customWidth="1"/>
    <col min="15" max="15" width="21.85546875" hidden="1" customWidth="1"/>
    <col min="16" max="16" width="5.5703125" bestFit="1" customWidth="1"/>
    <col min="17" max="17" width="21.140625" hidden="1" customWidth="1"/>
    <col min="18" max="18" width="5.5703125" bestFit="1" customWidth="1"/>
    <col min="19" max="19" width="15" hidden="1" customWidth="1"/>
    <col min="20" max="20" width="5.5703125" bestFit="1" customWidth="1"/>
    <col min="21" max="21" width="21.85546875" hidden="1" customWidth="1"/>
    <col min="22" max="22" width="6.5703125" bestFit="1" customWidth="1"/>
    <col min="23" max="23" width="5.5703125" bestFit="1" customWidth="1"/>
    <col min="24" max="24" width="16.85546875" hidden="1" customWidth="1"/>
    <col min="25" max="25" width="5.5703125" bestFit="1" customWidth="1"/>
    <col min="26" max="26" width="15" hidden="1" customWidth="1"/>
    <col min="27" max="27" width="5.5703125" bestFit="1" customWidth="1"/>
    <col min="28" max="28" width="15.5703125" hidden="1" customWidth="1"/>
    <col min="29" max="29" width="5.5703125" bestFit="1" customWidth="1"/>
    <col min="30" max="30" width="18.28515625" hidden="1" customWidth="1"/>
    <col min="31" max="31" width="6.5703125" bestFit="1" customWidth="1"/>
    <col min="32" max="32" width="9.28515625" bestFit="1" customWidth="1"/>
    <col min="33" max="33" width="5.5703125" bestFit="1" customWidth="1"/>
    <col min="34" max="34" width="15" hidden="1" customWidth="1"/>
    <col min="35" max="35" width="5.5703125" bestFit="1" customWidth="1"/>
    <col min="36" max="36" width="15" hidden="1" customWidth="1"/>
    <col min="37" max="37" width="5.5703125" bestFit="1" customWidth="1"/>
    <col min="38" max="38" width="15" hidden="1" customWidth="1"/>
    <col min="39" max="39" width="5.5703125" bestFit="1" customWidth="1"/>
    <col min="40" max="40" width="15.5703125" hidden="1" customWidth="1"/>
    <col min="41" max="41" width="6.5703125" bestFit="1" customWidth="1"/>
    <col min="42" max="42" width="5.5703125" bestFit="1" customWidth="1"/>
    <col min="43" max="43" width="15" hidden="1" customWidth="1"/>
    <col min="44" max="44" width="5.5703125" bestFit="1" customWidth="1"/>
  </cols>
  <sheetData>
    <row r="1" spans="1:98">
      <c r="A1" s="2">
        <v>19</v>
      </c>
      <c r="D1" s="5" t="s">
        <v>483</v>
      </c>
      <c r="E1" s="5"/>
      <c r="F1" s="5" t="s">
        <v>484</v>
      </c>
      <c r="G1" s="5"/>
      <c r="H1" s="5" t="s">
        <v>485</v>
      </c>
      <c r="I1" s="5"/>
      <c r="J1" t="s">
        <v>486</v>
      </c>
      <c r="L1" t="s">
        <v>487</v>
      </c>
      <c r="O1" t="s">
        <v>488</v>
      </c>
      <c r="Q1" t="s">
        <v>489</v>
      </c>
      <c r="S1" t="s">
        <v>501</v>
      </c>
      <c r="U1" t="s">
        <v>512</v>
      </c>
      <c r="X1" t="s">
        <v>520</v>
      </c>
      <c r="Z1" t="s">
        <v>540</v>
      </c>
      <c r="AB1" t="s">
        <v>552</v>
      </c>
      <c r="AD1" t="s">
        <v>563</v>
      </c>
      <c r="AH1" t="s">
        <v>578</v>
      </c>
      <c r="AJ1" t="s">
        <v>583</v>
      </c>
      <c r="AL1" t="s">
        <v>585</v>
      </c>
      <c r="AN1" t="s">
        <v>589</v>
      </c>
      <c r="AQ1" t="s">
        <v>592</v>
      </c>
    </row>
    <row r="2" spans="1:98">
      <c r="A2" t="s">
        <v>21</v>
      </c>
      <c r="B2" t="s">
        <v>22</v>
      </c>
      <c r="C2" t="s">
        <v>23</v>
      </c>
      <c r="D2" s="9" t="s">
        <v>372</v>
      </c>
      <c r="E2" s="2">
        <v>1.5833333333333333</v>
      </c>
      <c r="F2" t="s">
        <v>402</v>
      </c>
      <c r="G2" s="2">
        <v>1.5833333333333333</v>
      </c>
      <c r="H2" t="s">
        <v>379</v>
      </c>
      <c r="I2" s="2">
        <v>1.2916666666666667</v>
      </c>
      <c r="J2" t="s">
        <v>436</v>
      </c>
      <c r="K2" s="2">
        <v>1.75</v>
      </c>
      <c r="L2" t="s">
        <v>432</v>
      </c>
      <c r="M2" s="11">
        <f>SUM(E2:K2)</f>
        <v>6.208333333333333</v>
      </c>
      <c r="N2" s="2">
        <v>1.5833333333333333</v>
      </c>
      <c r="O2" t="s">
        <v>470</v>
      </c>
      <c r="P2" s="2">
        <v>1.75</v>
      </c>
      <c r="Q2" t="s">
        <v>388</v>
      </c>
      <c r="R2" s="2">
        <v>1.7083333333333333</v>
      </c>
      <c r="S2" t="s">
        <v>456</v>
      </c>
      <c r="T2" s="2">
        <v>1.4583333333333333</v>
      </c>
      <c r="U2" t="s">
        <v>511</v>
      </c>
      <c r="V2" s="11">
        <f>SUM(N2:T2)</f>
        <v>6.4999999999999991</v>
      </c>
      <c r="W2" s="2">
        <v>1.4583333333333333</v>
      </c>
      <c r="X2" t="s">
        <v>519</v>
      </c>
      <c r="Y2" s="2">
        <v>1.5833333333333333</v>
      </c>
      <c r="Z2" t="s">
        <v>539</v>
      </c>
      <c r="AA2" s="2">
        <v>1.75</v>
      </c>
      <c r="AB2" t="s">
        <v>372</v>
      </c>
      <c r="AC2" s="2">
        <v>1.5833333333333333</v>
      </c>
      <c r="AD2" t="s">
        <v>562</v>
      </c>
      <c r="AE2" s="11">
        <f>SUM(W2:AC2)</f>
        <v>6.3749999999999991</v>
      </c>
      <c r="AF2" s="12">
        <f>IF(SUM(M2,V2,AE2)-$A$1,SUM(M2,V2,AE2)-$A$1,$A$1-SUM(M2,V2,AE2))</f>
        <v>8.3333333333332149E-2</v>
      </c>
      <c r="AG2" s="2">
        <v>1.5833333333333333</v>
      </c>
      <c r="AH2" t="s">
        <v>396</v>
      </c>
      <c r="AI2" s="2">
        <v>1.2916666666666667</v>
      </c>
      <c r="AJ2" t="s">
        <v>467</v>
      </c>
      <c r="AK2" s="2">
        <v>1.75</v>
      </c>
      <c r="AL2" t="s">
        <v>432</v>
      </c>
      <c r="AM2" s="2">
        <v>1.5833333333333333</v>
      </c>
      <c r="AN2" t="s">
        <v>588</v>
      </c>
      <c r="AO2" s="11">
        <f>SUM(AG2:AM2)</f>
        <v>6.208333333333333</v>
      </c>
      <c r="AP2" s="2">
        <v>1.75</v>
      </c>
      <c r="AQ2" t="s">
        <v>388</v>
      </c>
      <c r="AR2" s="2">
        <v>1.7083333333333333</v>
      </c>
      <c r="AT2" s="2"/>
      <c r="AW2" s="9"/>
      <c r="BE2" s="9"/>
      <c r="BM2" s="9"/>
      <c r="BU2" s="9"/>
      <c r="CC2" s="9"/>
      <c r="CK2" s="9"/>
      <c r="CS2" s="9"/>
    </row>
    <row r="3" spans="1:98">
      <c r="A3" t="s">
        <v>29</v>
      </c>
      <c r="B3" t="s">
        <v>30</v>
      </c>
      <c r="C3" t="s">
        <v>31</v>
      </c>
      <c r="D3" s="9" t="s">
        <v>373</v>
      </c>
      <c r="E3" s="2">
        <v>1.4583333333333333</v>
      </c>
      <c r="F3" t="s">
        <v>403</v>
      </c>
      <c r="G3" s="2">
        <v>1.5555555555555556</v>
      </c>
      <c r="H3" t="s">
        <v>420</v>
      </c>
      <c r="I3" s="2">
        <v>1.75</v>
      </c>
      <c r="J3" t="s">
        <v>380</v>
      </c>
      <c r="K3" s="2">
        <v>1.5833333333333333</v>
      </c>
      <c r="L3" t="s">
        <v>451</v>
      </c>
      <c r="M3" s="11">
        <f t="shared" ref="M3:M33" si="0">SUM(E3:K3)</f>
        <v>6.3472222222222223</v>
      </c>
      <c r="N3" s="2">
        <v>1.75</v>
      </c>
      <c r="O3" t="s">
        <v>471</v>
      </c>
      <c r="P3" s="2">
        <v>1.7083333333333333</v>
      </c>
      <c r="Q3" t="s">
        <v>490</v>
      </c>
      <c r="R3" s="2">
        <v>1.4583333333333333</v>
      </c>
      <c r="S3" t="s">
        <v>502</v>
      </c>
      <c r="T3" s="2">
        <v>1.75</v>
      </c>
      <c r="U3" t="s">
        <v>513</v>
      </c>
      <c r="V3" s="11">
        <f t="shared" ref="V3:V33" si="1">SUM(N3:T3)</f>
        <v>6.6666666666666661</v>
      </c>
      <c r="W3" s="2">
        <v>1.2916666666666667</v>
      </c>
      <c r="X3" t="s">
        <v>521</v>
      </c>
      <c r="Y3" s="2">
        <v>1.75</v>
      </c>
      <c r="Z3" t="s">
        <v>384</v>
      </c>
      <c r="AA3" s="2">
        <v>1.5833333333333333</v>
      </c>
      <c r="AB3" t="s">
        <v>393</v>
      </c>
      <c r="AC3" s="2">
        <v>1.5833333333333333</v>
      </c>
      <c r="AD3" t="s">
        <v>379</v>
      </c>
      <c r="AE3" s="11">
        <f t="shared" ref="AE3:AE33" si="2">SUM(W3:AC3)</f>
        <v>6.208333333333333</v>
      </c>
      <c r="AF3" s="12">
        <f t="shared" ref="AF3:AF33" si="3">IF(SUM(M3,V3,AE3)-$A$1,SUM(M3,V3,AE3)-$A$1,$A$1-SUM(M3,V3,AE3))</f>
        <v>0.22222222222222143</v>
      </c>
      <c r="AG3" s="2">
        <v>1.2916666666666667</v>
      </c>
      <c r="AH3" t="s">
        <v>467</v>
      </c>
      <c r="AI3" s="2">
        <v>1.75</v>
      </c>
      <c r="AJ3" t="s">
        <v>432</v>
      </c>
      <c r="AK3" s="2">
        <v>1.5833333333333333</v>
      </c>
      <c r="AL3" t="s">
        <v>477</v>
      </c>
      <c r="AM3" s="2">
        <v>1.75</v>
      </c>
      <c r="AN3" t="s">
        <v>388</v>
      </c>
      <c r="AO3" s="11">
        <f t="shared" ref="AO3:AO33" si="4">SUM(AG3:AM3)</f>
        <v>6.375</v>
      </c>
      <c r="AP3" s="2">
        <v>1.7083333333333333</v>
      </c>
      <c r="AQ3" t="s">
        <v>456</v>
      </c>
      <c r="AR3" s="2">
        <v>1.4583333333333333</v>
      </c>
      <c r="AW3" s="9"/>
      <c r="BE3" s="9"/>
      <c r="BM3" s="9"/>
      <c r="BU3" s="9"/>
      <c r="CC3" s="9"/>
      <c r="CK3" s="9"/>
      <c r="CS3" s="9"/>
    </row>
    <row r="4" spans="1:98">
      <c r="A4" t="s">
        <v>33</v>
      </c>
      <c r="B4" t="s">
        <v>34</v>
      </c>
      <c r="C4" t="s">
        <v>35</v>
      </c>
      <c r="D4" s="9" t="s">
        <v>374</v>
      </c>
      <c r="E4" s="2">
        <v>1.8194444444444444</v>
      </c>
      <c r="F4" t="s">
        <v>404</v>
      </c>
      <c r="G4" s="2">
        <v>1.4583333333333333</v>
      </c>
      <c r="H4" t="s">
        <v>417</v>
      </c>
      <c r="I4" s="2">
        <v>1.4583333333333333</v>
      </c>
      <c r="J4" t="s">
        <v>437</v>
      </c>
      <c r="K4" s="2">
        <v>1.75</v>
      </c>
      <c r="L4" t="s">
        <v>452</v>
      </c>
      <c r="M4" s="11">
        <f t="shared" si="0"/>
        <v>6.4861111111111107</v>
      </c>
      <c r="N4" s="2">
        <v>1.75</v>
      </c>
      <c r="O4" t="s">
        <v>384</v>
      </c>
      <c r="P4" s="2">
        <v>1.5833333333333333</v>
      </c>
      <c r="Q4" t="s">
        <v>491</v>
      </c>
      <c r="R4" s="2">
        <v>1.5833333333333333</v>
      </c>
      <c r="S4" t="s">
        <v>396</v>
      </c>
      <c r="T4" s="2">
        <v>1.2916666666666667</v>
      </c>
      <c r="U4" t="s">
        <v>467</v>
      </c>
      <c r="V4" s="11">
        <f t="shared" si="1"/>
        <v>6.208333333333333</v>
      </c>
      <c r="W4" s="2">
        <v>1.75</v>
      </c>
      <c r="X4" t="s">
        <v>522</v>
      </c>
      <c r="Y4" s="2">
        <v>1.2916666666666667</v>
      </c>
      <c r="Z4" t="s">
        <v>533</v>
      </c>
      <c r="AA4" s="2">
        <v>1.75</v>
      </c>
      <c r="AB4" t="s">
        <v>388</v>
      </c>
      <c r="AC4" s="2">
        <v>1.7083333333333333</v>
      </c>
      <c r="AD4" t="s">
        <v>474</v>
      </c>
      <c r="AE4" s="11">
        <f t="shared" si="2"/>
        <v>6.5</v>
      </c>
      <c r="AF4" s="12">
        <f t="shared" si="3"/>
        <v>0.19444444444444287</v>
      </c>
      <c r="AG4" s="2">
        <v>1.4583333333333333</v>
      </c>
      <c r="AH4" t="s">
        <v>511</v>
      </c>
      <c r="AI4" s="2">
        <v>1.4583333333333333</v>
      </c>
      <c r="AJ4" t="s">
        <v>375</v>
      </c>
      <c r="AK4" s="2">
        <v>1.5833333333333333</v>
      </c>
      <c r="AL4" t="s">
        <v>462</v>
      </c>
      <c r="AM4" s="2">
        <v>1.75</v>
      </c>
      <c r="AN4" t="s">
        <v>384</v>
      </c>
      <c r="AO4" s="11">
        <f t="shared" si="4"/>
        <v>6.25</v>
      </c>
      <c r="AP4" s="2">
        <v>1.5833333333333333</v>
      </c>
      <c r="AQ4" t="s">
        <v>472</v>
      </c>
      <c r="AR4" s="2">
        <v>1.5833333333333333</v>
      </c>
      <c r="AW4" s="9"/>
      <c r="BE4" s="9"/>
      <c r="BM4" s="9"/>
      <c r="BU4" s="9"/>
      <c r="CC4" s="9"/>
      <c r="CK4" s="9"/>
      <c r="CS4" s="9"/>
    </row>
    <row r="5" spans="1:98">
      <c r="A5" t="s">
        <v>37</v>
      </c>
      <c r="B5" t="s">
        <v>38</v>
      </c>
      <c r="C5" t="s">
        <v>39</v>
      </c>
      <c r="D5" s="9" t="s">
        <v>375</v>
      </c>
      <c r="E5" s="2">
        <v>1.5833333333333333</v>
      </c>
      <c r="F5" t="s">
        <v>380</v>
      </c>
      <c r="G5" s="2">
        <v>1.5833333333333333</v>
      </c>
      <c r="H5" t="s">
        <v>384</v>
      </c>
      <c r="I5" s="2">
        <v>1.5833333333333333</v>
      </c>
      <c r="J5" t="s">
        <v>421</v>
      </c>
      <c r="K5" s="2">
        <v>1.75</v>
      </c>
      <c r="L5" t="s">
        <v>384</v>
      </c>
      <c r="M5" s="11">
        <f t="shared" si="0"/>
        <v>6.5</v>
      </c>
      <c r="N5" s="2">
        <v>1.5833333333333333</v>
      </c>
      <c r="O5" t="s">
        <v>472</v>
      </c>
      <c r="P5" s="2">
        <v>1.5833333333333333</v>
      </c>
      <c r="Q5" t="s">
        <v>492</v>
      </c>
      <c r="R5" s="2">
        <v>1.4583333333333333</v>
      </c>
      <c r="S5" t="s">
        <v>503</v>
      </c>
      <c r="T5" s="2">
        <v>1.75</v>
      </c>
      <c r="U5" t="s">
        <v>432</v>
      </c>
      <c r="V5" s="11">
        <f t="shared" si="1"/>
        <v>6.375</v>
      </c>
      <c r="W5" s="2">
        <v>1.5833333333333333</v>
      </c>
      <c r="X5" t="s">
        <v>523</v>
      </c>
      <c r="Y5" s="2">
        <v>1.75</v>
      </c>
      <c r="Z5" t="s">
        <v>388</v>
      </c>
      <c r="AA5" s="2">
        <v>1.7083333333333333</v>
      </c>
      <c r="AB5" t="s">
        <v>415</v>
      </c>
      <c r="AC5" s="2">
        <v>1.4583333333333333</v>
      </c>
      <c r="AD5" t="s">
        <v>390</v>
      </c>
      <c r="AE5" s="11">
        <f t="shared" si="2"/>
        <v>6.4999999999999991</v>
      </c>
      <c r="AF5" s="12">
        <f t="shared" si="3"/>
        <v>0.375</v>
      </c>
      <c r="AG5" s="2">
        <v>1.4583333333333333</v>
      </c>
      <c r="AH5" t="s">
        <v>375</v>
      </c>
      <c r="AI5" s="2">
        <v>1.5833333333333333</v>
      </c>
      <c r="AJ5" t="s">
        <v>462</v>
      </c>
      <c r="AK5" s="2">
        <v>1.75</v>
      </c>
      <c r="AL5" t="s">
        <v>384</v>
      </c>
      <c r="AM5" s="2">
        <v>1.5833333333333333</v>
      </c>
      <c r="AN5" t="s">
        <v>472</v>
      </c>
      <c r="AO5" s="11">
        <f t="shared" si="4"/>
        <v>6.3749999999999991</v>
      </c>
      <c r="AP5" s="2">
        <v>1.5833333333333333</v>
      </c>
      <c r="AQ5" t="s">
        <v>396</v>
      </c>
      <c r="AR5" s="2">
        <v>1.2916666666666667</v>
      </c>
      <c r="AX5" s="9"/>
      <c r="BF5" s="9"/>
      <c r="BN5" s="9"/>
      <c r="BV5" s="9"/>
      <c r="CD5" s="9"/>
      <c r="CL5" s="9"/>
      <c r="CT5" s="9"/>
    </row>
    <row r="6" spans="1:98">
      <c r="A6" t="s">
        <v>40</v>
      </c>
      <c r="B6" t="s">
        <v>41</v>
      </c>
      <c r="C6" t="s">
        <v>42</v>
      </c>
      <c r="D6" s="9" t="s">
        <v>376</v>
      </c>
      <c r="E6" s="2">
        <v>1.4583333333333333</v>
      </c>
      <c r="F6" t="s">
        <v>394</v>
      </c>
      <c r="G6" s="2">
        <v>1.5833333333333333</v>
      </c>
      <c r="H6" t="s">
        <v>380</v>
      </c>
      <c r="I6" s="2">
        <v>1.5833333333333333</v>
      </c>
      <c r="J6" t="s">
        <v>384</v>
      </c>
      <c r="K6" s="2">
        <v>1.5833333333333333</v>
      </c>
      <c r="L6" t="s">
        <v>446</v>
      </c>
      <c r="M6" s="11">
        <f t="shared" si="0"/>
        <v>6.208333333333333</v>
      </c>
      <c r="N6" s="2">
        <v>1.5833333333333333</v>
      </c>
      <c r="O6" t="s">
        <v>417</v>
      </c>
      <c r="P6" s="2">
        <v>1.4583333333333333</v>
      </c>
      <c r="Q6" t="s">
        <v>381</v>
      </c>
      <c r="R6" s="2">
        <v>1.75</v>
      </c>
      <c r="S6" t="s">
        <v>504</v>
      </c>
      <c r="T6" s="2">
        <v>1.5833333333333333</v>
      </c>
      <c r="U6" t="s">
        <v>477</v>
      </c>
      <c r="V6" s="11">
        <f t="shared" si="1"/>
        <v>6.3749999999999991</v>
      </c>
      <c r="W6" s="2">
        <v>1.75</v>
      </c>
      <c r="X6" t="s">
        <v>388</v>
      </c>
      <c r="Y6" s="2">
        <v>1.7083333333333333</v>
      </c>
      <c r="Z6" t="s">
        <v>434</v>
      </c>
      <c r="AA6" s="2">
        <v>1.4583333333333333</v>
      </c>
      <c r="AB6" t="s">
        <v>389</v>
      </c>
      <c r="AC6" s="2">
        <v>1.4583333333333333</v>
      </c>
      <c r="AD6" t="s">
        <v>394</v>
      </c>
      <c r="AE6" s="11">
        <f t="shared" si="2"/>
        <v>6.3749999999999991</v>
      </c>
      <c r="AF6" s="12">
        <f t="shared" si="3"/>
        <v>-4.1666666666667851E-2</v>
      </c>
      <c r="AG6" s="2">
        <v>1.5833333333333333</v>
      </c>
      <c r="AH6" t="s">
        <v>462</v>
      </c>
      <c r="AI6" s="2">
        <v>1.75</v>
      </c>
      <c r="AJ6" t="s">
        <v>384</v>
      </c>
      <c r="AK6" s="2">
        <v>1.5833333333333333</v>
      </c>
      <c r="AL6" t="s">
        <v>472</v>
      </c>
      <c r="AM6" s="2">
        <v>1.5833333333333333</v>
      </c>
      <c r="AN6" t="s">
        <v>396</v>
      </c>
      <c r="AO6" s="11">
        <f t="shared" si="4"/>
        <v>6.4999999999999991</v>
      </c>
      <c r="AP6" s="2">
        <v>1.2916666666666667</v>
      </c>
      <c r="AQ6" t="s">
        <v>467</v>
      </c>
      <c r="AR6" s="2">
        <v>1.75</v>
      </c>
      <c r="AW6" s="9"/>
      <c r="BE6" s="9"/>
      <c r="BM6" s="9"/>
      <c r="BU6" s="9"/>
      <c r="CC6" s="9"/>
      <c r="CK6" s="9"/>
      <c r="CS6" s="9"/>
    </row>
    <row r="7" spans="1:98">
      <c r="A7" t="s">
        <v>43</v>
      </c>
      <c r="B7" t="s">
        <v>44</v>
      </c>
      <c r="C7" t="s">
        <v>45</v>
      </c>
      <c r="D7" s="9" t="s">
        <v>377</v>
      </c>
      <c r="E7" s="2">
        <v>1.4583333333333333</v>
      </c>
      <c r="F7" t="s">
        <v>405</v>
      </c>
      <c r="G7" s="2">
        <v>1.75</v>
      </c>
      <c r="H7" t="s">
        <v>424</v>
      </c>
      <c r="I7" s="2">
        <v>1.5833333333333333</v>
      </c>
      <c r="J7" t="s">
        <v>438</v>
      </c>
      <c r="K7" s="2">
        <v>1.5833333333333333</v>
      </c>
      <c r="L7" t="s">
        <v>453</v>
      </c>
      <c r="M7" s="11">
        <f t="shared" si="0"/>
        <v>6.3749999999999991</v>
      </c>
      <c r="N7" s="2">
        <v>1.5833333333333333</v>
      </c>
      <c r="O7" t="s">
        <v>473</v>
      </c>
      <c r="P7" s="2">
        <v>1.6388888888888891</v>
      </c>
      <c r="Q7" t="s">
        <v>493</v>
      </c>
      <c r="R7" s="2">
        <v>1.4583333333333333</v>
      </c>
      <c r="S7" t="s">
        <v>505</v>
      </c>
      <c r="T7" s="2">
        <v>1.75</v>
      </c>
      <c r="U7" t="s">
        <v>514</v>
      </c>
      <c r="V7" s="11">
        <f t="shared" si="1"/>
        <v>6.4305555555555554</v>
      </c>
      <c r="W7" s="2">
        <v>1.5833333333333333</v>
      </c>
      <c r="X7" t="s">
        <v>524</v>
      </c>
      <c r="Y7" s="2">
        <v>1.75</v>
      </c>
      <c r="Z7" t="s">
        <v>421</v>
      </c>
      <c r="AA7" s="2">
        <v>1.75</v>
      </c>
      <c r="AB7" t="s">
        <v>433</v>
      </c>
      <c r="AC7" s="2">
        <v>1.75</v>
      </c>
      <c r="AD7" t="s">
        <v>564</v>
      </c>
      <c r="AE7" s="11">
        <f t="shared" si="2"/>
        <v>6.833333333333333</v>
      </c>
      <c r="AF7" s="12">
        <f t="shared" si="3"/>
        <v>0.63888888888888573</v>
      </c>
      <c r="AG7" s="2">
        <v>1.4583333333333333</v>
      </c>
      <c r="AH7" t="s">
        <v>481</v>
      </c>
      <c r="AI7" s="2">
        <v>1.75</v>
      </c>
      <c r="AJ7" t="s">
        <v>412</v>
      </c>
      <c r="AK7" s="2">
        <v>1.75</v>
      </c>
      <c r="AL7" t="s">
        <v>579</v>
      </c>
      <c r="AM7" s="2">
        <v>1.75</v>
      </c>
      <c r="AN7" t="s">
        <v>580</v>
      </c>
      <c r="AO7" s="11">
        <f t="shared" si="4"/>
        <v>6.708333333333333</v>
      </c>
      <c r="AP7" s="2">
        <v>1.75</v>
      </c>
      <c r="AQ7" t="s">
        <v>582</v>
      </c>
      <c r="AR7" s="2">
        <v>1.75</v>
      </c>
      <c r="AW7" s="9"/>
      <c r="BE7" s="9"/>
      <c r="BM7" s="9"/>
      <c r="BU7" s="9"/>
      <c r="CC7" s="9"/>
      <c r="CK7" s="9"/>
      <c r="CS7" s="9"/>
    </row>
    <row r="8" spans="1:98">
      <c r="A8" t="s">
        <v>50</v>
      </c>
      <c r="B8" t="s">
        <v>44</v>
      </c>
      <c r="C8" t="s">
        <v>51</v>
      </c>
      <c r="D8" s="9" t="s">
        <v>378</v>
      </c>
      <c r="E8" s="2">
        <v>1.2916666666666667</v>
      </c>
      <c r="F8" t="s">
        <v>406</v>
      </c>
      <c r="G8" s="2">
        <v>1.4583333333333333</v>
      </c>
      <c r="H8" t="s">
        <v>375</v>
      </c>
      <c r="I8" s="2">
        <v>1.5833333333333333</v>
      </c>
      <c r="J8" t="s">
        <v>439</v>
      </c>
      <c r="K8" s="2">
        <v>1.75</v>
      </c>
      <c r="L8" t="s">
        <v>454</v>
      </c>
      <c r="M8" s="11">
        <f t="shared" si="0"/>
        <v>6.083333333333333</v>
      </c>
      <c r="N8" s="2">
        <v>1.5833333333333333</v>
      </c>
      <c r="O8" t="s">
        <v>388</v>
      </c>
      <c r="P8" s="2">
        <v>1.7083333333333333</v>
      </c>
      <c r="Q8" t="s">
        <v>456</v>
      </c>
      <c r="R8" s="2">
        <v>1.4583333333333333</v>
      </c>
      <c r="S8" t="s">
        <v>502</v>
      </c>
      <c r="T8" s="2">
        <v>1.75</v>
      </c>
      <c r="U8" t="s">
        <v>513</v>
      </c>
      <c r="V8" s="11">
        <f t="shared" si="1"/>
        <v>6.5</v>
      </c>
      <c r="W8" s="2">
        <v>1.2916666666666667</v>
      </c>
      <c r="X8" t="s">
        <v>408</v>
      </c>
      <c r="Y8" s="2">
        <v>1.75</v>
      </c>
      <c r="Z8" t="s">
        <v>423</v>
      </c>
      <c r="AA8" s="2">
        <v>1.75</v>
      </c>
      <c r="AB8" t="s">
        <v>553</v>
      </c>
      <c r="AC8" s="2">
        <v>1.75</v>
      </c>
      <c r="AD8" t="s">
        <v>565</v>
      </c>
      <c r="AE8" s="11">
        <f t="shared" si="2"/>
        <v>6.541666666666667</v>
      </c>
      <c r="AF8" s="12">
        <f t="shared" si="3"/>
        <v>0.125</v>
      </c>
      <c r="AG8" s="2">
        <v>1.75</v>
      </c>
      <c r="AH8" t="s">
        <v>466</v>
      </c>
      <c r="AI8" s="2">
        <v>1.4583333333333333</v>
      </c>
      <c r="AJ8" t="s">
        <v>481</v>
      </c>
      <c r="AK8" s="2">
        <v>1.75</v>
      </c>
      <c r="AL8" t="s">
        <v>412</v>
      </c>
      <c r="AM8" s="2">
        <v>1.75</v>
      </c>
      <c r="AN8" t="s">
        <v>579</v>
      </c>
      <c r="AO8" s="11">
        <f t="shared" si="4"/>
        <v>6.708333333333333</v>
      </c>
      <c r="AP8" s="2">
        <v>1.75</v>
      </c>
      <c r="AQ8" t="s">
        <v>580</v>
      </c>
      <c r="AR8" s="2">
        <v>1.75</v>
      </c>
      <c r="AW8" s="9"/>
      <c r="BE8" s="9"/>
      <c r="BM8" s="9"/>
      <c r="BU8" s="9"/>
      <c r="CC8" s="9"/>
      <c r="CK8" s="9"/>
      <c r="CS8" s="9"/>
    </row>
    <row r="9" spans="1:98">
      <c r="A9" t="s">
        <v>52</v>
      </c>
      <c r="B9" t="s">
        <v>53</v>
      </c>
      <c r="C9" t="s">
        <v>54</v>
      </c>
      <c r="D9" s="9" t="s">
        <v>379</v>
      </c>
      <c r="E9" s="2">
        <v>1.2916666666666667</v>
      </c>
      <c r="F9" t="s">
        <v>407</v>
      </c>
      <c r="G9" s="2">
        <v>1.75</v>
      </c>
      <c r="H9" t="s">
        <v>408</v>
      </c>
      <c r="I9" s="2">
        <v>1.75</v>
      </c>
      <c r="J9" t="s">
        <v>423</v>
      </c>
      <c r="K9" s="2">
        <v>1.75</v>
      </c>
      <c r="L9" t="s">
        <v>455</v>
      </c>
      <c r="M9" s="11">
        <f t="shared" si="0"/>
        <v>6.541666666666667</v>
      </c>
      <c r="N9" s="2">
        <v>1.7083333333333333</v>
      </c>
      <c r="O9" t="s">
        <v>474</v>
      </c>
      <c r="P9" s="2">
        <v>1.4583333333333333</v>
      </c>
      <c r="Q9" t="s">
        <v>469</v>
      </c>
      <c r="R9" s="2">
        <v>1.2916666666666667</v>
      </c>
      <c r="S9" t="s">
        <v>375</v>
      </c>
      <c r="T9" s="2">
        <v>1.5833333333333333</v>
      </c>
      <c r="U9" t="s">
        <v>462</v>
      </c>
      <c r="V9" s="11">
        <f t="shared" si="1"/>
        <v>6.0416666666666661</v>
      </c>
      <c r="W9" s="2">
        <v>1.75</v>
      </c>
      <c r="X9" t="s">
        <v>430</v>
      </c>
      <c r="Y9" s="2">
        <v>1.5833333333333333</v>
      </c>
      <c r="Z9" t="s">
        <v>393</v>
      </c>
      <c r="AA9" s="2">
        <v>1.5833333333333333</v>
      </c>
      <c r="AB9" t="s">
        <v>379</v>
      </c>
      <c r="AC9" s="2">
        <v>1.2916666666666667</v>
      </c>
      <c r="AD9" t="s">
        <v>551</v>
      </c>
      <c r="AE9" s="11">
        <f t="shared" si="2"/>
        <v>6.208333333333333</v>
      </c>
      <c r="AF9" s="12">
        <f t="shared" si="3"/>
        <v>-0.2083333333333357</v>
      </c>
      <c r="AG9" s="2">
        <v>1.75</v>
      </c>
      <c r="AH9" t="s">
        <v>432</v>
      </c>
      <c r="AI9" s="2">
        <v>1.5833333333333333</v>
      </c>
      <c r="AJ9" t="s">
        <v>477</v>
      </c>
      <c r="AK9" s="2">
        <v>1.75</v>
      </c>
      <c r="AL9" t="s">
        <v>388</v>
      </c>
      <c r="AM9" s="2">
        <v>1.7083333333333333</v>
      </c>
      <c r="AN9" t="s">
        <v>456</v>
      </c>
      <c r="AO9" s="11">
        <f t="shared" si="4"/>
        <v>6.7916666666666661</v>
      </c>
      <c r="AP9" s="2">
        <v>1.4583333333333333</v>
      </c>
      <c r="AQ9" t="s">
        <v>511</v>
      </c>
      <c r="AR9" s="2">
        <v>1.4583333333333333</v>
      </c>
      <c r="AW9" s="9"/>
      <c r="BE9" s="9"/>
      <c r="BM9" s="9"/>
      <c r="BU9" s="9"/>
      <c r="CC9" s="9"/>
      <c r="CK9" s="9"/>
      <c r="CS9" s="9"/>
    </row>
    <row r="10" spans="1:98">
      <c r="A10" t="s">
        <v>55</v>
      </c>
      <c r="B10" t="s">
        <v>56</v>
      </c>
      <c r="C10" t="s">
        <v>57</v>
      </c>
      <c r="D10" s="9" t="s">
        <v>380</v>
      </c>
      <c r="E10" s="2">
        <v>1.5833333333333333</v>
      </c>
      <c r="F10" t="s">
        <v>398</v>
      </c>
      <c r="G10" s="2">
        <v>1.75</v>
      </c>
      <c r="H10" t="s">
        <v>422</v>
      </c>
      <c r="I10" s="2">
        <v>1.5833333333333333</v>
      </c>
      <c r="J10" t="s">
        <v>433</v>
      </c>
      <c r="K10" s="2">
        <v>1.75</v>
      </c>
      <c r="L10" t="s">
        <v>417</v>
      </c>
      <c r="M10" s="11">
        <f t="shared" si="0"/>
        <v>6.6666666666666661</v>
      </c>
      <c r="N10" s="2">
        <v>1.4583333333333333</v>
      </c>
      <c r="O10" t="s">
        <v>375</v>
      </c>
      <c r="P10" s="2">
        <v>1.5833333333333333</v>
      </c>
      <c r="Q10" t="s">
        <v>462</v>
      </c>
      <c r="R10" s="2">
        <v>1.75</v>
      </c>
      <c r="S10" t="s">
        <v>384</v>
      </c>
      <c r="T10" s="2">
        <v>1.5833333333333333</v>
      </c>
      <c r="U10" t="s">
        <v>515</v>
      </c>
      <c r="V10" s="11">
        <f t="shared" si="1"/>
        <v>6.3749999999999991</v>
      </c>
      <c r="W10" s="2">
        <v>1.4166666666666667</v>
      </c>
      <c r="X10" t="s">
        <v>396</v>
      </c>
      <c r="Y10" s="2">
        <v>1.2916666666666667</v>
      </c>
      <c r="Z10" t="s">
        <v>532</v>
      </c>
      <c r="AA10" s="2">
        <v>1.75</v>
      </c>
      <c r="AB10" t="s">
        <v>380</v>
      </c>
      <c r="AC10" s="2">
        <v>1.5833333333333333</v>
      </c>
      <c r="AD10" t="s">
        <v>400</v>
      </c>
      <c r="AE10" s="11">
        <f t="shared" si="2"/>
        <v>6.041666666666667</v>
      </c>
      <c r="AF10" s="12">
        <f t="shared" si="3"/>
        <v>8.3333333333332149E-2</v>
      </c>
      <c r="AG10" s="2">
        <v>1.75</v>
      </c>
      <c r="AH10" t="s">
        <v>388</v>
      </c>
      <c r="AI10" s="2">
        <v>1.7083333333333333</v>
      </c>
      <c r="AJ10" t="s">
        <v>456</v>
      </c>
      <c r="AK10" s="2">
        <v>1.4583333333333333</v>
      </c>
      <c r="AL10" t="s">
        <v>511</v>
      </c>
      <c r="AM10" s="2">
        <v>1.4583333333333333</v>
      </c>
      <c r="AN10" t="s">
        <v>375</v>
      </c>
      <c r="AO10" s="11">
        <f t="shared" si="4"/>
        <v>6.3749999999999991</v>
      </c>
      <c r="AP10" s="2">
        <v>1.5833333333333333</v>
      </c>
      <c r="AQ10" t="s">
        <v>462</v>
      </c>
      <c r="AR10" s="2">
        <v>1.75</v>
      </c>
      <c r="AX10" s="9"/>
      <c r="BF10" s="9"/>
      <c r="BN10" s="9"/>
      <c r="BV10" s="9"/>
      <c r="CD10" s="9"/>
      <c r="CL10" s="9"/>
      <c r="CT10" s="9"/>
    </row>
    <row r="11" spans="1:98">
      <c r="A11" t="s">
        <v>59</v>
      </c>
      <c r="B11" t="s">
        <v>60</v>
      </c>
      <c r="C11" t="s">
        <v>61</v>
      </c>
      <c r="D11" s="9" t="s">
        <v>381</v>
      </c>
      <c r="E11" s="2">
        <v>1.75</v>
      </c>
      <c r="F11" t="s">
        <v>408</v>
      </c>
      <c r="G11" s="2">
        <v>1.75</v>
      </c>
      <c r="H11" t="s">
        <v>400</v>
      </c>
      <c r="I11" s="2">
        <v>1.75</v>
      </c>
      <c r="J11" t="s">
        <v>388</v>
      </c>
      <c r="K11" s="2">
        <v>1.7083333333333333</v>
      </c>
      <c r="L11" t="s">
        <v>456</v>
      </c>
      <c r="M11" s="11">
        <f t="shared" si="0"/>
        <v>6.958333333333333</v>
      </c>
      <c r="N11" s="2">
        <v>1.4583333333333333</v>
      </c>
      <c r="O11" t="s">
        <v>469</v>
      </c>
      <c r="P11" s="2">
        <v>1.2916666666666667</v>
      </c>
      <c r="Q11" t="s">
        <v>375</v>
      </c>
      <c r="R11" s="2">
        <v>1.5833333333333333</v>
      </c>
      <c r="S11" t="s">
        <v>506</v>
      </c>
      <c r="T11" s="2">
        <v>1.75</v>
      </c>
      <c r="U11" t="s">
        <v>384</v>
      </c>
      <c r="V11" s="11">
        <f t="shared" si="1"/>
        <v>6.083333333333333</v>
      </c>
      <c r="W11" s="2">
        <v>1.5833333333333333</v>
      </c>
      <c r="X11" t="s">
        <v>525</v>
      </c>
      <c r="Y11" s="2">
        <v>1.5833333333333333</v>
      </c>
      <c r="Z11" t="s">
        <v>396</v>
      </c>
      <c r="AA11" s="2">
        <v>1.2916666666666667</v>
      </c>
      <c r="AB11" t="s">
        <v>416</v>
      </c>
      <c r="AC11" s="2">
        <v>1.75</v>
      </c>
      <c r="AD11" t="s">
        <v>380</v>
      </c>
      <c r="AE11" s="11">
        <f t="shared" si="2"/>
        <v>6.208333333333333</v>
      </c>
      <c r="AF11" s="12">
        <f t="shared" si="3"/>
        <v>0.25</v>
      </c>
      <c r="AG11" s="2">
        <v>1.5833333333333333</v>
      </c>
      <c r="AH11" t="s">
        <v>477</v>
      </c>
      <c r="AI11" s="2">
        <v>1.75</v>
      </c>
      <c r="AJ11" t="s">
        <v>388</v>
      </c>
      <c r="AK11" s="2">
        <v>1.7083333333333333</v>
      </c>
      <c r="AL11" t="s">
        <v>456</v>
      </c>
      <c r="AM11" s="2">
        <v>1.4583333333333333</v>
      </c>
      <c r="AN11" t="s">
        <v>511</v>
      </c>
      <c r="AO11" s="11">
        <f t="shared" si="4"/>
        <v>6.4999999999999991</v>
      </c>
      <c r="AP11" s="2">
        <v>1.4583333333333333</v>
      </c>
      <c r="AQ11" t="s">
        <v>375</v>
      </c>
      <c r="AR11" s="2">
        <v>1.5833333333333333</v>
      </c>
      <c r="AX11" s="9"/>
      <c r="BF11" s="9"/>
      <c r="BN11" s="9"/>
      <c r="BV11" s="9"/>
      <c r="CD11" s="9"/>
      <c r="CL11" s="9"/>
      <c r="CT11" s="9"/>
    </row>
    <row r="12" spans="1:98">
      <c r="A12" t="s">
        <v>62</v>
      </c>
      <c r="B12" t="s">
        <v>63</v>
      </c>
      <c r="C12" t="s">
        <v>54</v>
      </c>
      <c r="D12" s="9" t="s">
        <v>381</v>
      </c>
      <c r="E12" s="2">
        <v>1.75</v>
      </c>
      <c r="F12" t="s">
        <v>409</v>
      </c>
      <c r="G12" s="2">
        <v>1.6944444444444444</v>
      </c>
      <c r="H12" t="s">
        <v>425</v>
      </c>
      <c r="I12" s="2">
        <v>1.5833333333333333</v>
      </c>
      <c r="J12" t="s">
        <v>440</v>
      </c>
      <c r="K12" s="2">
        <v>1.5833333333333333</v>
      </c>
      <c r="L12" t="s">
        <v>396</v>
      </c>
      <c r="M12" s="11">
        <f t="shared" si="0"/>
        <v>6.6111111111111107</v>
      </c>
      <c r="N12" s="2">
        <v>1.2916666666666667</v>
      </c>
      <c r="O12" t="s">
        <v>383</v>
      </c>
      <c r="P12" s="2">
        <v>1.75</v>
      </c>
      <c r="Q12" t="s">
        <v>432</v>
      </c>
      <c r="R12" s="2">
        <v>1.5833333333333333</v>
      </c>
      <c r="S12" t="s">
        <v>507</v>
      </c>
      <c r="T12" s="2">
        <v>1.75</v>
      </c>
      <c r="U12" t="s">
        <v>516</v>
      </c>
      <c r="V12" s="11">
        <f t="shared" si="1"/>
        <v>6.375</v>
      </c>
      <c r="W12" s="2">
        <v>1.875</v>
      </c>
      <c r="X12" t="s">
        <v>526</v>
      </c>
      <c r="Y12" s="2">
        <v>1.4583333333333333</v>
      </c>
      <c r="Z12" t="s">
        <v>396</v>
      </c>
      <c r="AA12" s="2">
        <v>1.2916666666666667</v>
      </c>
      <c r="AB12" t="s">
        <v>554</v>
      </c>
      <c r="AC12" s="2">
        <v>1.5833333333333333</v>
      </c>
      <c r="AD12" t="s">
        <v>452</v>
      </c>
      <c r="AE12" s="11">
        <f t="shared" si="2"/>
        <v>6.208333333333333</v>
      </c>
      <c r="AF12" s="12">
        <f t="shared" si="3"/>
        <v>0.19444444444444287</v>
      </c>
      <c r="AG12" s="2">
        <v>1.75</v>
      </c>
      <c r="AH12" t="s">
        <v>579</v>
      </c>
      <c r="AI12" s="2">
        <v>1.75</v>
      </c>
      <c r="AJ12" t="s">
        <v>580</v>
      </c>
      <c r="AK12" s="2">
        <v>1.75</v>
      </c>
      <c r="AL12" t="s">
        <v>582</v>
      </c>
      <c r="AM12" s="2">
        <v>1.75</v>
      </c>
      <c r="AN12" t="s">
        <v>466</v>
      </c>
      <c r="AO12" s="11">
        <f t="shared" si="4"/>
        <v>7</v>
      </c>
      <c r="AP12" s="2">
        <v>1.4583333333333333</v>
      </c>
      <c r="AQ12" t="s">
        <v>481</v>
      </c>
      <c r="AR12" s="2">
        <v>1.75</v>
      </c>
      <c r="AX12" s="9"/>
      <c r="BF12" s="9"/>
      <c r="BN12" s="9"/>
      <c r="BV12" s="9"/>
      <c r="CD12" s="9"/>
      <c r="CL12" s="9"/>
      <c r="CT12" s="9"/>
    </row>
    <row r="13" spans="1:98">
      <c r="A13" t="s">
        <v>66</v>
      </c>
      <c r="B13" t="s">
        <v>67</v>
      </c>
      <c r="C13" t="s">
        <v>68</v>
      </c>
      <c r="D13" s="9" t="s">
        <v>382</v>
      </c>
      <c r="E13" s="2">
        <v>1.5833333333333333</v>
      </c>
      <c r="F13" t="s">
        <v>410</v>
      </c>
      <c r="G13" s="2">
        <v>1.5833333333333333</v>
      </c>
      <c r="H13" t="s">
        <v>426</v>
      </c>
      <c r="I13" s="2">
        <v>1.5833333333333333</v>
      </c>
      <c r="J13" t="s">
        <v>441</v>
      </c>
      <c r="K13" s="2">
        <v>1.4027777777777777</v>
      </c>
      <c r="L13" t="s">
        <v>457</v>
      </c>
      <c r="M13" s="11">
        <f t="shared" si="0"/>
        <v>6.1527777777777777</v>
      </c>
      <c r="N13" s="2">
        <v>1.75</v>
      </c>
      <c r="O13" t="s">
        <v>475</v>
      </c>
      <c r="P13" s="2">
        <v>0</v>
      </c>
      <c r="Q13" t="s">
        <v>475</v>
      </c>
      <c r="R13" s="2">
        <v>0</v>
      </c>
      <c r="S13" t="s">
        <v>475</v>
      </c>
      <c r="T13" s="2">
        <v>0</v>
      </c>
      <c r="U13" t="s">
        <v>475</v>
      </c>
      <c r="V13" s="11">
        <f t="shared" si="1"/>
        <v>1.75</v>
      </c>
      <c r="W13" s="2">
        <v>0</v>
      </c>
      <c r="X13" t="s">
        <v>527</v>
      </c>
      <c r="Y13" s="2">
        <v>1.75</v>
      </c>
      <c r="Z13" t="s">
        <v>541</v>
      </c>
      <c r="AA13" s="2">
        <v>1.4583333333333333</v>
      </c>
      <c r="AB13" t="s">
        <v>555</v>
      </c>
      <c r="AC13" s="2">
        <v>1.75</v>
      </c>
      <c r="AD13" t="s">
        <v>566</v>
      </c>
      <c r="AE13" s="11">
        <f t="shared" si="2"/>
        <v>4.958333333333333</v>
      </c>
      <c r="AF13" s="12"/>
      <c r="AG13" s="2">
        <v>1.75</v>
      </c>
      <c r="AH13" t="s">
        <v>580</v>
      </c>
      <c r="AI13" s="2">
        <v>1.75</v>
      </c>
      <c r="AJ13" t="s">
        <v>582</v>
      </c>
      <c r="AK13" s="2">
        <v>1.75</v>
      </c>
      <c r="AL13" t="s">
        <v>466</v>
      </c>
      <c r="AM13" s="2">
        <v>1.4583333333333333</v>
      </c>
      <c r="AN13" t="s">
        <v>481</v>
      </c>
      <c r="AO13" s="11">
        <f t="shared" si="4"/>
        <v>6.708333333333333</v>
      </c>
      <c r="AP13" s="2">
        <v>1.75</v>
      </c>
      <c r="AQ13" t="s">
        <v>412</v>
      </c>
      <c r="AR13" s="2">
        <v>1.75</v>
      </c>
      <c r="AW13" s="9"/>
      <c r="AX13" s="10"/>
      <c r="AY13" s="10"/>
      <c r="AZ13" s="10"/>
      <c r="BA13" s="10"/>
      <c r="BI13" s="9"/>
      <c r="BQ13" s="9"/>
    </row>
    <row r="14" spans="1:98">
      <c r="A14" t="s">
        <v>71</v>
      </c>
      <c r="B14" t="s">
        <v>67</v>
      </c>
      <c r="C14" t="s">
        <v>72</v>
      </c>
      <c r="D14" s="9" t="s">
        <v>383</v>
      </c>
      <c r="E14" s="2">
        <v>1.75</v>
      </c>
      <c r="F14" t="s">
        <v>380</v>
      </c>
      <c r="G14" s="2">
        <v>1.5833333333333333</v>
      </c>
      <c r="H14" t="s">
        <v>398</v>
      </c>
      <c r="I14" s="2">
        <v>1.75</v>
      </c>
      <c r="J14" t="s">
        <v>388</v>
      </c>
      <c r="K14" s="2">
        <v>1.7083333333333333</v>
      </c>
      <c r="L14" t="s">
        <v>458</v>
      </c>
      <c r="M14" s="11">
        <f t="shared" si="0"/>
        <v>6.7916666666666661</v>
      </c>
      <c r="N14" s="2">
        <v>1.5833333333333333</v>
      </c>
      <c r="O14" t="s">
        <v>476</v>
      </c>
      <c r="P14" s="2">
        <v>1.1666666666666667</v>
      </c>
      <c r="Q14" t="s">
        <v>494</v>
      </c>
      <c r="R14" s="2">
        <v>1.5833333333333333</v>
      </c>
      <c r="S14" t="s">
        <v>462</v>
      </c>
      <c r="T14" s="2">
        <v>1.75</v>
      </c>
      <c r="U14" t="s">
        <v>384</v>
      </c>
      <c r="V14" s="11">
        <f t="shared" si="1"/>
        <v>6.083333333333333</v>
      </c>
      <c r="W14" s="2">
        <v>1.5833333333333333</v>
      </c>
      <c r="X14" t="s">
        <v>528</v>
      </c>
      <c r="Y14" s="2">
        <v>1.75</v>
      </c>
      <c r="Z14" t="s">
        <v>542</v>
      </c>
      <c r="AA14" s="2">
        <v>1.75</v>
      </c>
      <c r="AB14" t="s">
        <v>390</v>
      </c>
      <c r="AC14" s="2">
        <v>1.4583333333333333</v>
      </c>
      <c r="AD14" t="s">
        <v>567</v>
      </c>
      <c r="AE14" s="11">
        <f t="shared" si="2"/>
        <v>6.5416666666666661</v>
      </c>
      <c r="AF14" s="12">
        <f t="shared" si="3"/>
        <v>0.4166666666666643</v>
      </c>
      <c r="AG14" s="2">
        <v>1.75</v>
      </c>
      <c r="AH14" t="s">
        <v>432</v>
      </c>
      <c r="AI14" s="2">
        <v>1.5833333333333333</v>
      </c>
      <c r="AJ14" t="s">
        <v>477</v>
      </c>
      <c r="AK14" s="2">
        <v>1.75</v>
      </c>
      <c r="AL14" t="s">
        <v>388</v>
      </c>
      <c r="AM14" s="2">
        <v>1.7083333333333333</v>
      </c>
      <c r="AN14" t="s">
        <v>456</v>
      </c>
      <c r="AO14" s="11">
        <f t="shared" si="4"/>
        <v>6.7916666666666661</v>
      </c>
      <c r="AP14" s="2">
        <v>1.4583333333333333</v>
      </c>
      <c r="AQ14" t="s">
        <v>511</v>
      </c>
      <c r="AR14" s="2">
        <v>1.4583333333333333</v>
      </c>
      <c r="AW14" s="9"/>
      <c r="BE14" s="9"/>
      <c r="BM14" s="9"/>
      <c r="BU14" s="9"/>
      <c r="CC14" s="9"/>
      <c r="CK14" s="9"/>
      <c r="CS14" s="9"/>
    </row>
    <row r="15" spans="1:98">
      <c r="A15" t="s">
        <v>73</v>
      </c>
      <c r="B15" t="s">
        <v>74</v>
      </c>
      <c r="C15" t="s">
        <v>75</v>
      </c>
      <c r="D15" s="9" t="s">
        <v>384</v>
      </c>
      <c r="E15" s="2">
        <v>1.5833333333333333</v>
      </c>
      <c r="F15" t="s">
        <v>411</v>
      </c>
      <c r="G15" s="2">
        <v>1.5833333333333333</v>
      </c>
      <c r="H15" t="s">
        <v>379</v>
      </c>
      <c r="I15" s="2">
        <v>1.2916666666666667</v>
      </c>
      <c r="J15" t="s">
        <v>383</v>
      </c>
      <c r="K15" s="2">
        <v>1.75</v>
      </c>
      <c r="L15" t="s">
        <v>432</v>
      </c>
      <c r="M15" s="11">
        <f t="shared" si="0"/>
        <v>6.208333333333333</v>
      </c>
      <c r="N15" s="2">
        <v>1.5833333333333333</v>
      </c>
      <c r="O15" t="s">
        <v>477</v>
      </c>
      <c r="P15" s="2">
        <v>1.75</v>
      </c>
      <c r="Q15" t="s">
        <v>422</v>
      </c>
      <c r="R15" s="2">
        <v>1.5833333333333333</v>
      </c>
      <c r="S15" t="s">
        <v>433</v>
      </c>
      <c r="T15" s="2">
        <v>1.75</v>
      </c>
      <c r="U15" t="s">
        <v>417</v>
      </c>
      <c r="V15" s="11">
        <f t="shared" si="1"/>
        <v>6.6666666666666661</v>
      </c>
      <c r="W15" s="2">
        <v>1.4583333333333333</v>
      </c>
      <c r="X15" t="s">
        <v>394</v>
      </c>
      <c r="Y15" s="2">
        <v>1.5833333333333333</v>
      </c>
      <c r="Z15" t="s">
        <v>380</v>
      </c>
      <c r="AA15" s="2">
        <v>1.5833333333333333</v>
      </c>
      <c r="AB15" t="s">
        <v>398</v>
      </c>
      <c r="AC15" s="2">
        <v>1.75</v>
      </c>
      <c r="AD15" t="s">
        <v>568</v>
      </c>
      <c r="AE15" s="11">
        <f t="shared" si="2"/>
        <v>6.375</v>
      </c>
      <c r="AF15" s="12">
        <f t="shared" si="3"/>
        <v>0.25</v>
      </c>
      <c r="AG15" s="2">
        <v>1.7083333333333333</v>
      </c>
      <c r="AH15" t="s">
        <v>456</v>
      </c>
      <c r="AI15" s="2">
        <v>1.4583333333333333</v>
      </c>
      <c r="AJ15" t="s">
        <v>511</v>
      </c>
      <c r="AK15" s="2">
        <v>1.4583333333333333</v>
      </c>
      <c r="AL15" t="s">
        <v>375</v>
      </c>
      <c r="AM15" s="2">
        <v>1.5833333333333333</v>
      </c>
      <c r="AN15" t="s">
        <v>590</v>
      </c>
      <c r="AO15" s="11">
        <f t="shared" si="4"/>
        <v>6.208333333333333</v>
      </c>
      <c r="AP15" s="2">
        <v>1.75</v>
      </c>
      <c r="AQ15" t="s">
        <v>384</v>
      </c>
      <c r="AR15" s="2">
        <v>1.5833333333333333</v>
      </c>
      <c r="AV15" s="9"/>
      <c r="BD15" s="9"/>
      <c r="BL15" s="9"/>
      <c r="BT15" s="9"/>
      <c r="CB15" s="9"/>
      <c r="CJ15" s="9"/>
      <c r="CR15" s="9"/>
    </row>
    <row r="16" spans="1:98">
      <c r="A16" t="s">
        <v>76</v>
      </c>
      <c r="B16" t="s">
        <v>77</v>
      </c>
      <c r="C16" t="s">
        <v>78</v>
      </c>
      <c r="D16" s="9" t="s">
        <v>385</v>
      </c>
      <c r="E16" s="2">
        <v>1.4583333333333333</v>
      </c>
      <c r="F16" t="s">
        <v>412</v>
      </c>
      <c r="G16" s="2">
        <v>1.75</v>
      </c>
      <c r="H16" t="s">
        <v>427</v>
      </c>
      <c r="I16" s="2">
        <v>1.5833333333333333</v>
      </c>
      <c r="J16" t="s">
        <v>442</v>
      </c>
      <c r="K16" s="2">
        <v>1.5833333333333333</v>
      </c>
      <c r="L16" t="s">
        <v>459</v>
      </c>
      <c r="M16" s="11">
        <f t="shared" si="0"/>
        <v>6.3749999999999991</v>
      </c>
      <c r="N16" s="2">
        <v>1.2916666666666667</v>
      </c>
      <c r="O16" t="s">
        <v>396</v>
      </c>
      <c r="P16" s="2">
        <v>1.2916666666666667</v>
      </c>
      <c r="Q16" t="s">
        <v>467</v>
      </c>
      <c r="R16" s="2">
        <v>1.75</v>
      </c>
      <c r="S16" t="s">
        <v>432</v>
      </c>
      <c r="T16" s="2">
        <v>1.5833333333333333</v>
      </c>
      <c r="U16" t="s">
        <v>477</v>
      </c>
      <c r="V16" s="11">
        <f t="shared" si="1"/>
        <v>5.916666666666667</v>
      </c>
      <c r="W16" s="2">
        <v>1.75</v>
      </c>
      <c r="X16" t="s">
        <v>388</v>
      </c>
      <c r="Y16" s="2">
        <v>1.7083333333333333</v>
      </c>
      <c r="Z16" t="s">
        <v>543</v>
      </c>
      <c r="AA16" s="2">
        <v>1.2916666666666667</v>
      </c>
      <c r="AB16" t="s">
        <v>376</v>
      </c>
      <c r="AC16" s="2">
        <v>1.4583333333333333</v>
      </c>
      <c r="AD16" t="s">
        <v>394</v>
      </c>
      <c r="AE16" s="11">
        <f t="shared" si="2"/>
        <v>6.208333333333333</v>
      </c>
      <c r="AF16" s="12">
        <f t="shared" si="3"/>
        <v>-0.5</v>
      </c>
      <c r="AG16" s="2">
        <v>1.5833333333333333</v>
      </c>
      <c r="AH16" t="s">
        <v>462</v>
      </c>
      <c r="AI16" s="2">
        <v>1.75</v>
      </c>
      <c r="AJ16" t="s">
        <v>384</v>
      </c>
      <c r="AK16" s="2">
        <v>1.5833333333333333</v>
      </c>
      <c r="AL16" t="s">
        <v>472</v>
      </c>
      <c r="AM16" s="2">
        <v>1.5833333333333333</v>
      </c>
      <c r="AN16" t="s">
        <v>396</v>
      </c>
      <c r="AO16" s="11">
        <f t="shared" si="4"/>
        <v>6.4999999999999991</v>
      </c>
      <c r="AP16" s="2">
        <v>1.2916666666666667</v>
      </c>
      <c r="AQ16" t="s">
        <v>467</v>
      </c>
      <c r="AR16" s="2">
        <v>1.75</v>
      </c>
      <c r="AW16" s="9"/>
      <c r="BE16" s="9"/>
      <c r="BM16" s="9"/>
      <c r="BU16" s="9"/>
      <c r="CC16" s="9"/>
      <c r="CK16" s="9"/>
      <c r="CS16" s="9"/>
    </row>
    <row r="17" spans="1:98">
      <c r="A17" t="s">
        <v>79</v>
      </c>
      <c r="B17" t="s">
        <v>80</v>
      </c>
      <c r="C17" t="s">
        <v>81</v>
      </c>
      <c r="D17" s="9" t="s">
        <v>380</v>
      </c>
      <c r="E17" s="2">
        <v>1.5833333333333333</v>
      </c>
      <c r="F17" t="s">
        <v>413</v>
      </c>
      <c r="G17" s="2">
        <v>1.75</v>
      </c>
      <c r="H17" t="s">
        <v>388</v>
      </c>
      <c r="I17" s="2">
        <v>1.7083333333333333</v>
      </c>
      <c r="J17" t="s">
        <v>378</v>
      </c>
      <c r="K17" s="2">
        <v>1.2916666666666667</v>
      </c>
      <c r="L17" t="s">
        <v>417</v>
      </c>
      <c r="M17" s="11">
        <f t="shared" si="0"/>
        <v>6.333333333333333</v>
      </c>
      <c r="N17" s="2">
        <v>1.4583333333333333</v>
      </c>
      <c r="O17" t="s">
        <v>478</v>
      </c>
      <c r="P17" s="2">
        <v>1.75</v>
      </c>
      <c r="Q17" t="s">
        <v>432</v>
      </c>
      <c r="R17" s="2">
        <v>1.5833333333333333</v>
      </c>
      <c r="S17" t="s">
        <v>477</v>
      </c>
      <c r="T17" s="2">
        <v>1.75</v>
      </c>
      <c r="U17" t="s">
        <v>388</v>
      </c>
      <c r="V17" s="11">
        <f t="shared" si="1"/>
        <v>6.5416666666666661</v>
      </c>
      <c r="W17" s="2">
        <v>1.7083333333333333</v>
      </c>
      <c r="X17" t="s">
        <v>529</v>
      </c>
      <c r="Y17" s="2">
        <v>1.4583333333333333</v>
      </c>
      <c r="Z17" t="s">
        <v>389</v>
      </c>
      <c r="AA17" s="2">
        <v>1.4583333333333333</v>
      </c>
      <c r="AB17" t="s">
        <v>375</v>
      </c>
      <c r="AC17" s="2">
        <v>1.5833333333333333</v>
      </c>
      <c r="AD17" t="s">
        <v>559</v>
      </c>
      <c r="AE17" s="11">
        <f t="shared" si="2"/>
        <v>6.208333333333333</v>
      </c>
      <c r="AF17" s="12">
        <f t="shared" si="3"/>
        <v>8.3333333333332149E-2</v>
      </c>
      <c r="AG17" s="2">
        <v>1.75</v>
      </c>
      <c r="AH17" t="s">
        <v>384</v>
      </c>
      <c r="AI17" s="2">
        <v>1.5833333333333333</v>
      </c>
      <c r="AJ17" t="s">
        <v>472</v>
      </c>
      <c r="AK17" s="2">
        <v>1.5833333333333333</v>
      </c>
      <c r="AL17" t="s">
        <v>396</v>
      </c>
      <c r="AM17" s="2">
        <v>1.2916666666666667</v>
      </c>
      <c r="AN17" t="s">
        <v>591</v>
      </c>
      <c r="AO17" s="11">
        <f t="shared" si="4"/>
        <v>6.208333333333333</v>
      </c>
      <c r="AP17" s="2">
        <v>1.75</v>
      </c>
      <c r="AQ17" t="s">
        <v>432</v>
      </c>
      <c r="AR17" s="2">
        <v>1.5833333333333333</v>
      </c>
      <c r="AW17" s="9"/>
      <c r="BE17" s="9"/>
      <c r="BM17" s="9"/>
      <c r="BU17" s="9"/>
      <c r="CC17" s="9"/>
      <c r="CK17" s="9"/>
      <c r="CS17" s="9"/>
    </row>
    <row r="18" spans="1:98">
      <c r="A18" t="s">
        <v>82</v>
      </c>
      <c r="B18" t="s">
        <v>83</v>
      </c>
      <c r="C18" t="s">
        <v>84</v>
      </c>
      <c r="D18" s="9" t="s">
        <v>386</v>
      </c>
      <c r="E18" s="2">
        <v>1.75</v>
      </c>
      <c r="F18" t="s">
        <v>384</v>
      </c>
      <c r="G18" s="2">
        <v>1.5833333333333333</v>
      </c>
      <c r="H18" t="s">
        <v>393</v>
      </c>
      <c r="I18" s="2">
        <v>1.5833333333333333</v>
      </c>
      <c r="J18" t="s">
        <v>396</v>
      </c>
      <c r="K18" s="2">
        <v>1.2916666666666667</v>
      </c>
      <c r="L18" t="s">
        <v>460</v>
      </c>
      <c r="M18" s="11">
        <f t="shared" si="0"/>
        <v>6.208333333333333</v>
      </c>
      <c r="N18" s="2">
        <v>1.75</v>
      </c>
      <c r="O18" t="s">
        <v>432</v>
      </c>
      <c r="P18" s="2">
        <v>1.5833333333333333</v>
      </c>
      <c r="Q18" t="s">
        <v>477</v>
      </c>
      <c r="R18" s="2">
        <v>1.75</v>
      </c>
      <c r="S18" t="s">
        <v>388</v>
      </c>
      <c r="T18" s="2">
        <v>1.7083333333333333</v>
      </c>
      <c r="U18" t="s">
        <v>456</v>
      </c>
      <c r="V18" s="11">
        <f t="shared" si="1"/>
        <v>6.7916666666666661</v>
      </c>
      <c r="W18" s="2">
        <v>1.4583333333333333</v>
      </c>
      <c r="X18" t="s">
        <v>530</v>
      </c>
      <c r="Y18" s="2">
        <v>1.75</v>
      </c>
      <c r="Z18" t="s">
        <v>544</v>
      </c>
      <c r="AA18" s="2">
        <v>1.4583333333333333</v>
      </c>
      <c r="AB18" t="s">
        <v>408</v>
      </c>
      <c r="AC18" s="2">
        <v>1.75</v>
      </c>
      <c r="AD18" t="s">
        <v>569</v>
      </c>
      <c r="AE18" s="11">
        <f t="shared" si="2"/>
        <v>6.4166666666666661</v>
      </c>
      <c r="AF18" s="12">
        <f t="shared" si="3"/>
        <v>0.4166666666666643</v>
      </c>
      <c r="AG18" s="2">
        <v>1.75</v>
      </c>
      <c r="AH18" t="s">
        <v>388</v>
      </c>
      <c r="AI18" s="2">
        <v>1.7083333333333333</v>
      </c>
      <c r="AJ18" t="s">
        <v>456</v>
      </c>
      <c r="AK18" s="2">
        <v>1.4583333333333333</v>
      </c>
      <c r="AL18" t="s">
        <v>511</v>
      </c>
      <c r="AM18" s="2">
        <v>1.4583333333333333</v>
      </c>
      <c r="AN18" t="s">
        <v>375</v>
      </c>
      <c r="AO18" s="11">
        <f t="shared" si="4"/>
        <v>6.3749999999999991</v>
      </c>
      <c r="AP18" s="2">
        <v>1.5833333333333333</v>
      </c>
      <c r="AQ18" t="s">
        <v>462</v>
      </c>
      <c r="AR18" s="2">
        <v>1.75</v>
      </c>
      <c r="AW18" s="9"/>
      <c r="BE18" s="9"/>
      <c r="BM18" s="9"/>
      <c r="BU18" s="9"/>
      <c r="CC18" s="9"/>
      <c r="CK18" s="9"/>
      <c r="CS18" s="9"/>
    </row>
    <row r="19" spans="1:98">
      <c r="A19" t="s">
        <v>85</v>
      </c>
      <c r="B19" t="s">
        <v>86</v>
      </c>
      <c r="C19" t="s">
        <v>35</v>
      </c>
      <c r="D19" s="9" t="s">
        <v>387</v>
      </c>
      <c r="E19" s="2">
        <v>1.6111111111111109</v>
      </c>
      <c r="F19" t="s">
        <v>414</v>
      </c>
      <c r="G19" s="2">
        <v>1.4583333333333333</v>
      </c>
      <c r="H19" t="s">
        <v>428</v>
      </c>
      <c r="I19" s="2">
        <v>1.75</v>
      </c>
      <c r="J19" t="s">
        <v>443</v>
      </c>
      <c r="K19" s="2">
        <v>1.5833333333333333</v>
      </c>
      <c r="L19" t="s">
        <v>461</v>
      </c>
      <c r="M19" s="11">
        <f t="shared" si="0"/>
        <v>6.4027777777777777</v>
      </c>
      <c r="N19" s="2">
        <v>1.5833333333333333</v>
      </c>
      <c r="O19" t="s">
        <v>453</v>
      </c>
      <c r="P19" s="2">
        <v>1.5833333333333333</v>
      </c>
      <c r="Q19" t="s">
        <v>479</v>
      </c>
      <c r="R19" s="2">
        <v>1.5833333333333333</v>
      </c>
      <c r="S19" t="s">
        <v>389</v>
      </c>
      <c r="T19" s="2">
        <v>1.4583333333333333</v>
      </c>
      <c r="U19" t="s">
        <v>481</v>
      </c>
      <c r="V19" s="11">
        <f t="shared" si="1"/>
        <v>6.208333333333333</v>
      </c>
      <c r="W19" s="2">
        <v>1.75</v>
      </c>
      <c r="X19" t="s">
        <v>407</v>
      </c>
      <c r="Y19" s="2">
        <v>1.75</v>
      </c>
      <c r="Z19" t="s">
        <v>545</v>
      </c>
      <c r="AA19" s="2">
        <v>1.75</v>
      </c>
      <c r="AB19" t="s">
        <v>421</v>
      </c>
      <c r="AC19" s="2">
        <v>1.75</v>
      </c>
      <c r="AD19" t="s">
        <v>570</v>
      </c>
      <c r="AE19" s="11">
        <f t="shared" si="2"/>
        <v>7</v>
      </c>
      <c r="AF19" s="12">
        <f t="shared" si="3"/>
        <v>0.61111111111111072</v>
      </c>
      <c r="AG19" s="2">
        <v>1.75</v>
      </c>
      <c r="AH19" t="s">
        <v>466</v>
      </c>
      <c r="AI19" s="2">
        <v>1.4583333333333333</v>
      </c>
      <c r="AJ19" t="s">
        <v>481</v>
      </c>
      <c r="AK19" s="2">
        <v>1.75</v>
      </c>
      <c r="AL19" t="s">
        <v>412</v>
      </c>
      <c r="AM19" s="2">
        <v>1.75</v>
      </c>
      <c r="AN19" t="s">
        <v>579</v>
      </c>
      <c r="AO19" s="11">
        <f t="shared" si="4"/>
        <v>6.708333333333333</v>
      </c>
      <c r="AP19" s="2">
        <v>1.75</v>
      </c>
      <c r="AQ19" t="s">
        <v>580</v>
      </c>
      <c r="AR19" s="2">
        <v>1.75</v>
      </c>
      <c r="AW19" s="9"/>
      <c r="BE19" s="9"/>
      <c r="BM19" s="9"/>
      <c r="BU19" s="9"/>
      <c r="CC19" s="9"/>
      <c r="CK19" s="9"/>
      <c r="CS19" s="9"/>
    </row>
    <row r="20" spans="1:98">
      <c r="A20" t="s">
        <v>88</v>
      </c>
      <c r="B20" t="s">
        <v>86</v>
      </c>
      <c r="C20" t="s">
        <v>89</v>
      </c>
      <c r="D20" s="9" t="s">
        <v>388</v>
      </c>
      <c r="E20" s="2">
        <v>1.7083333333333333</v>
      </c>
      <c r="F20" t="s">
        <v>415</v>
      </c>
      <c r="G20" s="2">
        <v>1.4583333333333333</v>
      </c>
      <c r="H20" t="s">
        <v>389</v>
      </c>
      <c r="I20" s="2">
        <v>1.4583333333333333</v>
      </c>
      <c r="J20" t="s">
        <v>394</v>
      </c>
      <c r="K20" s="2">
        <v>1.5833333333333333</v>
      </c>
      <c r="L20" t="s">
        <v>462</v>
      </c>
      <c r="M20" s="11">
        <f t="shared" si="0"/>
        <v>6.208333333333333</v>
      </c>
      <c r="N20" s="2">
        <v>1.75</v>
      </c>
      <c r="O20" t="s">
        <v>384</v>
      </c>
      <c r="P20" s="2">
        <v>1.5833333333333333</v>
      </c>
      <c r="Q20" t="s">
        <v>472</v>
      </c>
      <c r="R20" s="2">
        <v>1.5833333333333333</v>
      </c>
      <c r="S20" t="s">
        <v>417</v>
      </c>
      <c r="T20" s="2">
        <v>1.4583333333333333</v>
      </c>
      <c r="U20" t="s">
        <v>381</v>
      </c>
      <c r="V20" s="11">
        <f t="shared" si="1"/>
        <v>6.3749999999999991</v>
      </c>
      <c r="W20" s="2">
        <v>1.75</v>
      </c>
      <c r="X20" t="s">
        <v>531</v>
      </c>
      <c r="Y20" s="2">
        <v>1.75</v>
      </c>
      <c r="Z20" t="s">
        <v>546</v>
      </c>
      <c r="AA20" s="2">
        <v>1.5833333333333333</v>
      </c>
      <c r="AB20" t="s">
        <v>393</v>
      </c>
      <c r="AC20" s="2">
        <v>1.5833333333333333</v>
      </c>
      <c r="AD20" t="s">
        <v>571</v>
      </c>
      <c r="AE20" s="11">
        <f t="shared" si="2"/>
        <v>6.6666666666666661</v>
      </c>
      <c r="AF20" s="12">
        <f t="shared" si="3"/>
        <v>0.25</v>
      </c>
      <c r="AG20" s="2">
        <v>1.2916666666666667</v>
      </c>
      <c r="AH20" t="s">
        <v>467</v>
      </c>
      <c r="AI20" s="2">
        <v>1.75</v>
      </c>
      <c r="AJ20" t="s">
        <v>432</v>
      </c>
      <c r="AK20" s="2">
        <v>1.5833333333333333</v>
      </c>
      <c r="AL20" t="s">
        <v>477</v>
      </c>
      <c r="AM20" s="2">
        <v>1.75</v>
      </c>
      <c r="AN20" t="s">
        <v>388</v>
      </c>
      <c r="AO20" s="11">
        <f t="shared" si="4"/>
        <v>6.375</v>
      </c>
      <c r="AP20" s="2">
        <v>1.7083333333333333</v>
      </c>
      <c r="AQ20" t="s">
        <v>456</v>
      </c>
      <c r="AR20" s="2">
        <v>1.4583333333333333</v>
      </c>
      <c r="AW20" s="9"/>
      <c r="BE20" s="9"/>
      <c r="BM20" s="9"/>
      <c r="BU20" s="9"/>
      <c r="CC20" s="9"/>
      <c r="CK20" s="9"/>
      <c r="CS20" s="9"/>
    </row>
    <row r="21" spans="1:98">
      <c r="A21" t="s">
        <v>90</v>
      </c>
      <c r="B21" t="s">
        <v>91</v>
      </c>
      <c r="C21" t="s">
        <v>92</v>
      </c>
      <c r="D21" s="9" t="s">
        <v>389</v>
      </c>
      <c r="E21" s="2">
        <v>1.4583333333333333</v>
      </c>
      <c r="F21" t="s">
        <v>394</v>
      </c>
      <c r="G21" s="2">
        <v>1.5833333333333333</v>
      </c>
      <c r="H21" t="s">
        <v>386</v>
      </c>
      <c r="I21" s="2">
        <v>1.75</v>
      </c>
      <c r="J21" t="s">
        <v>444</v>
      </c>
      <c r="K21" s="2">
        <v>1.5833333333333333</v>
      </c>
      <c r="L21" t="s">
        <v>463</v>
      </c>
      <c r="M21" s="11">
        <f t="shared" si="0"/>
        <v>6.3749999999999991</v>
      </c>
      <c r="N21" s="2">
        <v>1.5833333333333333</v>
      </c>
      <c r="O21" t="s">
        <v>479</v>
      </c>
      <c r="P21" s="2">
        <v>1.5833333333333333</v>
      </c>
      <c r="Q21" t="s">
        <v>466</v>
      </c>
      <c r="R21" s="2">
        <v>1.4583333333333333</v>
      </c>
      <c r="S21" t="s">
        <v>508</v>
      </c>
      <c r="T21" s="2">
        <v>1.75</v>
      </c>
      <c r="U21" t="s">
        <v>517</v>
      </c>
      <c r="V21" s="11">
        <f t="shared" si="1"/>
        <v>6.375</v>
      </c>
      <c r="W21" s="2">
        <v>1.5833333333333333</v>
      </c>
      <c r="X21" t="s">
        <v>454</v>
      </c>
      <c r="Y21" s="2">
        <v>1.5833333333333333</v>
      </c>
      <c r="Z21" t="s">
        <v>547</v>
      </c>
      <c r="AA21" s="2">
        <v>1.75</v>
      </c>
      <c r="AB21" t="s">
        <v>396</v>
      </c>
      <c r="AC21" s="2">
        <v>1.2916666666666667</v>
      </c>
      <c r="AD21" t="s">
        <v>551</v>
      </c>
      <c r="AE21" s="11">
        <f t="shared" si="2"/>
        <v>6.208333333333333</v>
      </c>
      <c r="AF21" s="12">
        <f t="shared" si="3"/>
        <v>-4.1666666666667851E-2</v>
      </c>
      <c r="AG21" s="2">
        <v>1.75</v>
      </c>
      <c r="AH21" t="s">
        <v>412</v>
      </c>
      <c r="AI21" s="2">
        <v>1.75</v>
      </c>
      <c r="AJ21" t="s">
        <v>579</v>
      </c>
      <c r="AK21" s="2">
        <v>1.75</v>
      </c>
      <c r="AL21" t="s">
        <v>580</v>
      </c>
      <c r="AM21" s="2">
        <v>1.75</v>
      </c>
      <c r="AN21" t="s">
        <v>582</v>
      </c>
      <c r="AO21" s="11">
        <f t="shared" si="4"/>
        <v>7</v>
      </c>
      <c r="AP21" s="2">
        <v>1.75</v>
      </c>
      <c r="AQ21" t="s">
        <v>466</v>
      </c>
      <c r="AR21" s="2">
        <v>1.4583333333333333</v>
      </c>
      <c r="AX21" s="9"/>
      <c r="BF21" s="9"/>
      <c r="BN21" s="9"/>
      <c r="BV21" s="9"/>
      <c r="CD21" s="9"/>
      <c r="CL21" s="9"/>
      <c r="CT21" s="9"/>
    </row>
    <row r="22" spans="1:98">
      <c r="A22" t="s">
        <v>93</v>
      </c>
      <c r="B22" t="s">
        <v>91</v>
      </c>
      <c r="C22" t="s">
        <v>94</v>
      </c>
      <c r="D22" s="9" t="s">
        <v>390</v>
      </c>
      <c r="E22" s="2">
        <v>1.4583333333333333</v>
      </c>
      <c r="F22" t="s">
        <v>416</v>
      </c>
      <c r="G22" s="2">
        <v>1.75</v>
      </c>
      <c r="H22" t="s">
        <v>429</v>
      </c>
      <c r="I22" s="2">
        <v>1.5833333333333333</v>
      </c>
      <c r="J22" t="s">
        <v>445</v>
      </c>
      <c r="K22" s="2">
        <v>1.5833333333333333</v>
      </c>
      <c r="L22" t="s">
        <v>464</v>
      </c>
      <c r="M22" s="11">
        <f t="shared" si="0"/>
        <v>6.3749999999999991</v>
      </c>
      <c r="N22" s="2">
        <v>1.5833333333333333</v>
      </c>
      <c r="O22" t="s">
        <v>475</v>
      </c>
      <c r="P22" s="2">
        <v>0</v>
      </c>
      <c r="Q22" t="s">
        <v>475</v>
      </c>
      <c r="R22" s="2">
        <v>0</v>
      </c>
      <c r="S22" t="s">
        <v>475</v>
      </c>
      <c r="T22" s="2">
        <v>0</v>
      </c>
      <c r="U22" t="s">
        <v>475</v>
      </c>
      <c r="V22" s="11">
        <f t="shared" si="1"/>
        <v>1.5833333333333333</v>
      </c>
      <c r="W22" s="2">
        <v>0</v>
      </c>
      <c r="X22" t="s">
        <v>423</v>
      </c>
      <c r="Y22" s="2">
        <v>1.75</v>
      </c>
      <c r="Z22" t="s">
        <v>421</v>
      </c>
      <c r="AA22" s="2">
        <v>1.75</v>
      </c>
      <c r="AB22" t="s">
        <v>556</v>
      </c>
      <c r="AC22" s="2">
        <v>1.75</v>
      </c>
      <c r="AD22" t="s">
        <v>572</v>
      </c>
      <c r="AE22" s="11">
        <f t="shared" si="2"/>
        <v>5.25</v>
      </c>
      <c r="AF22" s="12"/>
      <c r="AG22" s="2">
        <v>1.4583333333333333</v>
      </c>
      <c r="AH22" t="s">
        <v>481</v>
      </c>
      <c r="AI22" s="2">
        <v>1.75</v>
      </c>
      <c r="AJ22" t="s">
        <v>412</v>
      </c>
      <c r="AK22" s="2">
        <v>1.75</v>
      </c>
      <c r="AL22" t="s">
        <v>586</v>
      </c>
      <c r="AM22" s="2">
        <v>1.75</v>
      </c>
      <c r="AN22" t="s">
        <v>580</v>
      </c>
      <c r="AO22" s="11">
        <f t="shared" si="4"/>
        <v>6.708333333333333</v>
      </c>
      <c r="AP22" s="2">
        <v>1.75</v>
      </c>
      <c r="AQ22" t="s">
        <v>593</v>
      </c>
      <c r="AR22" s="2">
        <v>1.75</v>
      </c>
      <c r="AY22" s="9"/>
      <c r="AZ22" s="10"/>
      <c r="BA22" s="10"/>
      <c r="BB22" s="10"/>
      <c r="BC22" s="10"/>
      <c r="BK22" s="9"/>
      <c r="BS22" s="9"/>
    </row>
    <row r="23" spans="1:98">
      <c r="A23" t="s">
        <v>95</v>
      </c>
      <c r="B23" t="s">
        <v>96</v>
      </c>
      <c r="C23" t="s">
        <v>97</v>
      </c>
      <c r="D23" s="9" t="s">
        <v>391</v>
      </c>
      <c r="E23" s="2">
        <v>1.4583333333333333</v>
      </c>
      <c r="F23" t="s">
        <v>396</v>
      </c>
      <c r="G23" s="2">
        <v>1.2916666666666667</v>
      </c>
      <c r="H23" t="s">
        <v>394</v>
      </c>
      <c r="I23" s="2">
        <v>1.5833333333333333</v>
      </c>
      <c r="J23" t="s">
        <v>380</v>
      </c>
      <c r="K23" s="2">
        <v>1.5833333333333333</v>
      </c>
      <c r="L23" t="s">
        <v>423</v>
      </c>
      <c r="M23" s="11">
        <f t="shared" si="0"/>
        <v>5.9166666666666661</v>
      </c>
      <c r="N23" s="2">
        <v>1.75</v>
      </c>
      <c r="O23" t="s">
        <v>464</v>
      </c>
      <c r="P23" s="2">
        <v>1.5833333333333333</v>
      </c>
      <c r="Q23" t="s">
        <v>495</v>
      </c>
      <c r="R23" s="2">
        <v>1.8194444444444444</v>
      </c>
      <c r="S23" t="s">
        <v>509</v>
      </c>
      <c r="T23" s="2">
        <v>1.1666666666666667</v>
      </c>
      <c r="U23" t="s">
        <v>481</v>
      </c>
      <c r="V23" s="11">
        <f t="shared" si="1"/>
        <v>6.3194444444444446</v>
      </c>
      <c r="W23" s="2">
        <v>1.75</v>
      </c>
      <c r="X23" t="s">
        <v>380</v>
      </c>
      <c r="Y23" s="2">
        <v>1.5833333333333333</v>
      </c>
      <c r="Z23" t="s">
        <v>548</v>
      </c>
      <c r="AA23" s="2">
        <v>1.75</v>
      </c>
      <c r="AB23" t="s">
        <v>388</v>
      </c>
      <c r="AC23" s="2">
        <v>1.7083333333333333</v>
      </c>
      <c r="AD23" t="s">
        <v>456</v>
      </c>
      <c r="AE23" s="11">
        <f t="shared" si="2"/>
        <v>6.7916666666666661</v>
      </c>
      <c r="AF23" s="12">
        <f t="shared" si="3"/>
        <v>2.7777777777778567E-2</v>
      </c>
      <c r="AG23" s="2">
        <v>1.4583333333333333</v>
      </c>
      <c r="AH23" t="s">
        <v>389</v>
      </c>
      <c r="AI23" s="2">
        <v>1.4583333333333333</v>
      </c>
      <c r="AJ23" t="s">
        <v>375</v>
      </c>
      <c r="AK23" s="2">
        <v>1.5833333333333333</v>
      </c>
      <c r="AL23" t="s">
        <v>452</v>
      </c>
      <c r="AM23" s="2">
        <v>1.75</v>
      </c>
      <c r="AN23" t="s">
        <v>384</v>
      </c>
      <c r="AO23" s="11">
        <f t="shared" si="4"/>
        <v>6.25</v>
      </c>
      <c r="AP23" s="2">
        <v>1.5833333333333333</v>
      </c>
      <c r="AQ23" t="s">
        <v>472</v>
      </c>
      <c r="AR23" s="2">
        <v>1.5833333333333333</v>
      </c>
      <c r="AW23" s="9"/>
      <c r="BE23" s="9"/>
      <c r="BM23" s="9"/>
      <c r="BU23" s="9"/>
      <c r="CC23" s="9"/>
      <c r="CK23" s="9"/>
      <c r="CS23" s="9"/>
    </row>
    <row r="24" spans="1:98">
      <c r="A24" t="s">
        <v>98</v>
      </c>
      <c r="B24" t="s">
        <v>99</v>
      </c>
      <c r="C24" t="s">
        <v>100</v>
      </c>
      <c r="D24" s="9" t="s">
        <v>392</v>
      </c>
      <c r="E24" s="2">
        <v>1.5833333333333333</v>
      </c>
      <c r="F24" t="s">
        <v>376</v>
      </c>
      <c r="G24" s="2">
        <v>1.4583333333333333</v>
      </c>
      <c r="H24" t="s">
        <v>383</v>
      </c>
      <c r="I24" s="2">
        <v>1.75</v>
      </c>
      <c r="J24" t="s">
        <v>443</v>
      </c>
      <c r="K24" s="2">
        <v>1.5833333333333333</v>
      </c>
      <c r="L24" t="s">
        <v>465</v>
      </c>
      <c r="M24" s="11">
        <f t="shared" si="0"/>
        <v>6.3749999999999991</v>
      </c>
      <c r="N24" s="2">
        <v>1.5833333333333333</v>
      </c>
      <c r="O24" t="s">
        <v>480</v>
      </c>
      <c r="P24" s="2">
        <v>1.5833333333333333</v>
      </c>
      <c r="Q24" t="s">
        <v>496</v>
      </c>
      <c r="R24" s="2">
        <v>1.5833333333333333</v>
      </c>
      <c r="S24" t="s">
        <v>510</v>
      </c>
      <c r="T24" s="2">
        <v>1.4583333333333333</v>
      </c>
      <c r="U24" t="s">
        <v>481</v>
      </c>
      <c r="V24" s="11">
        <f t="shared" si="1"/>
        <v>6.208333333333333</v>
      </c>
      <c r="W24" s="2">
        <v>1.75</v>
      </c>
      <c r="X24" t="s">
        <v>532</v>
      </c>
      <c r="Y24" s="2">
        <v>1.75</v>
      </c>
      <c r="Z24" t="s">
        <v>398</v>
      </c>
      <c r="AA24" s="2">
        <v>1.75</v>
      </c>
      <c r="AB24" t="s">
        <v>557</v>
      </c>
      <c r="AC24" s="2">
        <v>1.75</v>
      </c>
      <c r="AD24" t="s">
        <v>573</v>
      </c>
      <c r="AE24" s="11">
        <f t="shared" si="2"/>
        <v>7</v>
      </c>
      <c r="AF24" s="12">
        <f t="shared" si="3"/>
        <v>0.58333333333333215</v>
      </c>
      <c r="AG24" s="2">
        <v>1.75</v>
      </c>
      <c r="AH24" t="s">
        <v>581</v>
      </c>
      <c r="AI24" s="2">
        <v>1.4583333333333333</v>
      </c>
      <c r="AJ24" t="s">
        <v>481</v>
      </c>
      <c r="AK24" s="2">
        <v>1.75</v>
      </c>
      <c r="AL24" t="s">
        <v>587</v>
      </c>
      <c r="AM24" s="2">
        <v>1.75</v>
      </c>
      <c r="AN24" t="s">
        <v>579</v>
      </c>
      <c r="AO24" s="11">
        <f t="shared" si="4"/>
        <v>6.708333333333333</v>
      </c>
      <c r="AP24" s="2">
        <v>1.75</v>
      </c>
      <c r="AQ24" t="s">
        <v>528</v>
      </c>
      <c r="AR24" s="2">
        <v>1.75</v>
      </c>
      <c r="AW24" s="9"/>
      <c r="BE24" s="9"/>
      <c r="BM24" s="9"/>
      <c r="BU24" s="9"/>
      <c r="CC24" s="9"/>
      <c r="CK24" s="9"/>
      <c r="CS24" s="9"/>
    </row>
    <row r="25" spans="1:98">
      <c r="A25" t="s">
        <v>101</v>
      </c>
      <c r="B25" t="s">
        <v>102</v>
      </c>
      <c r="C25" t="s">
        <v>103</v>
      </c>
      <c r="D25" s="9" t="s">
        <v>393</v>
      </c>
      <c r="E25" s="2">
        <v>1.5833333333333333</v>
      </c>
      <c r="F25" t="s">
        <v>417</v>
      </c>
      <c r="G25" s="2">
        <v>1.4583333333333333</v>
      </c>
      <c r="H25" t="s">
        <v>381</v>
      </c>
      <c r="I25" s="2">
        <v>1.75</v>
      </c>
      <c r="J25" t="s">
        <v>408</v>
      </c>
      <c r="K25" s="2">
        <v>1.75</v>
      </c>
      <c r="L25" t="s">
        <v>423</v>
      </c>
      <c r="M25" s="11">
        <f t="shared" si="0"/>
        <v>6.5416666666666661</v>
      </c>
      <c r="N25" s="2">
        <v>1.75</v>
      </c>
      <c r="O25" t="s">
        <v>421</v>
      </c>
      <c r="P25" s="2">
        <v>1.75</v>
      </c>
      <c r="Q25" t="s">
        <v>417</v>
      </c>
      <c r="R25" s="2">
        <v>1.4583333333333333</v>
      </c>
      <c r="S25" t="s">
        <v>467</v>
      </c>
      <c r="T25" s="2">
        <v>1.75</v>
      </c>
      <c r="U25" t="s">
        <v>380</v>
      </c>
      <c r="V25" s="11">
        <f t="shared" si="1"/>
        <v>6.708333333333333</v>
      </c>
      <c r="W25" s="2">
        <v>1.5833333333333333</v>
      </c>
      <c r="X25" t="s">
        <v>533</v>
      </c>
      <c r="Y25" s="2">
        <v>1.75</v>
      </c>
      <c r="Z25" t="s">
        <v>388</v>
      </c>
      <c r="AA25" s="2">
        <v>1.7083333333333333</v>
      </c>
      <c r="AB25" t="s">
        <v>434</v>
      </c>
      <c r="AC25" s="2">
        <v>1.4583333333333333</v>
      </c>
      <c r="AD25" t="s">
        <v>389</v>
      </c>
      <c r="AE25" s="11">
        <f t="shared" si="2"/>
        <v>6.4999999999999991</v>
      </c>
      <c r="AF25" s="12">
        <f t="shared" si="3"/>
        <v>0.75</v>
      </c>
      <c r="AG25" s="2">
        <v>1.4583333333333333</v>
      </c>
      <c r="AH25" t="s">
        <v>375</v>
      </c>
      <c r="AI25" s="2">
        <v>1.5833333333333333</v>
      </c>
      <c r="AJ25" t="s">
        <v>584</v>
      </c>
      <c r="AK25" s="2">
        <v>1.75</v>
      </c>
      <c r="AL25" t="s">
        <v>384</v>
      </c>
      <c r="AM25" s="2">
        <v>1.5833333333333333</v>
      </c>
      <c r="AN25" t="s">
        <v>472</v>
      </c>
      <c r="AO25" s="11">
        <f t="shared" si="4"/>
        <v>6.3749999999999991</v>
      </c>
      <c r="AP25" s="2">
        <v>1.5833333333333333</v>
      </c>
      <c r="AQ25" t="s">
        <v>571</v>
      </c>
      <c r="AR25" s="2">
        <v>1.2916666666666667</v>
      </c>
      <c r="AW25" s="9"/>
      <c r="BE25" s="9"/>
      <c r="BM25" s="9"/>
      <c r="BU25" s="9"/>
      <c r="CC25" s="9"/>
      <c r="CK25" s="9"/>
      <c r="CS25" s="9"/>
    </row>
    <row r="26" spans="1:98">
      <c r="A26" t="s">
        <v>104</v>
      </c>
      <c r="B26" t="s">
        <v>105</v>
      </c>
      <c r="C26" t="s">
        <v>106</v>
      </c>
      <c r="D26" s="9" t="s">
        <v>394</v>
      </c>
      <c r="E26" s="2">
        <v>1.5833333333333333</v>
      </c>
      <c r="F26" t="s">
        <v>418</v>
      </c>
      <c r="G26" s="2">
        <v>1.75</v>
      </c>
      <c r="H26" t="s">
        <v>430</v>
      </c>
      <c r="I26" s="2">
        <v>1.5833333333333333</v>
      </c>
      <c r="J26" t="s">
        <v>446</v>
      </c>
      <c r="K26" s="2">
        <v>1.5833333333333333</v>
      </c>
      <c r="L26" t="s">
        <v>466</v>
      </c>
      <c r="M26" s="11">
        <f t="shared" si="0"/>
        <v>6.4999999999999991</v>
      </c>
      <c r="N26" s="2">
        <v>1.4583333333333333</v>
      </c>
      <c r="O26" t="s">
        <v>481</v>
      </c>
      <c r="P26" s="2">
        <v>1.75</v>
      </c>
      <c r="Q26" t="s">
        <v>497</v>
      </c>
      <c r="R26" s="2">
        <v>1.6111111111111109</v>
      </c>
      <c r="S26" t="s">
        <v>423</v>
      </c>
      <c r="T26" s="2">
        <v>1.75</v>
      </c>
      <c r="U26" t="s">
        <v>421</v>
      </c>
      <c r="V26" s="11">
        <f t="shared" si="1"/>
        <v>6.5694444444444438</v>
      </c>
      <c r="W26" s="2">
        <v>1.75</v>
      </c>
      <c r="X26" t="s">
        <v>389</v>
      </c>
      <c r="Y26" s="2">
        <v>1.4583333333333333</v>
      </c>
      <c r="Z26" t="s">
        <v>394</v>
      </c>
      <c r="AA26" s="2">
        <v>1.5833333333333333</v>
      </c>
      <c r="AB26" t="s">
        <v>399</v>
      </c>
      <c r="AC26" s="2">
        <v>1.75</v>
      </c>
      <c r="AD26" t="s">
        <v>384</v>
      </c>
      <c r="AE26" s="11">
        <f t="shared" si="2"/>
        <v>6.5416666666666661</v>
      </c>
      <c r="AF26" s="12">
        <f t="shared" si="3"/>
        <v>0.61111111111110716</v>
      </c>
      <c r="AG26" s="2">
        <v>1.5833333333333333</v>
      </c>
      <c r="AH26" t="s">
        <v>472</v>
      </c>
      <c r="AI26" s="2">
        <v>1.5833333333333333</v>
      </c>
      <c r="AJ26" t="s">
        <v>396</v>
      </c>
      <c r="AK26" s="2">
        <v>1.2916666666666667</v>
      </c>
      <c r="AL26" t="s">
        <v>467</v>
      </c>
      <c r="AM26" s="2">
        <v>1.75</v>
      </c>
      <c r="AN26" t="s">
        <v>432</v>
      </c>
      <c r="AO26" s="11">
        <f t="shared" si="4"/>
        <v>6.208333333333333</v>
      </c>
      <c r="AP26" s="2">
        <v>1.5833333333333333</v>
      </c>
      <c r="AQ26" t="s">
        <v>477</v>
      </c>
      <c r="AR26" s="2">
        <v>1.75</v>
      </c>
      <c r="AW26" s="9"/>
      <c r="BE26" s="9"/>
      <c r="BM26" s="9"/>
      <c r="BU26" s="9"/>
      <c r="CC26" s="9"/>
      <c r="CK26" s="9"/>
      <c r="CS26" s="9"/>
    </row>
    <row r="27" spans="1:98">
      <c r="A27" t="s">
        <v>108</v>
      </c>
      <c r="B27" t="s">
        <v>109</v>
      </c>
      <c r="C27" t="s">
        <v>110</v>
      </c>
      <c r="D27" s="9" t="s">
        <v>395</v>
      </c>
      <c r="E27" s="2">
        <v>1.5833333333333333</v>
      </c>
      <c r="F27" t="s">
        <v>419</v>
      </c>
      <c r="G27" s="2">
        <v>1.4583333333333333</v>
      </c>
      <c r="H27" t="s">
        <v>431</v>
      </c>
      <c r="I27" s="2">
        <v>1.7222222222222223</v>
      </c>
      <c r="J27" t="s">
        <v>447</v>
      </c>
      <c r="K27" s="2">
        <v>1.5833333333333333</v>
      </c>
      <c r="L27" t="s">
        <v>462</v>
      </c>
      <c r="M27" s="11">
        <f t="shared" si="0"/>
        <v>6.3472222222222223</v>
      </c>
      <c r="N27" s="2">
        <v>1.75</v>
      </c>
      <c r="O27" t="s">
        <v>398</v>
      </c>
      <c r="P27" s="2">
        <v>1.75</v>
      </c>
      <c r="Q27" t="s">
        <v>498</v>
      </c>
      <c r="R27" s="2">
        <v>1.75</v>
      </c>
      <c r="S27" t="s">
        <v>396</v>
      </c>
      <c r="T27" s="2">
        <v>1.2916666666666667</v>
      </c>
      <c r="U27" t="s">
        <v>518</v>
      </c>
      <c r="V27" s="11">
        <f t="shared" si="1"/>
        <v>6.541666666666667</v>
      </c>
      <c r="W27" s="2">
        <v>1.75</v>
      </c>
      <c r="X27" t="s">
        <v>534</v>
      </c>
      <c r="Y27" s="2">
        <v>1.75</v>
      </c>
      <c r="Z27" t="s">
        <v>549</v>
      </c>
      <c r="AA27" s="2">
        <v>1.75</v>
      </c>
      <c r="AB27" t="s">
        <v>454</v>
      </c>
      <c r="AC27" s="2">
        <v>1.5833333333333333</v>
      </c>
      <c r="AD27" t="s">
        <v>574</v>
      </c>
      <c r="AE27" s="11">
        <f t="shared" si="2"/>
        <v>6.833333333333333</v>
      </c>
      <c r="AF27" s="12">
        <f t="shared" si="3"/>
        <v>0.72222222222222143</v>
      </c>
      <c r="AG27" s="2">
        <v>1.5833333333333333</v>
      </c>
      <c r="AH27" t="s">
        <v>396</v>
      </c>
      <c r="AI27" s="2">
        <v>1.2916666666666667</v>
      </c>
      <c r="AJ27" t="s">
        <v>467</v>
      </c>
      <c r="AK27" s="2">
        <v>1.75</v>
      </c>
      <c r="AL27" t="s">
        <v>432</v>
      </c>
      <c r="AM27" s="2">
        <v>1.5833333333333333</v>
      </c>
      <c r="AN27" t="s">
        <v>477</v>
      </c>
      <c r="AO27" s="11">
        <f t="shared" si="4"/>
        <v>6.208333333333333</v>
      </c>
      <c r="AP27" s="2">
        <v>1.75</v>
      </c>
      <c r="AQ27" t="s">
        <v>388</v>
      </c>
      <c r="AR27" s="2">
        <v>1.7083333333333333</v>
      </c>
      <c r="AW27" s="9"/>
      <c r="BE27" s="9"/>
      <c r="BM27" s="9"/>
      <c r="BU27" s="9"/>
      <c r="CC27" s="9"/>
      <c r="CK27" s="9"/>
      <c r="CS27" s="9"/>
    </row>
    <row r="28" spans="1:98">
      <c r="A28" t="s">
        <v>112</v>
      </c>
      <c r="B28" t="s">
        <v>113</v>
      </c>
      <c r="C28" t="s">
        <v>114</v>
      </c>
      <c r="D28" s="9" t="s">
        <v>396</v>
      </c>
      <c r="E28" s="2">
        <v>1.2916666666666667</v>
      </c>
      <c r="F28" t="s">
        <v>420</v>
      </c>
      <c r="G28" s="2">
        <v>1.75</v>
      </c>
      <c r="H28" t="s">
        <v>432</v>
      </c>
      <c r="I28" s="2">
        <v>1.5833333333333333</v>
      </c>
      <c r="J28" t="s">
        <v>423</v>
      </c>
      <c r="K28" s="2">
        <v>1.75</v>
      </c>
      <c r="L28" t="s">
        <v>421</v>
      </c>
      <c r="M28" s="11">
        <f t="shared" si="0"/>
        <v>6.375</v>
      </c>
      <c r="N28" s="2">
        <v>1.75</v>
      </c>
      <c r="O28" t="s">
        <v>482</v>
      </c>
      <c r="P28" s="2">
        <v>1.5833333333333333</v>
      </c>
      <c r="Q28" t="s">
        <v>469</v>
      </c>
      <c r="R28" s="2">
        <v>1.2916666666666667</v>
      </c>
      <c r="S28" t="s">
        <v>375</v>
      </c>
      <c r="T28" s="2">
        <v>1.5833333333333333</v>
      </c>
      <c r="U28" t="s">
        <v>462</v>
      </c>
      <c r="V28" s="11">
        <f t="shared" si="1"/>
        <v>6.208333333333333</v>
      </c>
      <c r="W28" s="2">
        <v>1.75</v>
      </c>
      <c r="X28" t="s">
        <v>535</v>
      </c>
      <c r="Y28" s="2">
        <v>1.2916666666666667</v>
      </c>
      <c r="Z28" t="s">
        <v>389</v>
      </c>
      <c r="AA28" s="2">
        <v>1.4583333333333333</v>
      </c>
      <c r="AB28" t="s">
        <v>558</v>
      </c>
      <c r="AC28" s="2">
        <v>1.75</v>
      </c>
      <c r="AD28" t="s">
        <v>380</v>
      </c>
      <c r="AE28" s="11">
        <f t="shared" si="2"/>
        <v>6.25</v>
      </c>
      <c r="AF28" s="12">
        <f t="shared" si="3"/>
        <v>-0.16666666666666785</v>
      </c>
      <c r="AG28" s="2">
        <v>1.5833333333333333</v>
      </c>
      <c r="AH28" t="s">
        <v>477</v>
      </c>
      <c r="AI28" s="2">
        <v>1.75</v>
      </c>
      <c r="AJ28" t="s">
        <v>388</v>
      </c>
      <c r="AK28" s="2">
        <v>1.7083333333333333</v>
      </c>
      <c r="AL28" t="s">
        <v>456</v>
      </c>
      <c r="AM28" s="2">
        <v>1.4583333333333333</v>
      </c>
      <c r="AN28" t="s">
        <v>511</v>
      </c>
      <c r="AO28" s="11">
        <f t="shared" si="4"/>
        <v>6.4999999999999991</v>
      </c>
      <c r="AP28" s="2">
        <v>1.4583333333333333</v>
      </c>
      <c r="AQ28" t="s">
        <v>375</v>
      </c>
      <c r="AR28" s="2">
        <v>1.5833333333333333</v>
      </c>
      <c r="AW28" s="9"/>
      <c r="BE28" s="9"/>
      <c r="BM28" s="9"/>
      <c r="BU28" s="9"/>
      <c r="CC28" s="9"/>
      <c r="CK28" s="9"/>
      <c r="CS28" s="9"/>
    </row>
    <row r="29" spans="1:98">
      <c r="A29" t="s">
        <v>115</v>
      </c>
      <c r="B29" t="s">
        <v>116</v>
      </c>
      <c r="C29" t="s">
        <v>117</v>
      </c>
      <c r="D29" s="9" t="s">
        <v>397</v>
      </c>
      <c r="E29" s="2">
        <v>1.5833333333333333</v>
      </c>
      <c r="F29" t="s">
        <v>421</v>
      </c>
      <c r="G29" s="2">
        <v>1.75</v>
      </c>
      <c r="H29" t="s">
        <v>433</v>
      </c>
      <c r="I29" s="2">
        <v>1.75</v>
      </c>
      <c r="J29" t="s">
        <v>448</v>
      </c>
      <c r="K29" s="2">
        <v>1.4583333333333333</v>
      </c>
      <c r="L29" t="s">
        <v>467</v>
      </c>
      <c r="M29" s="11">
        <f t="shared" si="0"/>
        <v>6.5416666666666661</v>
      </c>
      <c r="N29" s="2">
        <v>1.75</v>
      </c>
      <c r="O29" t="s">
        <v>432</v>
      </c>
      <c r="P29" s="2">
        <v>1.5833333333333333</v>
      </c>
      <c r="Q29" t="s">
        <v>499</v>
      </c>
      <c r="R29" s="2">
        <v>1.75</v>
      </c>
      <c r="S29" t="s">
        <v>388</v>
      </c>
      <c r="T29" s="2">
        <v>1.7083333333333333</v>
      </c>
      <c r="U29" t="s">
        <v>456</v>
      </c>
      <c r="V29" s="11">
        <f t="shared" si="1"/>
        <v>6.7916666666666661</v>
      </c>
      <c r="W29" s="2">
        <v>1.4583333333333333</v>
      </c>
      <c r="X29" t="s">
        <v>417</v>
      </c>
      <c r="Y29" s="2">
        <v>1.4583333333333333</v>
      </c>
      <c r="Z29" t="s">
        <v>394</v>
      </c>
      <c r="AA29" s="2">
        <v>1.5833333333333333</v>
      </c>
      <c r="AB29" t="s">
        <v>399</v>
      </c>
      <c r="AC29" s="2">
        <v>1.75</v>
      </c>
      <c r="AD29" t="s">
        <v>384</v>
      </c>
      <c r="AE29" s="11">
        <f t="shared" si="2"/>
        <v>6.25</v>
      </c>
      <c r="AF29" s="12">
        <f t="shared" si="3"/>
        <v>0.58333333333333215</v>
      </c>
      <c r="AG29" s="2">
        <v>1.5833333333333333</v>
      </c>
      <c r="AH29" t="s">
        <v>472</v>
      </c>
      <c r="AI29" s="2">
        <v>1.5833333333333333</v>
      </c>
      <c r="AJ29" t="s">
        <v>396</v>
      </c>
      <c r="AK29" s="2">
        <v>1.2916666666666667</v>
      </c>
      <c r="AL29" t="s">
        <v>467</v>
      </c>
      <c r="AM29" s="2">
        <v>1.75</v>
      </c>
      <c r="AN29" t="s">
        <v>380</v>
      </c>
      <c r="AO29" s="11">
        <f t="shared" si="4"/>
        <v>6.208333333333333</v>
      </c>
      <c r="AP29" s="2">
        <v>1.5833333333333333</v>
      </c>
      <c r="AQ29" t="s">
        <v>477</v>
      </c>
      <c r="AR29" s="2">
        <v>1.75</v>
      </c>
      <c r="AW29" s="9"/>
      <c r="BE29" s="9"/>
      <c r="BM29" s="9"/>
      <c r="BU29" s="9"/>
      <c r="CC29" s="9"/>
      <c r="CK29" s="9"/>
      <c r="CS29" s="9"/>
    </row>
    <row r="30" spans="1:98">
      <c r="A30" t="s">
        <v>118</v>
      </c>
      <c r="B30" t="s">
        <v>119</v>
      </c>
      <c r="C30" t="s">
        <v>120</v>
      </c>
      <c r="D30" s="9" t="s">
        <v>398</v>
      </c>
      <c r="E30" s="2">
        <v>1.75</v>
      </c>
      <c r="F30" t="s">
        <v>388</v>
      </c>
      <c r="G30" s="2">
        <v>1.7083333333333333</v>
      </c>
      <c r="H30" t="s">
        <v>434</v>
      </c>
      <c r="I30" s="2">
        <v>1.4583333333333333</v>
      </c>
      <c r="J30" t="s">
        <v>449</v>
      </c>
      <c r="K30" s="2">
        <v>1.4583333333333333</v>
      </c>
      <c r="L30" t="s">
        <v>375</v>
      </c>
      <c r="M30" s="11">
        <f t="shared" si="0"/>
        <v>6.3749999999999991</v>
      </c>
      <c r="N30" s="2">
        <v>1.5833333333333333</v>
      </c>
      <c r="O30" t="s">
        <v>462</v>
      </c>
      <c r="P30" s="2">
        <v>1.75</v>
      </c>
      <c r="Q30" t="s">
        <v>430</v>
      </c>
      <c r="R30" s="2">
        <v>1.5833333333333333</v>
      </c>
      <c r="S30" t="s">
        <v>393</v>
      </c>
      <c r="T30" s="2">
        <v>1.5833333333333333</v>
      </c>
      <c r="U30" t="s">
        <v>396</v>
      </c>
      <c r="V30" s="11">
        <f t="shared" si="1"/>
        <v>6.4999999999999991</v>
      </c>
      <c r="W30" s="2">
        <v>1.2916666666666667</v>
      </c>
      <c r="X30" t="s">
        <v>381</v>
      </c>
      <c r="Y30" s="2">
        <v>1.75</v>
      </c>
      <c r="Z30" t="s">
        <v>408</v>
      </c>
      <c r="AA30" s="2">
        <v>1.75</v>
      </c>
      <c r="AB30" t="s">
        <v>400</v>
      </c>
      <c r="AC30" s="2">
        <v>1.75</v>
      </c>
      <c r="AD30" t="s">
        <v>575</v>
      </c>
      <c r="AE30" s="11">
        <f t="shared" si="2"/>
        <v>6.541666666666667</v>
      </c>
      <c r="AF30" s="12">
        <f t="shared" si="3"/>
        <v>0.4166666666666643</v>
      </c>
      <c r="AG30" s="2">
        <v>1.75</v>
      </c>
      <c r="AH30" t="s">
        <v>582</v>
      </c>
      <c r="AI30" s="2">
        <v>1.75</v>
      </c>
      <c r="AJ30" t="s">
        <v>466</v>
      </c>
      <c r="AK30" s="2">
        <v>1.4583333333333333</v>
      </c>
      <c r="AL30" t="s">
        <v>481</v>
      </c>
      <c r="AM30" s="2">
        <v>1.75</v>
      </c>
      <c r="AN30" t="s">
        <v>412</v>
      </c>
      <c r="AO30" s="11">
        <f t="shared" si="4"/>
        <v>6.708333333333333</v>
      </c>
      <c r="AP30" s="2">
        <v>1.75</v>
      </c>
      <c r="AQ30" t="s">
        <v>579</v>
      </c>
      <c r="AR30" s="2">
        <v>1.75</v>
      </c>
      <c r="AW30" s="9"/>
      <c r="BE30" s="9"/>
      <c r="BM30" s="9"/>
      <c r="BU30" s="9"/>
      <c r="CC30" s="9"/>
      <c r="CK30" s="9"/>
      <c r="CS30" s="9"/>
    </row>
    <row r="31" spans="1:98">
      <c r="A31" t="s">
        <v>121</v>
      </c>
      <c r="B31" t="s">
        <v>122</v>
      </c>
      <c r="C31" t="s">
        <v>123</v>
      </c>
      <c r="D31" s="9" t="s">
        <v>399</v>
      </c>
      <c r="E31" s="2">
        <v>1.75</v>
      </c>
      <c r="F31" t="s">
        <v>384</v>
      </c>
      <c r="G31" s="2">
        <v>1.5833333333333333</v>
      </c>
      <c r="H31" t="s">
        <v>435</v>
      </c>
      <c r="I31" s="2">
        <v>1.5833333333333333</v>
      </c>
      <c r="J31" t="s">
        <v>396</v>
      </c>
      <c r="K31" s="2">
        <v>1.2916666666666667</v>
      </c>
      <c r="L31" t="s">
        <v>468</v>
      </c>
      <c r="M31" s="11">
        <f t="shared" si="0"/>
        <v>6.208333333333333</v>
      </c>
      <c r="N31" s="2">
        <v>1.75</v>
      </c>
      <c r="O31" t="s">
        <v>443</v>
      </c>
      <c r="P31" s="2">
        <v>1.5833333333333333</v>
      </c>
      <c r="Q31" t="s">
        <v>500</v>
      </c>
      <c r="R31" s="2">
        <v>1.5833333333333333</v>
      </c>
      <c r="S31" t="s">
        <v>421</v>
      </c>
      <c r="T31" s="2">
        <v>1.75</v>
      </c>
      <c r="U31" t="s">
        <v>433</v>
      </c>
      <c r="V31" s="11">
        <f t="shared" si="1"/>
        <v>6.6666666666666661</v>
      </c>
      <c r="W31" s="2">
        <v>1.75</v>
      </c>
      <c r="X31" t="s">
        <v>536</v>
      </c>
      <c r="Y31" s="2">
        <v>1.4583333333333333</v>
      </c>
      <c r="Z31" t="s">
        <v>550</v>
      </c>
      <c r="AA31" s="2">
        <v>1.75</v>
      </c>
      <c r="AB31" t="s">
        <v>559</v>
      </c>
      <c r="AC31" s="2">
        <v>1.75</v>
      </c>
      <c r="AD31" t="s">
        <v>576</v>
      </c>
      <c r="AE31" s="11">
        <f t="shared" si="2"/>
        <v>6.708333333333333</v>
      </c>
      <c r="AF31" s="12">
        <f t="shared" si="3"/>
        <v>0.58333333333333215</v>
      </c>
      <c r="AG31" s="2">
        <v>1.75</v>
      </c>
      <c r="AH31" t="s">
        <v>384</v>
      </c>
      <c r="AI31" s="2">
        <v>1.5833333333333333</v>
      </c>
      <c r="AJ31" t="s">
        <v>472</v>
      </c>
      <c r="AK31" s="2">
        <v>1.5833333333333333</v>
      </c>
      <c r="AL31" t="s">
        <v>396</v>
      </c>
      <c r="AM31" s="2">
        <v>1.2916666666666667</v>
      </c>
      <c r="AN31" t="s">
        <v>467</v>
      </c>
      <c r="AO31" s="11">
        <f t="shared" si="4"/>
        <v>6.208333333333333</v>
      </c>
      <c r="AP31" s="2">
        <v>1.75</v>
      </c>
      <c r="AQ31" t="s">
        <v>432</v>
      </c>
      <c r="AR31" s="2">
        <v>1.5833333333333333</v>
      </c>
      <c r="AW31" s="9"/>
      <c r="BE31" s="9"/>
      <c r="BM31" s="9"/>
      <c r="BU31" s="9"/>
      <c r="CC31" s="9"/>
      <c r="CK31" s="9"/>
      <c r="CS31" s="9"/>
    </row>
    <row r="32" spans="1:98">
      <c r="A32" t="s">
        <v>124</v>
      </c>
      <c r="B32" t="s">
        <v>125</v>
      </c>
      <c r="C32" t="s">
        <v>126</v>
      </c>
      <c r="D32" s="9" t="s">
        <v>400</v>
      </c>
      <c r="E32" s="2">
        <v>1.75</v>
      </c>
      <c r="F32" t="s">
        <v>422</v>
      </c>
      <c r="G32" s="2">
        <v>1.5833333333333333</v>
      </c>
      <c r="H32" t="s">
        <v>433</v>
      </c>
      <c r="I32" s="2">
        <v>1.75</v>
      </c>
      <c r="J32" t="s">
        <v>417</v>
      </c>
      <c r="K32" s="2">
        <v>1.4583333333333333</v>
      </c>
      <c r="L32" t="s">
        <v>375</v>
      </c>
      <c r="M32" s="11">
        <f t="shared" si="0"/>
        <v>6.5416666666666661</v>
      </c>
      <c r="N32" s="2">
        <v>1.5833333333333333</v>
      </c>
      <c r="O32" t="s">
        <v>462</v>
      </c>
      <c r="P32" s="2">
        <v>1.75</v>
      </c>
      <c r="Q32" t="s">
        <v>384</v>
      </c>
      <c r="R32" s="2">
        <v>1.5833333333333333</v>
      </c>
      <c r="S32" t="s">
        <v>472</v>
      </c>
      <c r="T32" s="2">
        <v>1.5833333333333333</v>
      </c>
      <c r="U32" t="s">
        <v>396</v>
      </c>
      <c r="V32" s="11">
        <f t="shared" si="1"/>
        <v>6.4999999999999991</v>
      </c>
      <c r="W32" s="2">
        <v>1.2916666666666667</v>
      </c>
      <c r="X32" t="s">
        <v>537</v>
      </c>
      <c r="Y32" s="2">
        <v>1.75</v>
      </c>
      <c r="Z32" t="s">
        <v>380</v>
      </c>
      <c r="AA32" s="2">
        <v>1.5833333333333333</v>
      </c>
      <c r="AB32" t="s">
        <v>560</v>
      </c>
      <c r="AC32" s="2">
        <v>1.75</v>
      </c>
      <c r="AD32" t="s">
        <v>568</v>
      </c>
      <c r="AE32" s="11">
        <f t="shared" si="2"/>
        <v>6.375</v>
      </c>
      <c r="AF32" s="12">
        <f t="shared" si="3"/>
        <v>0.4166666666666643</v>
      </c>
      <c r="AG32" s="2">
        <v>1.7083333333333333</v>
      </c>
      <c r="AH32" t="s">
        <v>474</v>
      </c>
      <c r="AI32" s="2">
        <v>1.4583333333333333</v>
      </c>
      <c r="AJ32" t="s">
        <v>511</v>
      </c>
      <c r="AK32" s="2">
        <v>1.4583333333333333</v>
      </c>
      <c r="AL32" t="s">
        <v>375</v>
      </c>
      <c r="AM32" s="2">
        <v>1.5833333333333333</v>
      </c>
      <c r="AN32" t="s">
        <v>462</v>
      </c>
      <c r="AO32" s="11">
        <f t="shared" si="4"/>
        <v>6.208333333333333</v>
      </c>
      <c r="AP32" s="2">
        <v>1.75</v>
      </c>
      <c r="AQ32" t="s">
        <v>430</v>
      </c>
      <c r="AR32" s="2">
        <v>1.5833333333333333</v>
      </c>
      <c r="AW32" s="9"/>
      <c r="BE32" s="9"/>
      <c r="BM32" s="9"/>
      <c r="BU32" s="9"/>
      <c r="CC32" s="9"/>
      <c r="CK32" s="9"/>
      <c r="CS32" s="9"/>
    </row>
    <row r="33" spans="1:97">
      <c r="A33" t="s">
        <v>127</v>
      </c>
      <c r="B33" t="s">
        <v>128</v>
      </c>
      <c r="C33" t="s">
        <v>129</v>
      </c>
      <c r="D33" s="9" t="s">
        <v>401</v>
      </c>
      <c r="E33" s="2">
        <v>1.5833333333333333</v>
      </c>
      <c r="F33" t="s">
        <v>423</v>
      </c>
      <c r="G33" s="2">
        <v>1.75</v>
      </c>
      <c r="H33" t="s">
        <v>421</v>
      </c>
      <c r="I33" s="2">
        <v>1.75</v>
      </c>
      <c r="J33" t="s">
        <v>450</v>
      </c>
      <c r="K33" s="2">
        <v>1.5833333333333333</v>
      </c>
      <c r="L33" t="s">
        <v>469</v>
      </c>
      <c r="M33" s="11">
        <f t="shared" si="0"/>
        <v>6.6666666666666661</v>
      </c>
      <c r="N33" s="2">
        <v>1.2916666666666667</v>
      </c>
      <c r="O33" t="s">
        <v>375</v>
      </c>
      <c r="P33" s="2">
        <v>1.5833333333333333</v>
      </c>
      <c r="Q33" t="s">
        <v>412</v>
      </c>
      <c r="R33" s="2">
        <v>1.75</v>
      </c>
      <c r="S33" t="s">
        <v>384</v>
      </c>
      <c r="T33" s="2">
        <v>1.5833333333333333</v>
      </c>
      <c r="U33" t="s">
        <v>472</v>
      </c>
      <c r="V33" s="11">
        <f t="shared" si="1"/>
        <v>6.208333333333333</v>
      </c>
      <c r="W33" s="2">
        <v>1.5833333333333333</v>
      </c>
      <c r="X33" t="s">
        <v>538</v>
      </c>
      <c r="Y33" s="2">
        <v>1</v>
      </c>
      <c r="Z33" t="s">
        <v>551</v>
      </c>
      <c r="AA33" s="2">
        <v>1.75</v>
      </c>
      <c r="AB33" t="s">
        <v>561</v>
      </c>
      <c r="AC33" s="2">
        <v>1.5833333333333333</v>
      </c>
      <c r="AD33" t="s">
        <v>577</v>
      </c>
      <c r="AE33" s="11">
        <f t="shared" si="2"/>
        <v>5.9166666666666661</v>
      </c>
      <c r="AF33" s="12">
        <f t="shared" si="3"/>
        <v>-0.2083333333333357</v>
      </c>
      <c r="AG33" s="2">
        <v>1.75</v>
      </c>
      <c r="AH33" t="s">
        <v>580</v>
      </c>
      <c r="AI33" s="2">
        <v>1.75</v>
      </c>
      <c r="AJ33" t="s">
        <v>582</v>
      </c>
      <c r="AK33" s="2">
        <v>1.75</v>
      </c>
      <c r="AL33" t="s">
        <v>466</v>
      </c>
      <c r="AM33" s="2">
        <v>1.4583333333333333</v>
      </c>
      <c r="AN33" t="s">
        <v>481</v>
      </c>
      <c r="AO33" s="11">
        <f t="shared" si="4"/>
        <v>6.708333333333333</v>
      </c>
      <c r="AP33" s="2">
        <v>1.75</v>
      </c>
      <c r="AQ33" t="s">
        <v>412</v>
      </c>
      <c r="AR33" s="2">
        <v>1.75</v>
      </c>
      <c r="AW33" s="9"/>
      <c r="BE33" s="9"/>
      <c r="BM33" s="9"/>
      <c r="BU33" s="9"/>
      <c r="CC33" s="9"/>
      <c r="CK33" s="9"/>
      <c r="CS33" s="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0000"/>
  </sheetPr>
  <dimension ref="A1"/>
  <sheetViews>
    <sheetView workbookViewId="0"/>
  </sheetViews>
  <sheetFormatPr defaultRowHeight="15"/>
  <sheetData/>
  <pageMargins left="0.7" right="0.7" top="0.75" bottom="0.75" header="0.3" footer="0.3"/>
  <customProperties>
    <customPr name="DCFIdentifier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2"/>
  <sheetViews>
    <sheetView workbookViewId="0"/>
  </sheetViews>
  <sheetFormatPr defaultRowHeight="15"/>
  <sheetData>
    <row r="1" spans="1:7">
      <c r="A1" t="s">
        <v>359</v>
      </c>
      <c r="B1" t="s">
        <v>360</v>
      </c>
      <c r="C1" t="s">
        <v>361</v>
      </c>
      <c r="D1" t="s">
        <v>362</v>
      </c>
      <c r="E1" t="s">
        <v>363</v>
      </c>
      <c r="F1" t="s">
        <v>364</v>
      </c>
      <c r="G1" t="s">
        <v>365</v>
      </c>
    </row>
    <row r="2" spans="1:7">
      <c r="A2" t="s">
        <v>366</v>
      </c>
      <c r="B2" t="s">
        <v>367</v>
      </c>
      <c r="C2" t="s">
        <v>368</v>
      </c>
      <c r="D2" t="s">
        <v>369</v>
      </c>
      <c r="E2" t="s">
        <v>370</v>
      </c>
      <c r="F2">
        <v>7</v>
      </c>
      <c r="G2" t="s">
        <v>371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ORE</vt:lpstr>
      <vt:lpstr>TURNI</vt:lpstr>
      <vt:lpstr>Sheet1</vt:lpstr>
      <vt:lpstr>Sheet2</vt:lpstr>
      <vt:lpstr>Classified as UnClassified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Qt Xlsx Library</dc:creator>
  <cp:lastModifiedBy>Giorgio POLLACCIA</cp:lastModifiedBy>
  <dcterms:created xsi:type="dcterms:W3CDTF">2016-09-20T21:13:40Z</dcterms:created>
  <dcterms:modified xsi:type="dcterms:W3CDTF">2016-10-11T15:42:46Z</dcterms:modified>
</cp:coreProperties>
</file>