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_TURNI_VBA_SQLITE\"/>
    </mc:Choice>
  </mc:AlternateContent>
  <bookViews>
    <workbookView xWindow="2250" yWindow="2460" windowWidth="9900" windowHeight="2910" tabRatio="614" activeTab="8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4" sheetId="416" r:id="rId9"/>
    <sheet name="xl_DCF_History" sheetId="5" state="veryHidden" r:id="rId10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8" hidden="1">'2017_1_4'!$A$9:$C$45</definedName>
    <definedName name="ExternalData_2" localSheetId="8" hidden="1">'2017_1_4'!$J$9:$U$45</definedName>
    <definedName name="location">COMANDI!$B$2</definedName>
    <definedName name="Query_da_SQLite3_Datasource" localSheetId="1" hidden="1">ANAGRAFICA!$A$4:$D$40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TURNAZIONE_OPERATORE!$A$4:$P$3028</definedName>
  </definedNames>
  <calcPr calcId="152511"/>
</workbook>
</file>

<file path=xl/calcChain.xml><?xml version="1.0" encoding="utf-8"?>
<calcChain xmlns="http://schemas.openxmlformats.org/spreadsheetml/2006/main"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V31" i="354" l="1"/>
  <c r="V27" i="354"/>
  <c r="V39" i="354"/>
  <c r="V23" i="354"/>
  <c r="V36" i="351"/>
  <c r="V39" i="348"/>
  <c r="V32" i="348"/>
  <c r="V16" i="348"/>
  <c r="V14" i="354"/>
  <c r="V36" i="348"/>
  <c r="V21" i="348"/>
  <c r="V36" i="354"/>
  <c r="V18" i="354"/>
  <c r="V35" i="348"/>
  <c r="V41" i="354"/>
  <c r="V40" i="351"/>
  <c r="V34" i="348"/>
  <c r="V20" i="354"/>
  <c r="V23" i="348"/>
  <c r="V22" i="354"/>
  <c r="BB40" i="348"/>
  <c r="BM38" i="348"/>
  <c r="BX29" i="348"/>
  <c r="BX21" i="348"/>
  <c r="BX13" i="348"/>
  <c r="AF39" i="348"/>
  <c r="AQ29" i="348"/>
  <c r="AQ17" i="348"/>
  <c r="V29" i="354"/>
  <c r="V16" i="351"/>
  <c r="V22" i="348"/>
  <c r="V18" i="351"/>
  <c r="V19" i="351"/>
  <c r="V14" i="351"/>
  <c r="BX39" i="348"/>
  <c r="AQ37" i="348"/>
  <c r="BB28" i="348"/>
  <c r="BB20" i="348"/>
  <c r="BB12" i="348"/>
  <c r="BM37" i="348"/>
  <c r="AF28" i="348"/>
  <c r="BM14" i="348"/>
  <c r="AQ32" i="348"/>
  <c r="AF13" i="348"/>
  <c r="BX38" i="348"/>
  <c r="BX34" i="348"/>
  <c r="BX26" i="348"/>
  <c r="BX18" i="348"/>
  <c r="BX10" i="348"/>
  <c r="AF34" i="348"/>
  <c r="AQ23" i="348"/>
  <c r="BM12" i="348"/>
  <c r="BM13" i="348"/>
  <c r="AF29" i="348"/>
  <c r="BM18" i="348"/>
  <c r="AF23" i="348"/>
  <c r="BM37" i="351"/>
  <c r="BM29" i="351"/>
  <c r="BM21" i="351"/>
  <c r="BM13" i="351"/>
  <c r="AQ36" i="351"/>
  <c r="AQ20" i="351"/>
  <c r="BM32" i="351"/>
  <c r="BM16" i="351"/>
  <c r="AQ37" i="351"/>
  <c r="AQ29" i="351"/>
  <c r="AQ21" i="351"/>
  <c r="AQ13" i="351"/>
  <c r="BB19" i="351"/>
  <c r="AQ14" i="351"/>
  <c r="AQ32" i="351"/>
  <c r="BM28" i="351"/>
  <c r="BB38" i="354"/>
  <c r="BB30" i="354"/>
  <c r="BB22" i="354"/>
  <c r="BB14" i="354"/>
  <c r="AQ39" i="354"/>
  <c r="AF34" i="354"/>
  <c r="BM28" i="354"/>
  <c r="AQ23" i="354"/>
  <c r="AF18" i="354"/>
  <c r="BM12" i="354"/>
  <c r="BX38" i="354"/>
  <c r="BX30" i="354"/>
  <c r="BX22" i="354"/>
  <c r="BX14" i="354"/>
  <c r="BM39" i="354"/>
  <c r="AQ34" i="354"/>
  <c r="AF29" i="354"/>
  <c r="BM23" i="354"/>
  <c r="AQ18" i="354"/>
  <c r="AF13" i="354"/>
  <c r="BB39" i="348"/>
  <c r="BB35" i="348"/>
  <c r="BB27" i="348"/>
  <c r="BB19" i="348"/>
  <c r="BB11" i="348"/>
  <c r="AF35" i="348"/>
  <c r="BM24" i="348"/>
  <c r="AF14" i="348"/>
  <c r="AF15" i="348"/>
  <c r="AQ30" i="348"/>
  <c r="BM19" i="348"/>
  <c r="AQ18" i="348"/>
  <c r="AF37" i="351"/>
  <c r="AF29" i="351"/>
  <c r="AF21" i="351"/>
  <c r="AF13" i="351"/>
  <c r="BM34" i="351"/>
  <c r="BM18" i="351"/>
  <c r="BB21" i="351"/>
  <c r="BB36" i="351"/>
  <c r="BB28" i="351"/>
  <c r="BB20" i="351"/>
  <c r="AF11" i="351"/>
  <c r="BM14" i="351"/>
  <c r="AG21" i="351"/>
  <c r="BB37" i="351"/>
  <c r="AF10" i="351"/>
  <c r="BB17" i="351"/>
  <c r="BX41" i="354"/>
  <c r="BX33" i="354"/>
  <c r="BX25" i="354"/>
  <c r="V35" i="354"/>
  <c r="V19" i="354"/>
  <c r="V20" i="351"/>
  <c r="V13" i="351"/>
  <c r="V12" i="348"/>
  <c r="V26" i="351"/>
  <c r="V27" i="348"/>
  <c r="V32" i="354"/>
  <c r="V22" i="351"/>
  <c r="V11" i="351"/>
  <c r="V24" i="351"/>
  <c r="V18" i="348"/>
  <c r="V17" i="351"/>
  <c r="V34" i="351"/>
  <c r="BB36" i="348"/>
  <c r="BX31" i="348"/>
  <c r="BX19" i="348"/>
  <c r="AF32" i="348"/>
  <c r="AF12" i="348"/>
  <c r="V13" i="354"/>
  <c r="V30" i="348"/>
  <c r="V39" i="351"/>
  <c r="V26" i="354"/>
  <c r="BX41" i="348"/>
  <c r="BB34" i="348"/>
  <c r="BB24" i="348"/>
  <c r="BB14" i="348"/>
  <c r="AQ35" i="348"/>
  <c r="BM22" i="348"/>
  <c r="BM11" i="348"/>
  <c r="BM29" i="348"/>
  <c r="AQ39" i="348"/>
  <c r="BX28" i="348"/>
  <c r="BX16" i="348"/>
  <c r="AQ38" i="348"/>
  <c r="AF26" i="348"/>
  <c r="AF10" i="348"/>
  <c r="AQ34" i="348"/>
  <c r="AF21" i="348"/>
  <c r="BM33" i="351"/>
  <c r="AQ23" i="351"/>
  <c r="AQ11" i="351"/>
  <c r="AQ28" i="351"/>
  <c r="AF36" i="351"/>
  <c r="AG36" i="351" s="1"/>
  <c r="AF12" i="351"/>
  <c r="AQ33" i="351"/>
  <c r="BM23" i="351"/>
  <c r="AF40" i="351"/>
  <c r="AQ30" i="351"/>
  <c r="BM36" i="351"/>
  <c r="BM20" i="351"/>
  <c r="BB34" i="354"/>
  <c r="BB24" i="354"/>
  <c r="BB12" i="354"/>
  <c r="BM36" i="354"/>
  <c r="AF30" i="354"/>
  <c r="AF22" i="354"/>
  <c r="AG22" i="354" s="1"/>
  <c r="AQ15" i="354"/>
  <c r="BX36" i="354"/>
  <c r="BX26" i="354"/>
  <c r="BX16" i="354"/>
  <c r="AQ38" i="354"/>
  <c r="BM31" i="354"/>
  <c r="AF25" i="354"/>
  <c r="AF17" i="354"/>
  <c r="AQ10" i="354"/>
  <c r="BB37" i="348"/>
  <c r="BB31" i="348"/>
  <c r="BB21" i="348"/>
  <c r="AF30" i="348"/>
  <c r="BM16" i="348"/>
  <c r="AQ12" i="348"/>
  <c r="AF25" i="348"/>
  <c r="AF33" i="351"/>
  <c r="BB22" i="351"/>
  <c r="BB10" i="351"/>
  <c r="BM26" i="351"/>
  <c r="AQ18" i="351"/>
  <c r="BB40" i="351"/>
  <c r="AF31" i="351"/>
  <c r="AF19" i="351"/>
  <c r="BM30" i="351"/>
  <c r="AF16" i="351"/>
  <c r="AF34" i="351"/>
  <c r="BB33" i="351"/>
  <c r="AG11" i="351"/>
  <c r="BX31" i="354"/>
  <c r="BX21" i="354"/>
  <c r="BX13" i="354"/>
  <c r="BM38" i="354"/>
  <c r="AQ33" i="354"/>
  <c r="AF28" i="354"/>
  <c r="BM22" i="354"/>
  <c r="AQ17" i="354"/>
  <c r="AF12" i="354"/>
  <c r="BB37" i="354"/>
  <c r="BB29" i="354"/>
  <c r="BB21" i="354"/>
  <c r="BB13" i="354"/>
  <c r="AF39" i="354"/>
  <c r="BM33" i="354"/>
  <c r="AQ28" i="354"/>
  <c r="AF23" i="354"/>
  <c r="BM17" i="354"/>
  <c r="AQ12" i="354"/>
  <c r="AG28" i="354"/>
  <c r="AR28" i="354"/>
  <c r="AR11" i="351"/>
  <c r="AG10" i="348"/>
  <c r="V15" i="354"/>
  <c r="V12" i="351"/>
  <c r="V28" i="348"/>
  <c r="V31" i="351"/>
  <c r="V10" i="351"/>
  <c r="V13" i="348"/>
  <c r="V28" i="354"/>
  <c r="V38" i="348"/>
  <c r="V33" i="354"/>
  <c r="V41" i="348"/>
  <c r="V10" i="348"/>
  <c r="V11" i="348"/>
  <c r="V33" i="351"/>
  <c r="AQ41" i="348"/>
  <c r="BX27" i="348"/>
  <c r="BX17" i="348"/>
  <c r="BM41" i="348"/>
  <c r="BM26" i="348"/>
  <c r="AF17" i="348"/>
  <c r="V32" i="351"/>
  <c r="V14" i="348"/>
  <c r="V29" i="348"/>
  <c r="V16" i="354"/>
  <c r="BX37" i="348"/>
  <c r="BB32" i="348"/>
  <c r="BB22" i="348"/>
  <c r="BB10" i="348"/>
  <c r="AQ33" i="348"/>
  <c r="AF20" i="348"/>
  <c r="AQ28" i="348"/>
  <c r="BM21" i="348"/>
  <c r="BM36" i="348"/>
  <c r="BX24" i="348"/>
  <c r="BX14" i="348"/>
  <c r="BM35" i="348"/>
  <c r="BM20" i="348"/>
  <c r="AF19" i="348"/>
  <c r="AG19" i="348" s="1"/>
  <c r="BM31" i="348"/>
  <c r="AQ13" i="348"/>
  <c r="BM41" i="351"/>
  <c r="AQ31" i="351"/>
  <c r="AQ19" i="351"/>
  <c r="AQ40" i="351"/>
  <c r="BB23" i="351"/>
  <c r="AF28" i="351"/>
  <c r="AG28" i="351" s="1"/>
  <c r="AQ41" i="351"/>
  <c r="BM31" i="351"/>
  <c r="BM19" i="351"/>
  <c r="BB35" i="351"/>
  <c r="AQ22" i="351"/>
  <c r="AQ24" i="351"/>
  <c r="BM12" i="351"/>
  <c r="BB32" i="354"/>
  <c r="BB20" i="354"/>
  <c r="BB10" i="354"/>
  <c r="AQ35" i="354"/>
  <c r="AQ27" i="354"/>
  <c r="BM20" i="354"/>
  <c r="AF14" i="354"/>
  <c r="AG14" i="354" s="1"/>
  <c r="AG30" i="354"/>
  <c r="BX34" i="354"/>
  <c r="V11" i="354"/>
  <c r="V41" i="351"/>
  <c r="V24" i="348"/>
  <c r="V15" i="351"/>
  <c r="V25" i="351"/>
  <c r="V27" i="351"/>
  <c r="V24" i="354"/>
  <c r="V25" i="348"/>
  <c r="V25" i="354"/>
  <c r="V37" i="351"/>
  <c r="V30" i="351"/>
  <c r="V38" i="354"/>
  <c r="V19" i="348"/>
  <c r="AF36" i="348"/>
  <c r="AG36" i="348" s="1"/>
  <c r="BX25" i="348"/>
  <c r="BX15" i="348"/>
  <c r="AQ36" i="348"/>
  <c r="AR36" i="348" s="1"/>
  <c r="AF24" i="348"/>
  <c r="V37" i="354"/>
  <c r="V37" i="348"/>
  <c r="V23" i="351"/>
  <c r="V17" i="348"/>
  <c r="V31" i="348"/>
  <c r="BX35" i="348"/>
  <c r="BB30" i="348"/>
  <c r="BB18" i="348"/>
  <c r="BM30" i="348"/>
  <c r="BM10" i="348"/>
  <c r="AQ24" i="348"/>
  <c r="BX40" i="348"/>
  <c r="BX32" i="348"/>
  <c r="BX22" i="348"/>
  <c r="BX12" i="348"/>
  <c r="AQ31" i="348"/>
  <c r="AF18" i="348"/>
  <c r="AQ16" i="348"/>
  <c r="AQ26" i="348"/>
  <c r="AQ14" i="348"/>
  <c r="AQ39" i="351"/>
  <c r="AQ27" i="351"/>
  <c r="BM17" i="351"/>
  <c r="BM38" i="351"/>
  <c r="BB15" i="351"/>
  <c r="BM24" i="351"/>
  <c r="BM39" i="351"/>
  <c r="BM27" i="351"/>
  <c r="AQ17" i="351"/>
  <c r="BB27" i="351"/>
  <c r="BM11" i="351"/>
  <c r="AQ16" i="351"/>
  <c r="BB40" i="354"/>
  <c r="BB28" i="354"/>
  <c r="BB18" i="354"/>
  <c r="BM40" i="354"/>
  <c r="BM32" i="354"/>
  <c r="AF26" i="354"/>
  <c r="AG26" i="354" s="1"/>
  <c r="AQ19" i="354"/>
  <c r="AQ11" i="354"/>
  <c r="BX32" i="354"/>
  <c r="V28" i="351"/>
  <c r="V33" i="348"/>
  <c r="V17" i="354"/>
  <c r="BB38" i="348"/>
  <c r="BM34" i="348"/>
  <c r="V12" i="354"/>
  <c r="BB26" i="348"/>
  <c r="BM15" i="348"/>
  <c r="BX20" i="348"/>
  <c r="AF11" i="348"/>
  <c r="BM25" i="351"/>
  <c r="AF20" i="351"/>
  <c r="BB11" i="351"/>
  <c r="BC11" i="351" s="1"/>
  <c r="BB26" i="354"/>
  <c r="BM24" i="354"/>
  <c r="BX28" i="354"/>
  <c r="BX12" i="354"/>
  <c r="BM35" i="354"/>
  <c r="AQ26" i="354"/>
  <c r="BM15" i="354"/>
  <c r="BB41" i="348"/>
  <c r="BB29" i="348"/>
  <c r="BB15" i="348"/>
  <c r="BM32" i="348"/>
  <c r="AQ11" i="348"/>
  <c r="V29" i="351"/>
  <c r="V40" i="354"/>
  <c r="V26" i="348"/>
  <c r="BX33" i="348"/>
  <c r="AQ21" i="348"/>
  <c r="V34" i="354"/>
  <c r="BB16" i="348"/>
  <c r="AQ20" i="348"/>
  <c r="AF41" i="348"/>
  <c r="BM23" i="348"/>
  <c r="AQ15" i="351"/>
  <c r="BM35" i="351"/>
  <c r="BM40" i="351"/>
  <c r="BB16" i="354"/>
  <c r="BM16" i="354"/>
  <c r="BX24" i="354"/>
  <c r="BX10" i="354"/>
  <c r="AF33" i="354"/>
  <c r="AQ22" i="354"/>
  <c r="AQ14" i="354"/>
  <c r="AR14" i="354"/>
  <c r="BM40" i="348"/>
  <c r="BB25" i="348"/>
  <c r="BB13" i="348"/>
  <c r="AQ27" i="348"/>
  <c r="AG41" i="348"/>
  <c r="AR41" i="348" s="1"/>
  <c r="BM27" i="348"/>
  <c r="AQ10" i="348"/>
  <c r="V38" i="351"/>
  <c r="V15" i="348"/>
  <c r="V30" i="354"/>
  <c r="BX11" i="348"/>
  <c r="V21" i="351"/>
  <c r="AF40" i="348"/>
  <c r="AG40" i="348" s="1"/>
  <c r="AQ25" i="348"/>
  <c r="BX30" i="348"/>
  <c r="AQ15" i="348"/>
  <c r="AQ35" i="351"/>
  <c r="AQ12" i="351"/>
  <c r="BM15" i="351"/>
  <c r="BB36" i="354"/>
  <c r="AQ31" i="354"/>
  <c r="BX40" i="354"/>
  <c r="BX18" i="354"/>
  <c r="AF37" i="354"/>
  <c r="AG37" i="354" s="1"/>
  <c r="BM27" i="354"/>
  <c r="BM19" i="354"/>
  <c r="BM25" i="348"/>
  <c r="BB33" i="348"/>
  <c r="BB17" i="348"/>
  <c r="AF37" i="348"/>
  <c r="AG37" i="348" s="1"/>
  <c r="AQ19" i="348"/>
  <c r="AR19" i="348" s="1"/>
  <c r="AG39" i="348"/>
  <c r="AG11" i="348"/>
  <c r="BB30" i="351"/>
  <c r="AF17" i="351"/>
  <c r="AF30" i="351"/>
  <c r="AQ34" i="351"/>
  <c r="AQ10" i="351"/>
  <c r="BB32" i="351"/>
  <c r="BB16" i="351"/>
  <c r="AF32" i="351"/>
  <c r="BB41" i="351"/>
  <c r="BB25" i="351"/>
  <c r="BX37" i="354"/>
  <c r="BX23" i="354"/>
  <c r="BX11" i="354"/>
  <c r="AF36" i="354"/>
  <c r="AQ29" i="354"/>
  <c r="AQ21" i="354"/>
  <c r="BM14" i="354"/>
  <c r="AG18" i="354"/>
  <c r="BB35" i="354"/>
  <c r="BB25" i="354"/>
  <c r="BB15" i="354"/>
  <c r="BM37" i="354"/>
  <c r="AF31" i="354"/>
  <c r="AQ24" i="354"/>
  <c r="AQ16" i="354"/>
  <c r="AG12" i="354"/>
  <c r="AG29" i="354"/>
  <c r="AR29" i="354" s="1"/>
  <c r="BC14" i="354"/>
  <c r="AG12" i="351"/>
  <c r="BC36" i="348"/>
  <c r="AG17" i="348"/>
  <c r="AR18" i="354"/>
  <c r="AG31" i="351"/>
  <c r="BC18" i="354"/>
  <c r="AG20" i="348"/>
  <c r="AG12" i="348"/>
  <c r="AG34" i="351"/>
  <c r="AG21" i="348"/>
  <c r="AR17" i="348"/>
  <c r="BC41" i="348"/>
  <c r="AG39" i="354"/>
  <c r="BN41" i="348"/>
  <c r="BC17" i="348"/>
  <c r="BC28" i="354"/>
  <c r="AR12" i="354"/>
  <c r="AG33" i="351"/>
  <c r="AG35" i="348"/>
  <c r="V20" i="348"/>
  <c r="V21" i="354"/>
  <c r="BM28" i="348"/>
  <c r="AG40" i="351"/>
  <c r="AF41" i="354"/>
  <c r="AG41" i="354" s="1"/>
  <c r="BM33" i="348"/>
  <c r="AF22" i="348"/>
  <c r="AF16" i="348"/>
  <c r="BB34" i="351"/>
  <c r="BB14" i="351"/>
  <c r="AF14" i="351"/>
  <c r="AG14" i="351" s="1"/>
  <c r="BB13" i="351"/>
  <c r="AF27" i="351"/>
  <c r="AG27" i="351" s="1"/>
  <c r="AQ38" i="351"/>
  <c r="BB12" i="351"/>
  <c r="BM34" i="354"/>
  <c r="AG34" i="354"/>
  <c r="BB31" i="354"/>
  <c r="AF19" i="354"/>
  <c r="BB41" i="354"/>
  <c r="BM25" i="354"/>
  <c r="AF10" i="354"/>
  <c r="AF41" i="351"/>
  <c r="AF39" i="351"/>
  <c r="BX39" i="354"/>
  <c r="AF20" i="354"/>
  <c r="BM41" i="354"/>
  <c r="AG13" i="354"/>
  <c r="AR21" i="351"/>
  <c r="BC21" i="351" s="1"/>
  <c r="AG20" i="351"/>
  <c r="AG28" i="348"/>
  <c r="AR28" i="348" s="1"/>
  <c r="AG13" i="348"/>
  <c r="AR13" i="348" s="1"/>
  <c r="BN14" i="354"/>
  <c r="AR37" i="348"/>
  <c r="BC37" i="348" s="1"/>
  <c r="AG23" i="354"/>
  <c r="AR39" i="354"/>
  <c r="AG30" i="351"/>
  <c r="V10" i="354"/>
  <c r="V35" i="351"/>
  <c r="AF31" i="348"/>
  <c r="AF38" i="354"/>
  <c r="AG38" i="354" s="1"/>
  <c r="AR38" i="354" s="1"/>
  <c r="AQ30" i="354"/>
  <c r="AR30" i="354" s="1"/>
  <c r="BC30" i="354" s="1"/>
  <c r="AF38" i="348"/>
  <c r="AG38" i="348" s="1"/>
  <c r="BM17" i="348"/>
  <c r="BN17" i="348" s="1"/>
  <c r="AF27" i="348"/>
  <c r="AG27" i="348" s="1"/>
  <c r="BB26" i="351"/>
  <c r="BB39" i="351"/>
  <c r="BM10" i="351"/>
  <c r="AG41" i="351"/>
  <c r="BB24" i="351"/>
  <c r="BM22" i="351"/>
  <c r="AF26" i="351"/>
  <c r="BX27" i="354"/>
  <c r="AQ41" i="354"/>
  <c r="AR41" i="354" s="1"/>
  <c r="AF32" i="354"/>
  <c r="AF24" i="354"/>
  <c r="AG24" i="354" s="1"/>
  <c r="BB11" i="354"/>
  <c r="AG36" i="354"/>
  <c r="AG16" i="351"/>
  <c r="AR16" i="351" s="1"/>
  <c r="BC16" i="351" s="1"/>
  <c r="AG22" i="348"/>
  <c r="AG26" i="348"/>
  <c r="BC13" i="348"/>
  <c r="BN13" i="348" s="1"/>
  <c r="AG25" i="354"/>
  <c r="BN21" i="351"/>
  <c r="AG14" i="348"/>
  <c r="AR21" i="348"/>
  <c r="AQ40" i="348"/>
  <c r="AR40" i="348" s="1"/>
  <c r="AF33" i="348"/>
  <c r="AG33" i="348" s="1"/>
  <c r="BB29" i="351"/>
  <c r="AF18" i="351"/>
  <c r="AG18" i="351" s="1"/>
  <c r="BM30" i="354"/>
  <c r="BN30" i="354" s="1"/>
  <c r="BB23" i="354"/>
  <c r="BM13" i="354"/>
  <c r="BX23" i="348"/>
  <c r="BX36" i="348"/>
  <c r="AQ25" i="351"/>
  <c r="BX20" i="354"/>
  <c r="BM11" i="354"/>
  <c r="BM39" i="348"/>
  <c r="AQ22" i="348"/>
  <c r="AR22" i="348" s="1"/>
  <c r="BB38" i="351"/>
  <c r="BB18" i="351"/>
  <c r="AF22" i="351"/>
  <c r="AG22" i="351" s="1"/>
  <c r="AQ26" i="351"/>
  <c r="AF35" i="351"/>
  <c r="AF15" i="351"/>
  <c r="AG15" i="351" s="1"/>
  <c r="AG19" i="351"/>
  <c r="AR19" i="351" s="1"/>
  <c r="AG26" i="351"/>
  <c r="BX35" i="354"/>
  <c r="BX17" i="354"/>
  <c r="AQ37" i="354"/>
  <c r="BM26" i="354"/>
  <c r="BM18" i="354"/>
  <c r="BN18" i="354" s="1"/>
  <c r="BY18" i="354" s="1"/>
  <c r="AG10" i="354"/>
  <c r="AR10" i="354" s="1"/>
  <c r="BC10" i="354" s="1"/>
  <c r="BB33" i="354"/>
  <c r="BB19" i="354"/>
  <c r="AQ40" i="354"/>
  <c r="BM29" i="354"/>
  <c r="AQ20" i="354"/>
  <c r="AF11" i="354"/>
  <c r="AG11" i="354" s="1"/>
  <c r="AR22" i="354"/>
  <c r="AR41" i="351"/>
  <c r="BC41" i="351" s="1"/>
  <c r="AR11" i="348"/>
  <c r="AR39" i="348"/>
  <c r="AG24" i="348"/>
  <c r="AR24" i="348" s="1"/>
  <c r="AR20" i="351"/>
  <c r="BC38" i="354"/>
  <c r="AR34" i="354"/>
  <c r="BC34" i="354" s="1"/>
  <c r="BN34" i="354" s="1"/>
  <c r="AG23" i="348"/>
  <c r="AR23" i="348" s="1"/>
  <c r="AR15" i="351"/>
  <c r="BC15" i="351" s="1"/>
  <c r="BN15" i="351" s="1"/>
  <c r="BC20" i="351"/>
  <c r="BN20" i="351" s="1"/>
  <c r="AG29" i="348"/>
  <c r="AG33" i="354"/>
  <c r="BC28" i="348"/>
  <c r="BC40" i="348"/>
  <c r="AR20" i="348"/>
  <c r="AG31" i="348"/>
  <c r="AR31" i="348"/>
  <c r="BY34" i="354"/>
  <c r="BC31" i="348"/>
  <c r="BN28" i="348"/>
  <c r="BN31" i="348"/>
  <c r="BY28" i="348"/>
  <c r="BC22" i="348"/>
  <c r="AR29" i="348"/>
  <c r="BC29" i="348" s="1"/>
  <c r="AG35" i="351"/>
  <c r="AR35" i="351" s="1"/>
  <c r="AG17" i="351"/>
  <c r="AR17" i="351" s="1"/>
  <c r="AG15" i="348"/>
  <c r="AR14" i="351"/>
  <c r="BY41" i="348"/>
  <c r="AG13" i="351"/>
  <c r="BX29" i="354"/>
  <c r="BX15" i="354"/>
  <c r="AQ25" i="354"/>
  <c r="AR25" i="354" s="1"/>
  <c r="BC25" i="354" s="1"/>
  <c r="AF16" i="354"/>
  <c r="BB17" i="354"/>
  <c r="AQ36" i="354"/>
  <c r="AR36" i="354" s="1"/>
  <c r="BC36" i="354" s="1"/>
  <c r="AF27" i="354"/>
  <c r="AG27" i="354" s="1"/>
  <c r="AG20" i="354"/>
  <c r="AR20" i="354" s="1"/>
  <c r="AG19" i="354"/>
  <c r="AR19" i="354" s="1"/>
  <c r="AR13" i="351"/>
  <c r="BC13" i="351" s="1"/>
  <c r="AG16" i="348"/>
  <c r="AR16" i="348" s="1"/>
  <c r="AG25" i="348"/>
  <c r="AR25" i="348" s="1"/>
  <c r="BC25" i="348" s="1"/>
  <c r="BC11" i="348"/>
  <c r="BN11" i="348" s="1"/>
  <c r="AR12" i="351"/>
  <c r="AR26" i="351"/>
  <c r="AR18" i="351"/>
  <c r="BC26" i="351"/>
  <c r="BN26" i="351" s="1"/>
  <c r="BC24" i="348"/>
  <c r="AG18" i="348"/>
  <c r="AR12" i="348"/>
  <c r="AR28" i="351"/>
  <c r="AR40" i="351"/>
  <c r="BN24" i="348"/>
  <c r="BY24" i="348" s="1"/>
  <c r="AG34" i="348"/>
  <c r="AR34" i="348" s="1"/>
  <c r="BY13" i="348"/>
  <c r="AR36" i="351"/>
  <c r="BC36" i="351" s="1"/>
  <c r="AG17" i="354"/>
  <c r="AR17" i="354" s="1"/>
  <c r="BC17" i="354" s="1"/>
  <c r="AR34" i="351"/>
  <c r="BC34" i="351" s="1"/>
  <c r="BC40" i="351"/>
  <c r="BN40" i="351" s="1"/>
  <c r="BC16" i="348"/>
  <c r="BN16" i="348" s="1"/>
  <c r="BY16" i="348" s="1"/>
  <c r="BN16" i="351"/>
  <c r="BC41" i="354"/>
  <c r="BN41" i="354" s="1"/>
  <c r="BY41" i="354" s="1"/>
  <c r="BN36" i="354"/>
  <c r="BN17" i="354"/>
  <c r="BC20" i="354"/>
  <c r="BN20" i="354" s="1"/>
  <c r="BC20" i="348"/>
  <c r="BN40" i="348"/>
  <c r="BY40" i="348" s="1"/>
  <c r="AR14" i="348"/>
  <c r="BC22" i="354"/>
  <c r="AG16" i="354"/>
  <c r="AG10" i="351"/>
  <c r="AG29" i="351"/>
  <c r="AR29" i="351" s="1"/>
  <c r="AR38" i="348"/>
  <c r="BN37" i="348"/>
  <c r="BC34" i="348"/>
  <c r="BY30" i="354"/>
  <c r="AQ13" i="354"/>
  <c r="AR13" i="354" s="1"/>
  <c r="BB27" i="354"/>
  <c r="AF35" i="354"/>
  <c r="AG35" i="354" s="1"/>
  <c r="AR35" i="354" s="1"/>
  <c r="BC35" i="354" s="1"/>
  <c r="BN35" i="354" s="1"/>
  <c r="BY35" i="354" s="1"/>
  <c r="AF15" i="354"/>
  <c r="AG15" i="354" s="1"/>
  <c r="AR15" i="354" s="1"/>
  <c r="BY14" i="354"/>
  <c r="AR33" i="348"/>
  <c r="BC33" i="348" s="1"/>
  <c r="BN33" i="348" s="1"/>
  <c r="BY33" i="348" s="1"/>
  <c r="AR10" i="348"/>
  <c r="BC10" i="348" s="1"/>
  <c r="AG39" i="351"/>
  <c r="AR39" i="351" s="1"/>
  <c r="BC39" i="351" s="1"/>
  <c r="AG32" i="348"/>
  <c r="AR32" i="348" s="1"/>
  <c r="BC32" i="348" s="1"/>
  <c r="AR26" i="348"/>
  <c r="BC26" i="348" s="1"/>
  <c r="AR26" i="354"/>
  <c r="BC26" i="354" s="1"/>
  <c r="BN41" i="351"/>
  <c r="AR33" i="354"/>
  <c r="BC33" i="354" s="1"/>
  <c r="BC28" i="351"/>
  <c r="BN28" i="351" s="1"/>
  <c r="BY36" i="354"/>
  <c r="BY31" i="348"/>
  <c r="BN32" i="348"/>
  <c r="BY11" i="348"/>
  <c r="BN11" i="351"/>
  <c r="AG32" i="354"/>
  <c r="AR22" i="351"/>
  <c r="AG37" i="351"/>
  <c r="AR37" i="351" s="1"/>
  <c r="AR27" i="351"/>
  <c r="AR11" i="354"/>
  <c r="BC11" i="354" s="1"/>
  <c r="BY17" i="348"/>
  <c r="BC27" i="351"/>
  <c r="BN27" i="351"/>
  <c r="V40" i="348"/>
  <c r="BB31" i="351"/>
  <c r="AF21" i="354"/>
  <c r="AG21" i="354" s="1"/>
  <c r="AR21" i="354" s="1"/>
  <c r="BC21" i="354" s="1"/>
  <c r="BB23" i="348"/>
  <c r="BC23" i="348" s="1"/>
  <c r="AF25" i="351"/>
  <c r="AG25" i="351" s="1"/>
  <c r="AR25" i="351" s="1"/>
  <c r="AF38" i="351"/>
  <c r="AG38" i="351" s="1"/>
  <c r="AR38" i="351" s="1"/>
  <c r="BC38" i="351" s="1"/>
  <c r="AF23" i="351"/>
  <c r="AG23" i="351" s="1"/>
  <c r="AR23" i="351" s="1"/>
  <c r="BC23" i="351" s="1"/>
  <c r="BN23" i="351" s="1"/>
  <c r="AF24" i="351"/>
  <c r="AG24" i="351" s="1"/>
  <c r="BX19" i="354"/>
  <c r="AF40" i="354"/>
  <c r="AG40" i="354" s="1"/>
  <c r="BM10" i="354"/>
  <c r="BN10" i="354" s="1"/>
  <c r="BB39" i="354"/>
  <c r="BC39" i="354" s="1"/>
  <c r="AQ32" i="354"/>
  <c r="BM21" i="354"/>
  <c r="BN21" i="354" s="1"/>
  <c r="BY21" i="354" s="1"/>
  <c r="AG31" i="354"/>
  <c r="AR31" i="354" s="1"/>
  <c r="BC31" i="354" s="1"/>
  <c r="BN31" i="354" s="1"/>
  <c r="BY31" i="354" s="1"/>
  <c r="AR31" i="351"/>
  <c r="BC31" i="351" s="1"/>
  <c r="BN31" i="351" s="1"/>
  <c r="BC12" i="351"/>
  <c r="BN12" i="351" s="1"/>
  <c r="BN36" i="348"/>
  <c r="BY36" i="348" s="1"/>
  <c r="BC19" i="348"/>
  <c r="BN19" i="348" s="1"/>
  <c r="BN38" i="354"/>
  <c r="BY38" i="354" s="1"/>
  <c r="AG30" i="348"/>
  <c r="AR30" i="348" s="1"/>
  <c r="BC39" i="348"/>
  <c r="BN39" i="348" s="1"/>
  <c r="BY39" i="348" s="1"/>
  <c r="BC29" i="354"/>
  <c r="BN29" i="354" s="1"/>
  <c r="BY29" i="354" s="1"/>
  <c r="BC18" i="351"/>
  <c r="BN18" i="351" s="1"/>
  <c r="AR23" i="354"/>
  <c r="BC23" i="354" s="1"/>
  <c r="BN23" i="354" s="1"/>
  <c r="BY23" i="354" s="1"/>
  <c r="BN23" i="348"/>
  <c r="BY23" i="348" s="1"/>
  <c r="BC15" i="354"/>
  <c r="BN15" i="354" s="1"/>
  <c r="BY15" i="354" s="1"/>
  <c r="BC12" i="348"/>
  <c r="BN12" i="348" s="1"/>
  <c r="BN10" i="348"/>
  <c r="BY10" i="348" s="1"/>
  <c r="BY12" i="348"/>
  <c r="BN25" i="354"/>
  <c r="BY25" i="354" s="1"/>
  <c r="BY17" i="354"/>
  <c r="BN26" i="348"/>
  <c r="BN13" i="351"/>
  <c r="BN25" i="348"/>
  <c r="BY25" i="348" s="1"/>
  <c r="AR18" i="348"/>
  <c r="BC18" i="348" s="1"/>
  <c r="BC19" i="351"/>
  <c r="AR37" i="354"/>
  <c r="AG32" i="351"/>
  <c r="AR27" i="348"/>
  <c r="BC19" i="354"/>
  <c r="BN19" i="354" s="1"/>
  <c r="BN11" i="354"/>
  <c r="BY11" i="354" s="1"/>
  <c r="BY19" i="354" l="1"/>
  <c r="BN19" i="351"/>
  <c r="BY19" i="348"/>
  <c r="AR24" i="351"/>
  <c r="BC22" i="351"/>
  <c r="BN26" i="354"/>
  <c r="BY26" i="354" s="1"/>
  <c r="BY37" i="348"/>
  <c r="AR16" i="354"/>
  <c r="BY20" i="354"/>
  <c r="BC14" i="351"/>
  <c r="BN29" i="348"/>
  <c r="AR30" i="351"/>
  <c r="BC30" i="351" s="1"/>
  <c r="BC25" i="351"/>
  <c r="BN25" i="351" s="1"/>
  <c r="BC29" i="351"/>
  <c r="BC17" i="351"/>
  <c r="BN17" i="351" s="1"/>
  <c r="BC27" i="348"/>
  <c r="BN27" i="348" s="1"/>
  <c r="BY27" i="348" s="1"/>
  <c r="BN18" i="348"/>
  <c r="BN39" i="354"/>
  <c r="BY39" i="354" s="1"/>
  <c r="BN38" i="351"/>
  <c r="AR32" i="354"/>
  <c r="BN39" i="351"/>
  <c r="BC38" i="348"/>
  <c r="BN38" i="348" s="1"/>
  <c r="BY38" i="348" s="1"/>
  <c r="BN22" i="354"/>
  <c r="BN34" i="351"/>
  <c r="AR15" i="348"/>
  <c r="BC15" i="348" s="1"/>
  <c r="BN15" i="348" s="1"/>
  <c r="BN22" i="348"/>
  <c r="AR35" i="348"/>
  <c r="BC35" i="348" s="1"/>
  <c r="BN35" i="348" s="1"/>
  <c r="BY35" i="348" s="1"/>
  <c r="AR32" i="351"/>
  <c r="BY10" i="354"/>
  <c r="BC13" i="354"/>
  <c r="BC14" i="348"/>
  <c r="BN14" i="348" s="1"/>
  <c r="AR33" i="351"/>
  <c r="BC37" i="354"/>
  <c r="BC30" i="348"/>
  <c r="AR40" i="354"/>
  <c r="BC40" i="354" s="1"/>
  <c r="BC37" i="351"/>
  <c r="BN37" i="351" s="1"/>
  <c r="BN33" i="354"/>
  <c r="BY33" i="354" s="1"/>
  <c r="BN34" i="348"/>
  <c r="AR10" i="351"/>
  <c r="BC10" i="351" s="1"/>
  <c r="BN10" i="351" s="1"/>
  <c r="BN20" i="348"/>
  <c r="BY20" i="348" s="1"/>
  <c r="AR27" i="354"/>
  <c r="BC35" i="351"/>
  <c r="AR24" i="354"/>
  <c r="BC12" i="354"/>
  <c r="BN28" i="354"/>
  <c r="BY28" i="354" s="1"/>
  <c r="BY26" i="348"/>
  <c r="BY32" i="348"/>
  <c r="BN36" i="351"/>
  <c r="BC21" i="348"/>
  <c r="BN21" i="348" l="1"/>
  <c r="BY21" i="348" s="1"/>
  <c r="BC27" i="354"/>
  <c r="BN37" i="354"/>
  <c r="BC32" i="351"/>
  <c r="BN32" i="351" s="1"/>
  <c r="BC32" i="354"/>
  <c r="BY29" i="348"/>
  <c r="BC24" i="351"/>
  <c r="BN12" i="354"/>
  <c r="BY34" i="348"/>
  <c r="BC33" i="351"/>
  <c r="BY22" i="348"/>
  <c r="BY18" i="348"/>
  <c r="BN14" i="351"/>
  <c r="BC24" i="354"/>
  <c r="BN40" i="354"/>
  <c r="BY14" i="348"/>
  <c r="BY15" i="348"/>
  <c r="BN29" i="351"/>
  <c r="BC16" i="354"/>
  <c r="BN35" i="351"/>
  <c r="BN30" i="348"/>
  <c r="BN13" i="354"/>
  <c r="BY22" i="354"/>
  <c r="BN30" i="351"/>
  <c r="BN22" i="351"/>
  <c r="BY13" i="354" l="1"/>
  <c r="BN24" i="354"/>
  <c r="BY24" i="354" s="1"/>
  <c r="BN32" i="354"/>
  <c r="BN27" i="354"/>
  <c r="BY30" i="348"/>
  <c r="BN33" i="351"/>
  <c r="BY37" i="354"/>
  <c r="BN16" i="354"/>
  <c r="BY40" i="354"/>
  <c r="BN24" i="351"/>
  <c r="BY12" i="354"/>
  <c r="BY16" i="354" l="1"/>
  <c r="BY27" i="354"/>
  <c r="BY32" i="354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"/>
  </connection>
  <connection id="3" name="Connection1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"/>
  </connection>
  <connection id="4" name="Connessione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5" name="Connessione1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2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7" name="Connessione3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8" name="Connessione4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9" name="Connessione5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0" name="MATRICETURNI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1" name="Query from SQLite3 Datasource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2" name="simboli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3" name="turnazione_operatore" type="1" refreshedVersion="5" background="1" saveData="1">
    <dbPr connection="DSN=SQLite3 Datasource;Database=D:\EXCEL_TURNI_VBA_SQLITE\DICEMBRE_2016_DA_ANNAMARIA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<sst xmlns="http://schemas.openxmlformats.org/spreadsheetml/2006/main" count="41279" uniqueCount="1723">
  <si>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</si>
  <si>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</si>
  <si>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</si>
  <si>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</si>
  <si>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</si>
  <si>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</si>
  <si>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</si>
  <si>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</si>
  <si>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</si>
  <si>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</si>
  <si>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</si>
  <si>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</si>
  <si>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</si>
  <si>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</si>
  <si>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</si>
  <si>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</si>
  <si>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</si>
  <si>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</si>
  <si>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</si>
  <si>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</si>
  <si>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</si>
  <si>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</si>
  <si>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</si>
  <si>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</si>
  <si>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</si>
  <si>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</si>
  <si>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</si>
  <si>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</si>
  <si>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</si>
  <si>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</si>
  <si>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</si>
  <si>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</si>
  <si>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</si>
  <si>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</si>
  <si>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</si>
  <si>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</si>
  <si>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</si>
  <si>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</si>
  <si>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</si>
  <si>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</si>
  <si>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</si>
  <si>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</si>
  <si>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</si>
  <si>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</si>
  <si>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</si>
  <si>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</si>
  <si>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</si>
  <si>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</si>
  <si>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</si>
  <si>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</si>
  <si>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</si>
  <si>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</si>
  <si>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</si>
  <si>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</si>
  <si>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</si>
  <si>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</si>
  <si>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</si>
  <si>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</si>
  <si>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</si>
  <si>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</si>
  <si>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</si>
  <si>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</si>
  <si>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</si>
  <si>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</si>
  <si>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</si>
  <si>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</si>
  <si>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</si>
  <si>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</si>
  <si>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</si>
  <si>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</si>
  <si>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</si>
  <si>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</si>
  <si>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</si>
  <si>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</si>
  <si>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</si>
  <si>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</si>
  <si>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</si>
  <si>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</si>
  <si>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</si>
  <si>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</si>
  <si>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</si>
  <si>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</si>
  <si>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</si>
  <si>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</si>
  <si>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</si>
  <si>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</si>
  <si>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</si>
  <si>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</si>
  <si>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</si>
  <si>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</si>
  <si>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</si>
  <si>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</si>
  <si>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</si>
  <si>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</si>
  <si>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</si>
  <si>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</si>
  <si>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</si>
  <si>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</si>
  <si>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</si>
  <si>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</si>
  <si>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</si>
  <si>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</si>
  <si>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</si>
  <si>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</si>
  <si>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</si>
  <si>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</si>
  <si>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</si>
  <si>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</si>
  <si>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</si>
  <si>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</si>
  <si>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</si>
  <si>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</si>
  <si>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</si>
  <si>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</si>
  <si>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</si>
  <si>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</si>
  <si>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</si>
  <si>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</si>
  <si>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</si>
  <si>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</si>
  <si>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</si>
  <si>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</si>
  <si>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</si>
  <si>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</si>
  <si>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</si>
  <si>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</si>
  <si>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</si>
  <si>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</si>
  <si>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</si>
  <si>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</si>
  <si>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</si>
  <si>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</si>
  <si>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</si>
  <si>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</si>
  <si>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</si>
  <si>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</si>
  <si>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</si>
  <si>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</si>
  <si>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</si>
  <si>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</si>
  <si>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</si>
  <si>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</si>
  <si>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</si>
  <si>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</si>
  <si>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</si>
  <si>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</si>
  <si>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</si>
  <si>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</si>
  <si>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</si>
  <si>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</si>
  <si>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</si>
  <si>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</si>
  <si>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</si>
  <si>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</si>
  <si>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</si>
  <si>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</si>
  <si>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</si>
  <si>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</si>
  <si>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</si>
  <si>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</si>
  <si>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</si>
  <si>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</si>
  <si>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</si>
  <si>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</si>
  <si>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</si>
  <si>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</si>
  <si>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</si>
  <si>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</si>
  <si>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</si>
  <si>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</si>
  <si>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</si>
  <si>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</si>
  <si>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</si>
  <si>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</si>
  <si>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</si>
  <si>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</si>
  <si>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</si>
  <si>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</si>
  <si>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</si>
  <si>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</si>
  <si>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</si>
  <si>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</si>
  <si>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</si>
  <si>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</si>
  <si>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</si>
  <si>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</si>
  <si>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</si>
  <si>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</si>
  <si>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</si>
  <si>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</si>
  <si>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</si>
  <si>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</si>
  <si>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</si>
  <si>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</si>
  <si>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</si>
  <si>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</si>
  <si>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</si>
  <si>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</si>
  <si>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</si>
  <si>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</si>
  <si>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</si>
  <si>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</si>
  <si>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</si>
  <si>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</si>
  <si>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</si>
  <si>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</si>
  <si>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</si>
  <si>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</si>
  <si>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</si>
  <si>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</si>
  <si>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</si>
  <si>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</si>
  <si>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</si>
  <si>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</si>
  <si>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</si>
  <si>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</si>
  <si>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</si>
  <si>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</si>
  <si>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</si>
  <si>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</si>
  <si>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</si>
  <si>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</si>
  <si>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</si>
  <si>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</si>
  <si>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</si>
  <si>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</si>
  <si>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</si>
  <si>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</si>
  <si>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</si>
  <si>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</si>
  <si>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</si>
  <si>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</si>
  <si>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</si>
  <si>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</si>
  <si>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</si>
  <si>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</si>
  <si>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</si>
  <si>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</si>
  <si>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</si>
  <si>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</si>
  <si>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</si>
  <si>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</si>
  <si>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</si>
  <si>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</si>
  <si>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</si>
  <si>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</si>
  <si>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</si>
  <si>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</si>
  <si>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</si>
  <si>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</si>
  <si>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</si>
  <si>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</si>
  <si>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</si>
  <si>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</si>
  <si>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</si>
  <si>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</si>
  <si>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</si>
  <si>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</si>
  <si>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</si>
  <si>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</si>
  <si>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</si>
  <si>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</si>
  <si>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</si>
  <si>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</si>
  <si>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</si>
  <si>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</si>
  <si>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</si>
  <si>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</si>
  <si>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</si>
  <si>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</si>
  <si>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</si>
  <si>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</si>
  <si>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</si>
  <si>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</si>
  <si>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</si>
  <si>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</si>
  <si>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</si>
  <si>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</si>
  <si>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</si>
  <si>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</si>
  <si>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</si>
  <si>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</si>
  <si>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</si>
  <si>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</si>
  <si>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</si>
  <si>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</si>
  <si>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</si>
  <si>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</si>
  <si>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</si>
  <si>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</si>
  <si>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</si>
  <si>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</si>
  <si>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</si>
  <si>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</si>
  <si>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</si>
  <si>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</si>
  <si>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</si>
  <si>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</si>
  <si>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</si>
  <si>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</si>
  <si>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</si>
  <si>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</si>
  <si>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</si>
  <si>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</si>
  <si>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</si>
  <si>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</si>
  <si>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</si>
  <si>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</si>
  <si>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</si>
  <si>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</si>
  <si>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</si>
  <si>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</si>
  <si>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</si>
  <si>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</si>
  <si>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</si>
  <si>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</si>
  <si>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</si>
  <si>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</si>
  <si>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</si>
  <si>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</si>
  <si>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</si>
  <si>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</si>
  <si>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</si>
  <si>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</si>
  <si>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</si>
  <si>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</si>
  <si>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</si>
  <si>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</si>
  <si>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</si>
  <si>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</si>
  <si>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</si>
  <si>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</si>
  <si>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</si>
  <si>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</si>
  <si>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</si>
  <si>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</si>
  <si>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</si>
  <si>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</si>
  <si>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</si>
  <si>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</si>
  <si>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</si>
  <si>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</si>
  <si>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</si>
  <si>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</si>
  <si>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</si>
  <si>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</si>
  <si>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</si>
  <si>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</si>
  <si>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</si>
  <si>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</si>
  <si>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</si>
  <si>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</si>
  <si>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</si>
  <si>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</si>
  <si>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</si>
  <si>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</si>
  <si>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</si>
  <si>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</si>
  <si>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</si>
  <si>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</si>
  <si>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</si>
  <si>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</si>
  <si>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</si>
  <si>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</si>
  <si>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</si>
  <si>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</si>
  <si>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</si>
  <si>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</si>
  <si>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</si>
  <si>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</si>
  <si>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</si>
  <si>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</si>
  <si>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</si>
  <si>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</si>
  <si>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</si>
  <si>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</si>
  <si>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</si>
  <si>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</si>
  <si>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</si>
  <si>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</si>
  <si>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</si>
  <si>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</si>
  <si>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</si>
  <si>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</si>
  <si>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</si>
  <si>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</si>
  <si>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</si>
  <si>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</si>
  <si>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</si>
  <si>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</si>
  <si>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</si>
  <si>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</si>
  <si>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</si>
  <si>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</si>
  <si>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</si>
  <si>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</si>
  <si>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</si>
  <si>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</si>
  <si>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</si>
  <si>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</si>
  <si>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</si>
  <si>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</si>
  <si>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</si>
  <si>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</si>
  <si>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</si>
  <si>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</si>
  <si>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</si>
  <si>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</si>
  <si>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</si>
  <si>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</si>
  <si>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</si>
  <si>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</si>
  <si>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</si>
  <si>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</si>
  <si>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</si>
  <si>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</si>
  <si>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</si>
  <si>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</si>
  <si>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</si>
  <si>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</si>
  <si>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</si>
  <si>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</si>
  <si>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</si>
  <si>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</si>
  <si>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</si>
  <si>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</si>
  <si>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</si>
  <si>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</si>
  <si>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</si>
  <si>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</si>
  <si>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</si>
  <si>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</si>
  <si>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</si>
  <si>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</si>
  <si>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</si>
  <si>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</si>
  <si>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</si>
  <si>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</si>
  <si>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</si>
  <si>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</si>
  <si>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</si>
  <si>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</si>
  <si>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</si>
  <si>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</si>
  <si>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</si>
  <si>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</si>
  <si>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</si>
  <si>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</si>
  <si>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</si>
  <si>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</si>
  <si>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</si>
  <si>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</si>
  <si>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</si>
  <si>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</si>
  <si>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</si>
  <si>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</si>
  <si>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</si>
  <si>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</si>
  <si>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</si>
  <si>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</si>
  <si>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</si>
  <si>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</si>
  <si>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</si>
  <si>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</si>
  <si>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</si>
  <si>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</si>
  <si>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</si>
  <si>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</si>
  <si>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</si>
  <si>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</si>
  <si>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</si>
  <si>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</si>
  <si>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</si>
  <si>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</si>
  <si>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</si>
  <si>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</si>
  <si>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</si>
  <si>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</si>
  <si>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</si>
  <si>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</si>
  <si>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</si>
  <si>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</si>
  <si>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</si>
  <si>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</si>
  <si>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</si>
  <si>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</si>
  <si>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</si>
  <si>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</si>
  <si>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</si>
  <si>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</si>
  <si>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</si>
  <si>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</si>
  <si>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</si>
  <si>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</si>
  <si>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</si>
  <si>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</si>
  <si>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</si>
  <si>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</si>
  <si>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</si>
  <si>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</si>
  <si>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</si>
  <si>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</si>
  <si>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</si>
  <si>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</si>
  <si>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</si>
  <si>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</si>
  <si>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</si>
  <si>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</si>
  <si>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</si>
  <si>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</si>
  <si>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</si>
  <si>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</si>
  <si>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</si>
  <si>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</si>
  <si>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</si>
  <si>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</si>
  <si>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</si>
  <si>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</si>
  <si>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</si>
  <si>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</si>
  <si>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</si>
  <si>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</si>
  <si>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</si>
  <si>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</si>
  <si>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</si>
  <si>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</si>
  <si>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</si>
  <si>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</si>
  <si>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</si>
  <si>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</si>
  <si>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</si>
  <si>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</si>
  <si>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</si>
  <si>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</si>
  <si>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</si>
  <si>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</si>
  <si>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</si>
  <si>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</si>
  <si>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</si>
  <si>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</si>
  <si>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</si>
  <si>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</si>
  <si>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</si>
  <si>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</si>
  <si>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</si>
  <si>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</si>
  <si>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</si>
  <si>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</si>
  <si>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</si>
  <si>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</si>
  <si>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</si>
  <si>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</si>
  <si>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</si>
  <si>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</si>
  <si>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</si>
  <si>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</si>
  <si>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</si>
  <si>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</si>
  <si>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</si>
  <si>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</si>
  <si>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</si>
  <si>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</si>
  <si>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</si>
  <si>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</si>
  <si>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</si>
  <si>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</si>
  <si>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</si>
  <si>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</si>
  <si>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</si>
  <si>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</si>
  <si>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</si>
  <si>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</si>
  <si>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</si>
  <si>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</si>
  <si>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</si>
  <si>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</si>
  <si>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</si>
  <si>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</si>
  <si>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</si>
  <si>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</si>
  <si>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</si>
  <si>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</si>
  <si>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</si>
  <si>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</si>
  <si>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</si>
  <si>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</si>
  <si>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</si>
  <si>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</si>
  <si>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</si>
  <si>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</si>
  <si>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</si>
  <si>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</si>
  <si>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</si>
  <si>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</si>
  <si>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</si>
  <si>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</si>
  <si>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</si>
  <si>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</si>
  <si>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</si>
  <si>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</si>
  <si>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</si>
  <si>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</si>
  <si>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</si>
  <si>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</si>
  <si>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</si>
  <si>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</si>
  <si>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</si>
  <si>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</si>
  <si>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</si>
  <si>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</si>
  <si>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</si>
  <si>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</si>
  <si>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</si>
  <si>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</si>
  <si>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</si>
  <si>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</si>
  <si>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</si>
  <si>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</si>
  <si>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</si>
  <si>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</si>
  <si>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</si>
  <si>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</si>
  <si>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</si>
  <si>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</si>
  <si>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</si>
  <si>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</si>
  <si>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</si>
  <si>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</si>
  <si>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</si>
  <si>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</si>
  <si>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</si>
  <si>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</si>
  <si>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</si>
  <si>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</si>
  <si>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</si>
  <si>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</si>
  <si>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</si>
  <si>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</si>
  <si>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</si>
  <si>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</si>
  <si>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</si>
  <si>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</si>
  <si>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</si>
  <si>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</si>
  <si>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</si>
  <si>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</si>
  <si>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</si>
  <si>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</si>
  <si>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</si>
  <si>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</si>
  <si>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</si>
  <si>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</si>
  <si>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</si>
  <si>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</si>
  <si>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</si>
  <si>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</si>
  <si>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</si>
  <si>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</si>
  <si>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</si>
  <si>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</si>
  <si>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</si>
  <si>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</si>
  <si>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</si>
  <si>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</si>
  <si>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</si>
  <si>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</si>
  <si>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</si>
  <si>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</si>
  <si>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</si>
  <si>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</si>
  <si>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</si>
  <si>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</si>
  <si>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</si>
  <si>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</si>
  <si>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</si>
  <si>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</si>
  <si>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</si>
  <si>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</si>
  <si>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</si>
  <si>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</si>
  <si>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</si>
  <si>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</si>
  <si>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</si>
  <si>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</si>
  <si>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</si>
  <si>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</si>
  <si>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</si>
  <si>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</si>
  <si>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</si>
  <si>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</si>
  <si>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</si>
  <si>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</si>
  <si>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</si>
  <si>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</si>
  <si>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</si>
  <si>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</si>
  <si>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</si>
  <si>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</si>
  <si>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</si>
  <si>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</si>
  <si>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</si>
  <si>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</si>
  <si>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</si>
  <si>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</si>
  <si>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</si>
  <si>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</si>
  <si>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</si>
  <si>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</si>
  <si>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</si>
  <si>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</si>
  <si>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</si>
  <si>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</si>
  <si>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</si>
  <si>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</si>
  <si>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</si>
  <si>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</si>
  <si>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</si>
  <si>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</si>
  <si>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</si>
  <si>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</si>
  <si>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</si>
  <si>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</si>
  <si>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</si>
  <si>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</si>
  <si>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</si>
  <si>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</si>
  <si>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</si>
  <si>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</si>
  <si>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</si>
  <si>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</si>
  <si>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</si>
  <si>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</si>
  <si>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</si>
  <si>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</si>
  <si>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</si>
  <si>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</si>
  <si>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</si>
  <si>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</si>
  <si>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</si>
  <si>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</si>
  <si>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</si>
  <si>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</si>
  <si>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</si>
  <si>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</si>
  <si>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</si>
  <si>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</si>
  <si>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</si>
  <si>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</si>
  <si>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</si>
  <si>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</si>
  <si>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</si>
  <si>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</si>
  <si>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</si>
  <si>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</si>
  <si>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</si>
  <si>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</si>
  <si>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</si>
  <si>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</si>
  <si>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</si>
  <si>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</si>
  <si>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</si>
  <si>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</si>
  <si>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</si>
  <si>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</si>
  <si>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</si>
  <si>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</si>
  <si>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</si>
  <si>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</si>
  <si>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</si>
  <si>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</si>
  <si>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</si>
  <si>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</si>
  <si>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</si>
  <si>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</si>
  <si>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</si>
  <si>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</si>
  <si>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</si>
  <si>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</si>
  <si>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</si>
  <si>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</si>
  <si>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</si>
  <si>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</si>
  <si>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</si>
  <si>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</si>
  <si>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</si>
  <si>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</si>
  <si>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</si>
  <si>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</si>
  <si>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</si>
  <si>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</si>
  <si>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</si>
  <si>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</si>
  <si>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</si>
  <si>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</si>
  <si>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</si>
  <si>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</si>
  <si>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</si>
  <si>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</si>
  <si>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</si>
  <si>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</si>
  <si>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</si>
  <si>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</si>
  <si>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</si>
  <si>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</si>
  <si>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</si>
  <si>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</si>
  <si>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</si>
  <si>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</si>
  <si>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</si>
  <si>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</si>
  <si>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</si>
  <si>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</si>
  <si>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</si>
  <si>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</si>
  <si>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</si>
  <si>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</si>
  <si>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</si>
  <si>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</si>
  <si>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</si>
  <si>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</si>
  <si>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</si>
  <si>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</si>
  <si>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</si>
  <si>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</si>
  <si>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</si>
  <si>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</si>
  <si>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</si>
  <si>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</si>
  <si>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</si>
  <si>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</si>
  <si>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</si>
  <si>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</si>
  <si>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</si>
  <si>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</si>
  <si>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</si>
  <si>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</si>
  <si>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</si>
  <si>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</si>
  <si>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</si>
  <si>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</si>
  <si>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</si>
  <si>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</si>
  <si>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</si>
  <si>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</si>
  <si>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</si>
  <si>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</si>
  <si>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</si>
  <si>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</si>
  <si>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</si>
  <si>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</si>
  <si>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</si>
  <si>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</si>
  <si>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</si>
  <si>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</si>
  <si>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</si>
  <si>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</si>
  <si>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</si>
  <si>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</si>
  <si>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</si>
  <si>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</si>
  <si>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</si>
  <si>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</si>
  <si>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</si>
  <si>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</si>
  <si>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</si>
  <si>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</si>
  <si>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</si>
  <si>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</si>
  <si>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</si>
  <si>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</si>
  <si>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</si>
  <si>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</si>
  <si>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</si>
  <si>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</si>
  <si>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</si>
  <si>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</si>
  <si>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</si>
  <si>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</si>
  <si>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</si>
  <si>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</si>
  <si>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</si>
  <si>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</si>
  <si>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</si>
  <si>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</si>
  <si>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</si>
  <si>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</si>
  <si>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</si>
  <si>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</si>
  <si>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</si>
  <si>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</si>
  <si>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</si>
  <si>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</si>
  <si>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</si>
  <si>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</si>
  <si>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</si>
  <si>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</si>
  <si>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</si>
  <si>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</si>
  <si>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</si>
  <si>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</si>
  <si>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</si>
  <si>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</si>
  <si>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</si>
  <si>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</si>
  <si>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</si>
  <si>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</si>
  <si>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</si>
  <si>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</si>
  <si>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</si>
  <si>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</si>
  <si>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</si>
  <si>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</si>
  <si>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</si>
  <si>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</si>
  <si>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</si>
  <si>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</si>
  <si>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</si>
  <si>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</si>
  <si>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</si>
  <si>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</si>
  <si>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</si>
  <si>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</si>
  <si>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</si>
  <si>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</si>
  <si>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</si>
  <si>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</si>
  <si>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</si>
  <si>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</si>
  <si>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</si>
  <si>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</si>
  <si>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</si>
  <si>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</si>
  <si>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</si>
  <si>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</si>
  <si>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</si>
  <si>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</si>
  <si>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</si>
  <si>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</si>
  <si>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</si>
  <si>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</si>
  <si>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</si>
  <si>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</si>
  <si>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</si>
  <si>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</si>
  <si>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</si>
  <si>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</si>
  <si>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</si>
  <si>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</si>
  <si>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</si>
  <si>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</si>
  <si>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</si>
  <si>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</si>
  <si>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</si>
  <si>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</si>
  <si>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</si>
  <si>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</si>
  <si>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</si>
  <si>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</si>
  <si>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</si>
  <si>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</si>
  <si>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</si>
  <si>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</si>
  <si>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</si>
  <si>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</si>
  <si>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</si>
  <si>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</si>
  <si>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</si>
  <si>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</si>
  <si>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</si>
  <si>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</si>
  <si>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</si>
  <si>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</si>
  <si>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</si>
  <si>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</si>
  <si>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</si>
  <si>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</si>
  <si>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</si>
  <si>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</si>
  <si>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</si>
  <si>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</si>
  <si>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</si>
  <si>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</si>
  <si>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</si>
  <si>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</si>
  <si>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</si>
  <si>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</si>
  <si>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</si>
  <si>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</si>
  <si>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</si>
  <si>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</si>
  <si>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</si>
  <si>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</si>
  <si>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</si>
  <si>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</si>
  <si>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</si>
  <si>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</si>
  <si>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</si>
  <si>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</si>
  <si>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</si>
  <si>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</si>
  <si>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</si>
  <si>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</si>
  <si>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</si>
  <si>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</si>
  <si>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</si>
  <si>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</si>
  <si>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</si>
  <si>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</si>
  <si>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</si>
  <si>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</si>
  <si>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</si>
  <si>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</si>
  <si>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</si>
  <si>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</si>
  <si>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</si>
  <si>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</si>
  <si>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</si>
  <si>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</si>
  <si>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</si>
  <si>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</si>
  <si>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</si>
  <si>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</si>
  <si>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</si>
  <si>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</si>
  <si>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</si>
  <si>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</si>
  <si>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</si>
  <si>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</si>
  <si>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</si>
  <si>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</si>
  <si>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</si>
  <si>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</si>
  <si>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</si>
  <si>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</si>
  <si>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</si>
  <si>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</si>
  <si>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</si>
  <si>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</si>
  <si>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</si>
  <si>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</si>
  <si>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</si>
  <si>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</si>
  <si>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</si>
  <si>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</si>
  <si>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</si>
  <si>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</si>
  <si>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</si>
  <si>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</si>
  <si>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</si>
  <si>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</si>
  <si>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</si>
  <si>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</si>
  <si>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</si>
  <si>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</si>
  <si>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</si>
  <si>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</si>
  <si>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</si>
  <si>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</si>
  <si>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</si>
  <si>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</si>
  <si>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</si>
  <si>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</si>
  <si>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</si>
  <si>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</si>
  <si>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</si>
  <si>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</si>
  <si>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</si>
  <si>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</si>
  <si>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</si>
  <si>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</si>
  <si>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</si>
  <si>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</si>
  <si>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</si>
  <si>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</si>
  <si>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</si>
  <si>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</si>
  <si>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</si>
  <si>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</si>
  <si>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</si>
  <si>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</si>
  <si>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</si>
  <si>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</si>
  <si>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</si>
  <si>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</si>
  <si>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</si>
  <si>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</si>
  <si>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</si>
  <si>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</si>
  <si>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</si>
  <si>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</si>
  <si>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</si>
  <si>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</si>
  <si>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</si>
  <si>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</si>
  <si>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</si>
  <si>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</si>
  <si>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</si>
  <si>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</si>
  <si>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</si>
  <si>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</si>
  <si>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</si>
  <si>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</si>
  <si>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</si>
  <si>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</si>
  <si>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</si>
  <si>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</si>
  <si>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</si>
  <si>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</si>
  <si>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</si>
  <si>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</si>
  <si>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</si>
  <si>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</si>
  <si>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</si>
  <si>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</si>
  <si>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</si>
  <si>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</si>
  <si>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</si>
  <si>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</si>
  <si>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</si>
  <si>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</si>
  <si>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</si>
  <si>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</si>
  <si>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</si>
  <si>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</si>
  <si>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</si>
  <si>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</si>
  <si>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</si>
  <si>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</si>
  <si>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</si>
  <si>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</si>
  <si>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</si>
  <si>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</si>
  <si>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</si>
  <si>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</si>
  <si>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</si>
  <si>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</si>
  <si>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</si>
  <si>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</si>
  <si>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</si>
  <si>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</si>
  <si>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</si>
  <si>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</si>
  <si>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</si>
  <si>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</si>
  <si>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</si>
  <si>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</si>
  <si>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</si>
  <si>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</si>
  <si>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</si>
  <si>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</si>
  <si>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</si>
  <si>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</si>
  <si>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</si>
  <si>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</si>
  <si>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</si>
  <si>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</si>
  <si>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</si>
  <si>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</si>
  <si>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</si>
  <si>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</si>
  <si>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</si>
  <si>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</si>
  <si>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</si>
  <si>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</si>
  <si>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</si>
  <si>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</si>
  <si>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</si>
  <si>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</si>
  <si>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</si>
  <si>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</si>
  <si>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</si>
  <si>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</si>
  <si>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</si>
  <si>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</si>
  <si>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</si>
  <si>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</si>
  <si>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</si>
  <si>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</si>
  <si>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</si>
  <si>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</si>
  <si>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</si>
  <si>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</si>
  <si>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</si>
  <si>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</si>
  <si>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</si>
  <si>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</si>
  <si>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</si>
  <si>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</si>
  <si>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</si>
  <si>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</si>
  <si>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</si>
  <si>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</si>
  <si>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</si>
  <si>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</si>
  <si>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</si>
  <si>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</si>
  <si>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</si>
  <si>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</si>
  <si>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</si>
  <si>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</si>
  <si>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</si>
  <si>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</si>
  <si>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</si>
  <si>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</si>
  <si>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</si>
  <si>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</si>
  <si>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</si>
  <si>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</si>
  <si>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</si>
  <si>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</si>
  <si>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</si>
  <si>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</si>
  <si>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</si>
  <si>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</si>
  <si>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</si>
  <si>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</si>
  <si>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</si>
  <si>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</si>
  <si>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</si>
  <si>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</si>
  <si>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</si>
  <si>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</si>
  <si>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</si>
  <si>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</si>
  <si>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</si>
  <si>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</si>
  <si>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</si>
  <si>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</si>
  <si>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</si>
  <si>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</si>
  <si>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</si>
  <si>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</si>
  <si>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</si>
  <si>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</si>
  <si>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</si>
  <si>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</si>
  <si>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</si>
  <si>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</si>
  <si>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</si>
  <si>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</si>
  <si>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</si>
  <si>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</si>
  <si>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</si>
  <si>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</si>
  <si>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</si>
  <si>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</si>
  <si>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</si>
  <si>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</si>
  <si>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</si>
  <si>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</si>
  <si>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</si>
  <si>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</si>
  <si>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</si>
  <si>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</si>
  <si>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</si>
  <si>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</si>
  <si>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</si>
  <si>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</si>
  <si>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</si>
  <si>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</si>
  <si>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</si>
  <si>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</si>
  <si>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</si>
  <si>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</si>
  <si>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</si>
  <si>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</si>
  <si>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</si>
  <si>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</si>
  <si>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</si>
  <si>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</si>
  <si>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</si>
  <si>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</si>
  <si>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</si>
  <si>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</si>
  <si>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</si>
  <si>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</si>
  <si>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</si>
  <si>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</si>
  <si>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</si>
  <si>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</si>
  <si>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</si>
  <si>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</si>
  <si>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</si>
  <si>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</si>
  <si>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</si>
  <si>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</si>
  <si>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</si>
  <si>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</si>
  <si>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</si>
  <si>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</si>
  <si>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</si>
  <si>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</si>
  <si>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</si>
  <si>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</si>
  <si>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</si>
  <si>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</si>
  <si>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</si>
  <si>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</si>
  <si>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</si>
  <si>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</si>
  <si>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</si>
  <si>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</si>
  <si>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</si>
  <si>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</si>
  <si>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</si>
  <si>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</si>
  <si>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</si>
  <si>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</si>
  <si>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</si>
  <si>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</si>
  <si>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</si>
  <si>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</si>
  <si>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</si>
  <si>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</si>
  <si>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</si>
  <si>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</si>
  <si>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</si>
  <si>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</si>
  <si>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</si>
  <si>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</si>
  <si>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</si>
  <si>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</si>
  <si>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</si>
  <si>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</si>
  <si>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</si>
  <si>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</si>
  <si>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</si>
  <si>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</si>
  <si>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</si>
  <si>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</si>
  <si>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</si>
  <si>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</si>
  <si>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</si>
  <si>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</si>
  <si>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</si>
  <si>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</si>
  <si>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</si>
  <si>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</si>
  <si>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</si>
  <si>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</si>
  <si>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</si>
  <si>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</si>
  <si>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</si>
  <si>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</si>
  <si>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</si>
  <si>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</si>
  <si>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</si>
  <si>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</si>
  <si>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</si>
  <si>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</si>
  <si>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</si>
  <si>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</si>
  <si>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</si>
  <si>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</si>
  <si>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</si>
  <si>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</si>
  <si>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</si>
  <si>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</si>
  <si>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</si>
  <si>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</si>
  <si>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</si>
  <si>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</si>
  <si>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</si>
  <si>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</si>
  <si>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</si>
  <si>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</si>
  <si>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</si>
  <si>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</si>
  <si>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</si>
  <si>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</si>
  <si>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</si>
  <si>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</si>
  <si>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</si>
  <si>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</si>
  <si>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</si>
  <si>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</si>
  <si>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</si>
  <si>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</si>
  <si>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</si>
  <si>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</si>
  <si>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</si>
  <si>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</si>
  <si>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</si>
  <si>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</si>
  <si>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</si>
  <si>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</si>
  <si>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</si>
  <si>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</si>
  <si>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</si>
  <si>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</si>
  <si>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</si>
  <si>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</si>
  <si>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</si>
  <si>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</si>
  <si>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</si>
  <si>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</si>
  <si>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</si>
  <si>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</si>
  <si>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</si>
  <si>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</si>
  <si>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</si>
  <si>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</si>
  <si>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</si>
  <si>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</si>
  <si>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</si>
  <si>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</si>
  <si>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</si>
  <si>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</si>
  <si>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</si>
  <si>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</si>
  <si>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</si>
  <si>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</si>
  <si>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</si>
  <si>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</si>
  <si>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</si>
  <si>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</si>
  <si>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</si>
  <si>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</si>
  <si>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</si>
  <si>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</si>
  <si>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</si>
  <si>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</si>
  <si>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</si>
  <si>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</si>
  <si>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</si>
  <si>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</si>
  <si>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</si>
  <si>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</si>
  <si>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</si>
  <si>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</si>
  <si>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</si>
  <si>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</si>
  <si>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</si>
  <si>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</si>
  <si>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</si>
  <si>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</si>
  <si>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</si>
  <si>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</si>
  <si>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</si>
  <si>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</si>
  <si>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</si>
  <si>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</si>
  <si>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</si>
  <si>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</si>
  <si>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</si>
  <si>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</si>
  <si>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</si>
  <si>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</si>
  <si>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</si>
  <si>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</si>
  <si>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</si>
  <si>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</si>
  <si>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</si>
  <si>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</si>
  <si>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</si>
  <si>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</si>
  <si>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</si>
  <si>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</si>
  <si>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</si>
  <si>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</si>
  <si>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</si>
  <si>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</si>
  <si>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</si>
  <si>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</si>
  <si>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</si>
  <si>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</si>
  <si>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</si>
  <si>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</si>
  <si>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</si>
  <si>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</si>
  <si>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</si>
  <si>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</si>
  <si>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</si>
  <si>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</si>
  <si>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</si>
  <si>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</si>
  <si>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</si>
  <si>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</si>
  <si>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</si>
  <si>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</si>
  <si>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</si>
  <si>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</si>
  <si>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</si>
  <si>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</si>
  <si>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</si>
  <si>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</si>
  <si>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</si>
  <si>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</si>
  <si>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</si>
  <si>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</si>
  <si>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</si>
  <si>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</si>
  <si>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</si>
  <si>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</si>
  <si>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</si>
  <si>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</si>
  <si>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</si>
  <si>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</si>
  <si>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</si>
  <si>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</si>
  <si>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</si>
  <si>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</si>
  <si>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</si>
  <si>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</si>
  <si>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</si>
  <si>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</si>
  <si>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</si>
  <si>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</si>
  <si>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</si>
  <si>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</si>
  <si>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</si>
  <si>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</si>
  <si>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</si>
  <si>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</si>
  <si>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</si>
  <si>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</si>
  <si>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</si>
  <si>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</si>
  <si>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</si>
  <si>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</si>
  <si>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</si>
  <si>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</si>
  <si>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</si>
  <si>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</si>
  <si>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</si>
  <si>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</si>
  <si>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</si>
  <si>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</si>
  <si>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</si>
  <si>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</si>
  <si>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</si>
  <si>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</si>
  <si>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</si>
  <si>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</si>
  <si>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</si>
  <si>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</si>
  <si>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</si>
  <si>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</si>
  <si>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</si>
  <si>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</si>
  <si>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</si>
  <si>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</si>
  <si>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</si>
  <si>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</si>
  <si>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</si>
  <si>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</si>
  <si>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</si>
  <si>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</si>
  <si>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</si>
  <si>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</si>
  <si>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</si>
  <si>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</si>
  <si>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</si>
  <si>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</si>
  <si>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</si>
  <si>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</si>
  <si>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</si>
  <si>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</si>
  <si>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</si>
  <si>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</si>
  <si>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</si>
  <si>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</si>
  <si>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</si>
  <si>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</si>
  <si>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</si>
  <si>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</si>
  <si>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</si>
  <si>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</si>
  <si>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</si>
  <si>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</si>
  <si>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</si>
  <si>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</si>
  <si>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</si>
  <si>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</si>
  <si>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</si>
  <si>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</si>
  <si>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</si>
  <si>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</si>
  <si>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</si>
  <si>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</si>
  <si>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</si>
  <si>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</si>
  <si>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</si>
  <si>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</si>
  <si>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</si>
  <si>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</si>
  <si>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</si>
  <si>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</si>
  <si>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</si>
  <si>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</si>
  <si>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</si>
  <si>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</si>
  <si>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</si>
  <si>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</si>
  <si>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</si>
  <si>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</si>
  <si>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</si>
  <si>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</si>
  <si>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</si>
  <si>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</si>
  <si>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</si>
  <si>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</si>
  <si>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</si>
  <si>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</si>
  <si>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</si>
  <si>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</si>
  <si>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</si>
  <si>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</si>
  <si>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</si>
  <si>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</si>
  <si>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</si>
  <si>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</si>
  <si>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</si>
  <si>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</si>
  <si>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</si>
  <si>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</si>
  <si>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</si>
  <si>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</si>
  <si>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</si>
  <si>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</si>
  <si>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</si>
  <si>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</si>
  <si>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</si>
  <si>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</si>
  <si>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</si>
  <si>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</si>
  <si>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</si>
  <si>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</si>
  <si>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</si>
  <si>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</si>
  <si>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</si>
  <si>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</si>
  <si>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</si>
  <si>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</si>
  <si>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</si>
  <si>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</si>
  <si>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</si>
  <si>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</si>
  <si>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</si>
  <si>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</si>
  <si>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</si>
  <si>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</si>
  <si>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</si>
  <si>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</si>
  <si>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</si>
  <si>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</si>
  <si>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</si>
  <si>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</si>
  <si>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</si>
  <si>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</si>
  <si>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</si>
  <si>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</si>
  <si>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</si>
  <si>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</si>
  <si>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</si>
  <si>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</si>
  <si>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</si>
  <si>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</si>
  <si>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</si>
  <si>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</si>
  <si>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</si>
  <si>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</si>
  <si>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</si>
  <si>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</si>
  <si>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</si>
  <si>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</si>
  <si>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</si>
  <si>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</si>
  <si>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</si>
  <si>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</si>
  <si>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</si>
  <si>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</si>
  <si>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</si>
  <si>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</si>
  <si>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</si>
  <si>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</si>
  <si>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</si>
  <si>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</si>
  <si>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</si>
  <si>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</si>
  <si>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</si>
  <si>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</si>
  <si>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</si>
  <si>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TURNO BASE DELLA WEEK 0</t>
  </si>
  <si>
    <t>D:\EXCEL_TURNI_VBA_SQLITE\DICEMBRE_2016_DA_ANNAMARIA\rsa.sqlite</t>
  </si>
  <si>
    <t>104</t>
  </si>
  <si>
    <t>1_2017-01-02</t>
  </si>
  <si>
    <t>2_2017-01-02</t>
  </si>
  <si>
    <t>3_2017-01-02</t>
  </si>
  <si>
    <t>4_2017-01-02</t>
  </si>
  <si>
    <t>5_2017-01-02</t>
  </si>
  <si>
    <t>6_2017-01-02</t>
  </si>
  <si>
    <t>7_2017-01-02</t>
  </si>
  <si>
    <t>8_2017-01-02</t>
  </si>
  <si>
    <t>9_2017-01-02</t>
  </si>
  <si>
    <t>10_2017-01-02</t>
  </si>
  <si>
    <t>11_2017-01-02</t>
  </si>
  <si>
    <t>12_2017-01-02</t>
  </si>
  <si>
    <t>30_2017-01-02</t>
  </si>
  <si>
    <t>13_2017-01-02</t>
  </si>
  <si>
    <t>31_2017-01-02</t>
  </si>
  <si>
    <t>14_2017-01-02</t>
  </si>
  <si>
    <t>15_2017-01-02</t>
  </si>
  <si>
    <t>16_2017-01-02</t>
  </si>
  <si>
    <t>17_2017-01-02</t>
  </si>
  <si>
    <t>18_2017-01-02</t>
  </si>
  <si>
    <t>19_2017-01-02</t>
  </si>
  <si>
    <t>20_2017-01-02</t>
  </si>
  <si>
    <t>32_2017-01-02</t>
  </si>
  <si>
    <t>21_2017-01-02</t>
  </si>
  <si>
    <t>22_2017-01-02</t>
  </si>
  <si>
    <t>23_2017-01-02</t>
  </si>
  <si>
    <t>24_2017-01-02</t>
  </si>
  <si>
    <t>25_2017-01-02</t>
  </si>
  <si>
    <t>26_2017-01-02</t>
  </si>
  <si>
    <t>27_2017-01-02</t>
  </si>
  <si>
    <t>28_2017-01-02</t>
  </si>
  <si>
    <t>29_2017-01-02</t>
  </si>
  <si>
    <t>33_2017-01-02</t>
  </si>
  <si>
    <t>34_2017-01-02</t>
  </si>
  <si>
    <t>36_2017-01-02</t>
  </si>
  <si>
    <t>35_2017-01-02</t>
  </si>
  <si>
    <t>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</si>
</sst>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  <xf numFmtId="164" fontId="0" fillId="0" borderId="0" xfId="0" applyNumberFormat="1"/>
  </cellXfs>
  <cellStyles count="1">
    <cellStyle name="Normal" xfId="0" builtinId="0"/>
  </cellStyles>
  <dxfs count="29"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numFmt numFmtId="19" formatCode="dd/mm/yy"/>
    </dxf>
    <dxf>
      <numFmt numFmtId="164" formatCode="dd/mm/yyyy"/>
    </dxf>
    <dxf>
      <numFmt numFmtId="26" formatCode="h:mm:ss"/>
    </dxf>
    <dxf>
      <numFmt numFmtId="26" formatCode="h:mm:ss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xmlns="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106</xdr:row>
          <xdr:rowOff>19050</xdr:rowOff>
        </xdr:from>
        <xdr:to>
          <xdr:col>20</xdr:col>
          <xdr:colOff>247650</xdr:colOff>
          <xdr:row>113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xmlns="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xmlns="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3030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xmlns="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xmlns="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xmlns="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xmlns="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xmlns="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xmlns="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xmlns="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xmlns="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xmlns="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52257" name="BtnGeneraTemplate" hidden="1">
              <a:extLst>
                <a:ext uri="{63B3BB69-23CF-44E3-9099-C40C66FF867C}">
                  <a14:compatExt spid="_x0000_s35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52258" name="BtnGeneraTemplate" hidden="1">
              <a:extLst>
                <a:ext uri="{63B3BB69-23CF-44E3-9099-C40C66FF867C}">
                  <a14:compatExt spid="_x0000_s35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52259" name="BtnequalizzaMattinaPomeriggio" hidden="1">
              <a:extLst>
                <a:ext uri="{63B3BB69-23CF-44E3-9099-C40C66FF867C}">
                  <a14:compatExt spid="_x0000_s35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52260" name="BtnCreaReport" hidden="1">
              <a:extLst>
                <a:ext uri="{63B3BB69-23CF-44E3-9099-C40C66FF867C}">
                  <a14:compatExt spid="_x0000_s35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9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3.xml><?xml version="1.0" encoding="utf-8"?>
<queryTable xmlns="http://schemas.openxmlformats.org/spreadsheetml/2006/main" name="ExternalData_2" connectionId="3" autoFormatId="16" applyNumberFormats="0" applyBorderFormats="0" applyFontFormats="1" applyPatternFormats="1" applyAlignmentFormats="0" applyWidthHeightFormats="0">
  <queryTableRefresh nextId="13">
    <queryTableFields count="12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0" tableType="queryTable" totalsRowShown="0">
  <autoFilter ref="A4:D40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  <filterColumn colId="4">
      <filters>
        <filter val="R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8"/>
    <tableColumn id="3" uniqueName="3" name="ORA_FINE" queryTableFieldId="3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028" tableType="queryTable" totalsRowShown="0">
  <autoFilter ref="A4:P3028">
    <filterColumn colId="1">
      <filters>
        <filter val="Guarino"/>
      </filters>
    </filterColumn>
    <filterColumn colId="7">
      <filters>
        <filter val="52"/>
      </filters>
    </filterColumn>
  </autoFilter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6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4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3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_2017_1_4" displayName="tab_2017_1_4" ref="A9:C45" tableType="queryTable" totalsRowShown="0" headerRowDxfId="1">
  <autoFilter ref="A9:C45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tab_2017_1_4turnoBase" displayName="tab_2017_1_4turnoBase" ref="J9:U45" tableType="queryTable" totalsRowShown="0" headerRowDxfId="0">
  <autoFilter ref="J9:U45"/>
  <tableColumns count="12">
    <tableColumn id="13" uniqueName="13" name="IDMATRICE" queryTableFieldId="1"/>
    <tableColumn id="14" uniqueName="14" name="PROGRESSIVO" queryTableFieldId="2"/>
    <tableColumn id="15" uniqueName="15" name="data_lun" queryTableFieldId="3" dataDxfId="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H7" sqref="H7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1684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0"/>
  <sheetViews>
    <sheetView zoomScale="80" zoomScaleNormal="80" workbookViewId="0">
      <selection activeCell="G36" sqref="G36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94</v>
      </c>
      <c r="B8" t="s">
        <v>7</v>
      </c>
      <c r="C8" t="s">
        <v>8</v>
      </c>
      <c r="D8" t="s">
        <v>92</v>
      </c>
    </row>
    <row r="9" spans="1:4" x14ac:dyDescent="0.25">
      <c r="A9" t="s">
        <v>96</v>
      </c>
      <c r="B9" t="s">
        <v>9</v>
      </c>
      <c r="C9" t="s">
        <v>10</v>
      </c>
      <c r="D9" t="s">
        <v>92</v>
      </c>
    </row>
    <row r="10" spans="1:4" x14ac:dyDescent="0.25">
      <c r="A10" t="s">
        <v>97</v>
      </c>
      <c r="B10" t="s">
        <v>11</v>
      </c>
      <c r="C10" t="s">
        <v>12</v>
      </c>
      <c r="D10" t="s">
        <v>92</v>
      </c>
    </row>
    <row r="11" spans="1:4" x14ac:dyDescent="0.25">
      <c r="A11" t="s">
        <v>120</v>
      </c>
      <c r="B11" t="s">
        <v>13</v>
      </c>
      <c r="C11" t="s">
        <v>14</v>
      </c>
      <c r="D11" t="s">
        <v>92</v>
      </c>
    </row>
    <row r="12" spans="1:4" x14ac:dyDescent="0.25">
      <c r="A12" t="s">
        <v>98</v>
      </c>
      <c r="B12" t="s">
        <v>13</v>
      </c>
      <c r="C12" t="s">
        <v>15</v>
      </c>
      <c r="D12" t="s">
        <v>92</v>
      </c>
    </row>
    <row r="13" spans="1:4" x14ac:dyDescent="0.25">
      <c r="A13" t="s">
        <v>99</v>
      </c>
      <c r="B13" t="s">
        <v>16</v>
      </c>
      <c r="C13" t="s">
        <v>17</v>
      </c>
      <c r="D13" t="s">
        <v>75</v>
      </c>
    </row>
    <row r="14" spans="1:4" x14ac:dyDescent="0.25">
      <c r="A14" t="s">
        <v>100</v>
      </c>
      <c r="B14" t="s">
        <v>18</v>
      </c>
      <c r="C14" t="s">
        <v>19</v>
      </c>
      <c r="D14" t="s">
        <v>92</v>
      </c>
    </row>
    <row r="15" spans="1:4" x14ac:dyDescent="0.25">
      <c r="A15" t="s">
        <v>1278</v>
      </c>
      <c r="B15" t="s">
        <v>1274</v>
      </c>
      <c r="C15" t="s">
        <v>131</v>
      </c>
      <c r="D15" t="s">
        <v>131</v>
      </c>
    </row>
    <row r="16" spans="1:4" x14ac:dyDescent="0.25">
      <c r="A16" t="s">
        <v>101</v>
      </c>
      <c r="B16" t="s">
        <v>20</v>
      </c>
      <c r="C16" t="s">
        <v>21</v>
      </c>
      <c r="D16" t="s">
        <v>92</v>
      </c>
    </row>
    <row r="17" spans="1:4" x14ac:dyDescent="0.25">
      <c r="A17" t="s">
        <v>102</v>
      </c>
      <c r="B17" t="s">
        <v>22</v>
      </c>
      <c r="C17" t="s">
        <v>17</v>
      </c>
      <c r="D17" t="s">
        <v>75</v>
      </c>
    </row>
    <row r="18" spans="1:4" x14ac:dyDescent="0.25">
      <c r="A18" t="s">
        <v>103</v>
      </c>
      <c r="B18" t="s">
        <v>23</v>
      </c>
      <c r="C18" t="s">
        <v>24</v>
      </c>
      <c r="D18" t="s">
        <v>92</v>
      </c>
    </row>
    <row r="19" spans="1:4" x14ac:dyDescent="0.25">
      <c r="A19" t="s">
        <v>126</v>
      </c>
      <c r="B19" t="s">
        <v>23</v>
      </c>
      <c r="C19" t="s">
        <v>55</v>
      </c>
      <c r="D19" t="s">
        <v>75</v>
      </c>
    </row>
    <row r="20" spans="1:4" x14ac:dyDescent="0.25">
      <c r="A20" t="s">
        <v>104</v>
      </c>
      <c r="B20" t="s">
        <v>25</v>
      </c>
      <c r="C20" t="s">
        <v>131</v>
      </c>
      <c r="D20" t="s">
        <v>92</v>
      </c>
    </row>
    <row r="21" spans="1:4" x14ac:dyDescent="0.25">
      <c r="A21" t="s">
        <v>1277</v>
      </c>
      <c r="B21" t="s">
        <v>1273</v>
      </c>
      <c r="C21" t="s">
        <v>131</v>
      </c>
      <c r="D21" t="s">
        <v>131</v>
      </c>
    </row>
    <row r="22" spans="1:4" x14ac:dyDescent="0.25">
      <c r="A22" t="s">
        <v>128</v>
      </c>
      <c r="B22" t="s">
        <v>56</v>
      </c>
      <c r="C22" t="s">
        <v>57</v>
      </c>
      <c r="D22" t="s">
        <v>75</v>
      </c>
    </row>
    <row r="23" spans="1:4" x14ac:dyDescent="0.25">
      <c r="A23" t="s">
        <v>105</v>
      </c>
      <c r="B23" t="s">
        <v>26</v>
      </c>
      <c r="C23" t="s">
        <v>27</v>
      </c>
      <c r="D23" t="s">
        <v>75</v>
      </c>
    </row>
    <row r="24" spans="1:4" x14ac:dyDescent="0.25">
      <c r="A24" t="s">
        <v>106</v>
      </c>
      <c r="B24" t="s">
        <v>28</v>
      </c>
      <c r="C24" t="s">
        <v>29</v>
      </c>
      <c r="D24" t="s">
        <v>92</v>
      </c>
    </row>
    <row r="25" spans="1:4" x14ac:dyDescent="0.25">
      <c r="A25" t="s">
        <v>107</v>
      </c>
      <c r="B25" t="s">
        <v>30</v>
      </c>
      <c r="C25" t="s">
        <v>8</v>
      </c>
      <c r="D25" t="s">
        <v>92</v>
      </c>
    </row>
    <row r="26" spans="1:4" x14ac:dyDescent="0.25">
      <c r="A26" t="s">
        <v>108</v>
      </c>
      <c r="B26" t="s">
        <v>30</v>
      </c>
      <c r="C26" t="s">
        <v>31</v>
      </c>
      <c r="D26" t="s">
        <v>92</v>
      </c>
    </row>
    <row r="27" spans="1:4" x14ac:dyDescent="0.25">
      <c r="A27" t="s">
        <v>109</v>
      </c>
      <c r="B27" t="s">
        <v>32</v>
      </c>
      <c r="C27" t="s">
        <v>33</v>
      </c>
      <c r="D27" t="s">
        <v>75</v>
      </c>
    </row>
    <row r="28" spans="1:4" x14ac:dyDescent="0.25">
      <c r="A28" t="s">
        <v>122</v>
      </c>
      <c r="B28" t="s">
        <v>32</v>
      </c>
      <c r="C28" t="s">
        <v>34</v>
      </c>
      <c r="D28" t="s">
        <v>92</v>
      </c>
    </row>
    <row r="29" spans="1:4" x14ac:dyDescent="0.25">
      <c r="A29" t="s">
        <v>110</v>
      </c>
      <c r="B29" t="s">
        <v>35</v>
      </c>
      <c r="C29" t="s">
        <v>36</v>
      </c>
      <c r="D29" t="s">
        <v>92</v>
      </c>
    </row>
    <row r="30" spans="1:4" x14ac:dyDescent="0.25">
      <c r="A30" t="s">
        <v>1276</v>
      </c>
      <c r="B30" t="s">
        <v>1279</v>
      </c>
      <c r="C30" t="s">
        <v>1280</v>
      </c>
      <c r="D30" t="s">
        <v>1280</v>
      </c>
    </row>
    <row r="31" spans="1:4" x14ac:dyDescent="0.25">
      <c r="A31" t="s">
        <v>129</v>
      </c>
      <c r="B31" t="s">
        <v>58</v>
      </c>
      <c r="C31" t="s">
        <v>59</v>
      </c>
      <c r="D31" t="s">
        <v>75</v>
      </c>
    </row>
    <row r="32" spans="1:4" x14ac:dyDescent="0.25">
      <c r="A32" t="s">
        <v>111</v>
      </c>
      <c r="B32" t="s">
        <v>37</v>
      </c>
      <c r="C32" t="s">
        <v>38</v>
      </c>
      <c r="D32" t="s">
        <v>75</v>
      </c>
    </row>
    <row r="33" spans="1:4" x14ac:dyDescent="0.25">
      <c r="A33" t="s">
        <v>112</v>
      </c>
      <c r="B33" t="s">
        <v>39</v>
      </c>
      <c r="C33" t="s">
        <v>40</v>
      </c>
      <c r="D33" t="s">
        <v>92</v>
      </c>
    </row>
    <row r="34" spans="1:4" x14ac:dyDescent="0.25">
      <c r="A34" t="s">
        <v>113</v>
      </c>
      <c r="B34" t="s">
        <v>41</v>
      </c>
      <c r="C34" t="s">
        <v>42</v>
      </c>
      <c r="D34" t="s">
        <v>75</v>
      </c>
    </row>
    <row r="35" spans="1:4" x14ac:dyDescent="0.25">
      <c r="A35" t="s">
        <v>114</v>
      </c>
      <c r="B35" t="s">
        <v>43</v>
      </c>
      <c r="C35" t="s">
        <v>44</v>
      </c>
      <c r="D35" t="s">
        <v>75</v>
      </c>
    </row>
    <row r="36" spans="1:4" x14ac:dyDescent="0.25">
      <c r="A36" t="s">
        <v>115</v>
      </c>
      <c r="B36" t="s">
        <v>45</v>
      </c>
      <c r="C36" t="s">
        <v>46</v>
      </c>
      <c r="D36" t="s">
        <v>92</v>
      </c>
    </row>
    <row r="37" spans="1:4" x14ac:dyDescent="0.25">
      <c r="A37" s="4" t="s">
        <v>116</v>
      </c>
      <c r="B37" s="4" t="s">
        <v>47</v>
      </c>
      <c r="C37" s="4" t="s">
        <v>48</v>
      </c>
      <c r="D37" s="4" t="s">
        <v>75</v>
      </c>
    </row>
    <row r="38" spans="1:4" x14ac:dyDescent="0.25">
      <c r="A38" s="4" t="s">
        <v>117</v>
      </c>
      <c r="B38" s="4" t="s">
        <v>49</v>
      </c>
      <c r="C38" s="4" t="s">
        <v>50</v>
      </c>
      <c r="D38" s="4" t="s">
        <v>92</v>
      </c>
    </row>
    <row r="39" spans="1:4" x14ac:dyDescent="0.25">
      <c r="A39" s="4" t="s">
        <v>118</v>
      </c>
      <c r="B39" s="4" t="s">
        <v>51</v>
      </c>
      <c r="C39" s="4" t="s">
        <v>52</v>
      </c>
      <c r="D39" s="4" t="s">
        <v>92</v>
      </c>
    </row>
    <row r="40" spans="1:4" x14ac:dyDescent="0.25">
      <c r="A40" t="s">
        <v>119</v>
      </c>
      <c r="B40" t="s">
        <v>53</v>
      </c>
      <c r="C40" t="s">
        <v>54</v>
      </c>
      <c r="D40" t="s">
        <v>92</v>
      </c>
    </row>
  </sheetData>
  <conditionalFormatting sqref="A1:A1048576">
    <cfRule type="duplicateValues" dxfId="22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workbookViewId="0">
      <selection activeCell="H4" sqref="H4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hidden="1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hidden="1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hidden="1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hidden="1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hidden="1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hidden="1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hidden="1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hidden="1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106</xdr:row>
                    <xdr:rowOff>19050</xdr:rowOff>
                  </from>
                  <to>
                    <xdr:col>20</xdr:col>
                    <xdr:colOff>247650</xdr:colOff>
                    <xdr:row>113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029"/>
  <sheetViews>
    <sheetView workbookViewId="0">
      <selection activeCell="E3056" sqref="E3056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  <c r="F2" s="1"/>
    </row>
    <row r="3" spans="1:16" x14ac:dyDescent="0.25">
      <c r="E3" s="1"/>
      <c r="F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149</v>
      </c>
      <c r="K5" t="s">
        <v>149</v>
      </c>
      <c r="L5" t="s">
        <v>149</v>
      </c>
      <c r="M5" t="s">
        <v>149</v>
      </c>
      <c r="N5" t="s">
        <v>149</v>
      </c>
      <c r="O5" t="s">
        <v>149</v>
      </c>
      <c r="P5" t="s">
        <v>149</v>
      </c>
    </row>
    <row r="6" spans="1:16" hidden="1" x14ac:dyDescent="0.25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149</v>
      </c>
      <c r="K6" t="s">
        <v>149</v>
      </c>
      <c r="L6" t="s">
        <v>149</v>
      </c>
      <c r="M6" t="s">
        <v>149</v>
      </c>
      <c r="N6" t="s">
        <v>149</v>
      </c>
      <c r="O6" t="s">
        <v>149</v>
      </c>
      <c r="P6" t="s">
        <v>149</v>
      </c>
    </row>
    <row r="7" spans="1:16" hidden="1" x14ac:dyDescent="0.25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149</v>
      </c>
      <c r="K7" t="s">
        <v>149</v>
      </c>
      <c r="L7" t="s">
        <v>149</v>
      </c>
      <c r="M7" t="s">
        <v>149</v>
      </c>
      <c r="N7" t="s">
        <v>149</v>
      </c>
      <c r="O7" t="s">
        <v>149</v>
      </c>
      <c r="P7" t="s">
        <v>149</v>
      </c>
    </row>
    <row r="8" spans="1:16" hidden="1" x14ac:dyDescent="0.25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149</v>
      </c>
      <c r="K8" t="s">
        <v>149</v>
      </c>
      <c r="L8" t="s">
        <v>149</v>
      </c>
      <c r="M8" t="s">
        <v>149</v>
      </c>
      <c r="N8" t="s">
        <v>149</v>
      </c>
      <c r="O8" t="s">
        <v>149</v>
      </c>
      <c r="P8" t="s">
        <v>149</v>
      </c>
    </row>
    <row r="9" spans="1:16" hidden="1" x14ac:dyDescent="0.25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149</v>
      </c>
      <c r="K9" t="s">
        <v>149</v>
      </c>
      <c r="L9" t="s">
        <v>149</v>
      </c>
      <c r="M9" t="s">
        <v>149</v>
      </c>
      <c r="N9" t="s">
        <v>149</v>
      </c>
      <c r="O9" t="s">
        <v>149</v>
      </c>
      <c r="P9" t="s">
        <v>149</v>
      </c>
    </row>
    <row r="10" spans="1:16" hidden="1" x14ac:dyDescent="0.25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149</v>
      </c>
      <c r="K10" t="s">
        <v>149</v>
      </c>
      <c r="L10" t="s">
        <v>149</v>
      </c>
      <c r="M10" t="s">
        <v>149</v>
      </c>
      <c r="N10" t="s">
        <v>149</v>
      </c>
      <c r="O10" t="s">
        <v>149</v>
      </c>
      <c r="P10" t="s">
        <v>149</v>
      </c>
    </row>
    <row r="11" spans="1:16" hidden="1" x14ac:dyDescent="0.25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149</v>
      </c>
      <c r="K11" t="s">
        <v>149</v>
      </c>
      <c r="L11" t="s">
        <v>149</v>
      </c>
      <c r="M11" t="s">
        <v>149</v>
      </c>
      <c r="N11" t="s">
        <v>149</v>
      </c>
      <c r="O11" t="s">
        <v>149</v>
      </c>
      <c r="P11" t="s">
        <v>149</v>
      </c>
    </row>
    <row r="12" spans="1:16" hidden="1" x14ac:dyDescent="0.25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149</v>
      </c>
      <c r="K12" t="s">
        <v>149</v>
      </c>
      <c r="L12" t="s">
        <v>149</v>
      </c>
      <c r="M12" t="s">
        <v>149</v>
      </c>
      <c r="N12" t="s">
        <v>149</v>
      </c>
      <c r="O12" t="s">
        <v>149</v>
      </c>
      <c r="P12" t="s">
        <v>149</v>
      </c>
    </row>
    <row r="13" spans="1:16" hidden="1" x14ac:dyDescent="0.25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 hidden="1" x14ac:dyDescent="0.25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 hidden="1" x14ac:dyDescent="0.25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150</v>
      </c>
      <c r="L15" t="s">
        <v>91</v>
      </c>
      <c r="M15" t="s">
        <v>95</v>
      </c>
      <c r="N15" t="s">
        <v>73</v>
      </c>
      <c r="O15" t="s">
        <v>151</v>
      </c>
      <c r="P15" t="s">
        <v>95</v>
      </c>
    </row>
    <row r="16" spans="1:16" hidden="1" x14ac:dyDescent="0.25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 hidden="1" x14ac:dyDescent="0.25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150</v>
      </c>
      <c r="K17" t="s">
        <v>151</v>
      </c>
      <c r="L17" t="s">
        <v>95</v>
      </c>
      <c r="M17" t="s">
        <v>73</v>
      </c>
      <c r="N17" t="s">
        <v>150</v>
      </c>
      <c r="O17" t="s">
        <v>92</v>
      </c>
      <c r="P17" t="s">
        <v>92</v>
      </c>
    </row>
    <row r="18" spans="2:16" hidden="1" x14ac:dyDescent="0.25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 hidden="1" x14ac:dyDescent="0.25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 hidden="1" x14ac:dyDescent="0.25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 hidden="1" x14ac:dyDescent="0.25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 hidden="1" x14ac:dyDescent="0.25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151</v>
      </c>
      <c r="M22" t="s">
        <v>73</v>
      </c>
      <c r="N22" t="s">
        <v>91</v>
      </c>
      <c r="O22" t="s">
        <v>91</v>
      </c>
      <c r="P22" t="s">
        <v>91</v>
      </c>
    </row>
    <row r="23" spans="2:16" hidden="1" x14ac:dyDescent="0.25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 hidden="1" x14ac:dyDescent="0.25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 hidden="1" x14ac:dyDescent="0.25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150</v>
      </c>
      <c r="N25" t="s">
        <v>92</v>
      </c>
      <c r="O25" t="s">
        <v>73</v>
      </c>
      <c r="P25" t="s">
        <v>92</v>
      </c>
    </row>
    <row r="26" spans="2:16" hidden="1" x14ac:dyDescent="0.25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 hidden="1" x14ac:dyDescent="0.25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 hidden="1" x14ac:dyDescent="0.25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 hidden="1" x14ac:dyDescent="0.25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 hidden="1" x14ac:dyDescent="0.25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150</v>
      </c>
      <c r="L30" t="s">
        <v>91</v>
      </c>
      <c r="M30" t="s">
        <v>95</v>
      </c>
      <c r="N30" t="s">
        <v>73</v>
      </c>
      <c r="O30" t="s">
        <v>151</v>
      </c>
      <c r="P30" t="s">
        <v>95</v>
      </c>
    </row>
    <row r="31" spans="2:16" hidden="1" x14ac:dyDescent="0.25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 hidden="1" x14ac:dyDescent="0.25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150</v>
      </c>
      <c r="O32" t="s">
        <v>95</v>
      </c>
      <c r="P32" t="s">
        <v>91</v>
      </c>
    </row>
    <row r="33" spans="2:16" hidden="1" x14ac:dyDescent="0.25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 hidden="1" x14ac:dyDescent="0.25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 hidden="1" x14ac:dyDescent="0.25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 hidden="1" x14ac:dyDescent="0.25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 hidden="1" x14ac:dyDescent="0.25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 hidden="1" x14ac:dyDescent="0.25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150</v>
      </c>
      <c r="L38" t="s">
        <v>95</v>
      </c>
      <c r="M38" t="s">
        <v>150</v>
      </c>
      <c r="N38" t="s">
        <v>95</v>
      </c>
      <c r="O38" t="s">
        <v>73</v>
      </c>
      <c r="P38" t="s">
        <v>95</v>
      </c>
    </row>
    <row r="39" spans="2:16" hidden="1" x14ac:dyDescent="0.25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150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 hidden="1" x14ac:dyDescent="0.25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 hidden="1" x14ac:dyDescent="0.25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150</v>
      </c>
      <c r="M41" t="s">
        <v>151</v>
      </c>
      <c r="N41" t="s">
        <v>150</v>
      </c>
      <c r="O41" t="s">
        <v>95</v>
      </c>
      <c r="P41" t="s">
        <v>150</v>
      </c>
    </row>
    <row r="42" spans="2:16" hidden="1" x14ac:dyDescent="0.25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150</v>
      </c>
      <c r="O42" t="s">
        <v>95</v>
      </c>
      <c r="P42" t="s">
        <v>73</v>
      </c>
    </row>
    <row r="43" spans="2:16" hidden="1" x14ac:dyDescent="0.25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150</v>
      </c>
      <c r="N43" t="s">
        <v>95</v>
      </c>
      <c r="O43" t="s">
        <v>73</v>
      </c>
      <c r="P43" t="s">
        <v>151</v>
      </c>
    </row>
    <row r="44" spans="2:16" hidden="1" x14ac:dyDescent="0.25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 hidden="1" x14ac:dyDescent="0.25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 hidden="1" x14ac:dyDescent="0.25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 hidden="1" x14ac:dyDescent="0.25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 hidden="1" x14ac:dyDescent="0.25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 hidden="1" x14ac:dyDescent="0.25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150</v>
      </c>
      <c r="P49" t="s">
        <v>95</v>
      </c>
    </row>
    <row r="50" spans="2:16" hidden="1" x14ac:dyDescent="0.25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 hidden="1" x14ac:dyDescent="0.25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150</v>
      </c>
      <c r="M51" t="s">
        <v>91</v>
      </c>
      <c r="N51" t="s">
        <v>73</v>
      </c>
      <c r="O51" t="s">
        <v>150</v>
      </c>
      <c r="P51" t="s">
        <v>95</v>
      </c>
    </row>
    <row r="52" spans="2:16" hidden="1" x14ac:dyDescent="0.25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150</v>
      </c>
      <c r="M52" t="s">
        <v>73</v>
      </c>
      <c r="N52" t="s">
        <v>95</v>
      </c>
      <c r="O52" t="s">
        <v>95</v>
      </c>
      <c r="P52" t="s">
        <v>150</v>
      </c>
    </row>
    <row r="53" spans="2:16" hidden="1" x14ac:dyDescent="0.25">
      <c r="B53" t="s">
        <v>25</v>
      </c>
      <c r="C53" t="s">
        <v>131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 hidden="1" x14ac:dyDescent="0.25">
      <c r="B54" t="s">
        <v>25</v>
      </c>
      <c r="C54" t="s">
        <v>131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 hidden="1" x14ac:dyDescent="0.25">
      <c r="B55" t="s">
        <v>25</v>
      </c>
      <c r="C55" t="s">
        <v>131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151</v>
      </c>
      <c r="N55" t="s">
        <v>95</v>
      </c>
      <c r="O55" t="s">
        <v>73</v>
      </c>
      <c r="P55" t="s">
        <v>95</v>
      </c>
    </row>
    <row r="56" spans="2:16" hidden="1" x14ac:dyDescent="0.25">
      <c r="B56" t="s">
        <v>25</v>
      </c>
      <c r="C56" t="s">
        <v>131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 hidden="1" x14ac:dyDescent="0.25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2:16" hidden="1" x14ac:dyDescent="0.25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 hidden="1" x14ac:dyDescent="0.25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 hidden="1" x14ac:dyDescent="0.25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 hidden="1" x14ac:dyDescent="0.25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150</v>
      </c>
      <c r="L61" t="s">
        <v>91</v>
      </c>
      <c r="M61" t="s">
        <v>151</v>
      </c>
      <c r="N61" t="s">
        <v>95</v>
      </c>
      <c r="O61" t="s">
        <v>73</v>
      </c>
      <c r="P61" t="s">
        <v>92</v>
      </c>
    </row>
    <row r="62" spans="2:16" hidden="1" x14ac:dyDescent="0.25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 hidden="1" x14ac:dyDescent="0.25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150</v>
      </c>
      <c r="K63" t="s">
        <v>151</v>
      </c>
      <c r="L63" t="s">
        <v>95</v>
      </c>
      <c r="M63" t="s">
        <v>73</v>
      </c>
      <c r="N63" t="s">
        <v>150</v>
      </c>
      <c r="O63" t="s">
        <v>151</v>
      </c>
      <c r="P63" t="s">
        <v>150</v>
      </c>
    </row>
    <row r="64" spans="2:16" hidden="1" x14ac:dyDescent="0.25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 hidden="1" x14ac:dyDescent="0.25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149</v>
      </c>
      <c r="K65" t="s">
        <v>149</v>
      </c>
      <c r="L65" t="s">
        <v>149</v>
      </c>
      <c r="M65" t="s">
        <v>149</v>
      </c>
      <c r="N65" t="s">
        <v>149</v>
      </c>
      <c r="O65" t="s">
        <v>149</v>
      </c>
      <c r="P65" t="s">
        <v>149</v>
      </c>
    </row>
    <row r="66" spans="2:16" hidden="1" x14ac:dyDescent="0.25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149</v>
      </c>
      <c r="K66" t="s">
        <v>149</v>
      </c>
      <c r="L66" t="s">
        <v>149</v>
      </c>
      <c r="M66" t="s">
        <v>149</v>
      </c>
      <c r="N66" t="s">
        <v>73</v>
      </c>
      <c r="O66" t="s">
        <v>91</v>
      </c>
      <c r="P66" t="s">
        <v>91</v>
      </c>
    </row>
    <row r="67" spans="2:16" hidden="1" x14ac:dyDescent="0.25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151</v>
      </c>
      <c r="M67" t="s">
        <v>73</v>
      </c>
      <c r="N67" t="s">
        <v>91</v>
      </c>
      <c r="O67" t="s">
        <v>91</v>
      </c>
      <c r="P67" t="s">
        <v>95</v>
      </c>
    </row>
    <row r="68" spans="2:16" hidden="1" x14ac:dyDescent="0.25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 hidden="1" x14ac:dyDescent="0.25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149</v>
      </c>
      <c r="K69" t="s">
        <v>150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 hidden="1" x14ac:dyDescent="0.25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150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 hidden="1" x14ac:dyDescent="0.25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 hidden="1" x14ac:dyDescent="0.25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 hidden="1" x14ac:dyDescent="0.25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150</v>
      </c>
      <c r="O73" t="s">
        <v>95</v>
      </c>
      <c r="P73" t="s">
        <v>73</v>
      </c>
    </row>
    <row r="74" spans="2:16" hidden="1" x14ac:dyDescent="0.25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 hidden="1" x14ac:dyDescent="0.25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 hidden="1" x14ac:dyDescent="0.25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151</v>
      </c>
      <c r="K76" t="s">
        <v>73</v>
      </c>
      <c r="L76" t="s">
        <v>92</v>
      </c>
      <c r="M76" t="s">
        <v>150</v>
      </c>
      <c r="N76" t="s">
        <v>95</v>
      </c>
      <c r="O76" t="s">
        <v>73</v>
      </c>
      <c r="P76" t="s">
        <v>151</v>
      </c>
    </row>
    <row r="77" spans="2:16" hidden="1" x14ac:dyDescent="0.25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 hidden="1" x14ac:dyDescent="0.25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150</v>
      </c>
      <c r="M78" t="s">
        <v>73</v>
      </c>
      <c r="N78" t="s">
        <v>92</v>
      </c>
      <c r="O78" t="s">
        <v>92</v>
      </c>
      <c r="P78" t="s">
        <v>92</v>
      </c>
    </row>
    <row r="79" spans="2:16" hidden="1" x14ac:dyDescent="0.25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 hidden="1" x14ac:dyDescent="0.25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 hidden="1" x14ac:dyDescent="0.25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 hidden="1" x14ac:dyDescent="0.25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151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 hidden="1" x14ac:dyDescent="0.25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 hidden="1" x14ac:dyDescent="0.25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150</v>
      </c>
      <c r="M84" t="s">
        <v>73</v>
      </c>
      <c r="N84" t="s">
        <v>91</v>
      </c>
      <c r="O84" t="s">
        <v>91</v>
      </c>
      <c r="P84" t="s">
        <v>91</v>
      </c>
    </row>
    <row r="85" spans="2:16" hidden="1" x14ac:dyDescent="0.25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 hidden="1" x14ac:dyDescent="0.25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150</v>
      </c>
      <c r="O86" t="s">
        <v>95</v>
      </c>
      <c r="P86" t="s">
        <v>91</v>
      </c>
    </row>
    <row r="87" spans="2:16" hidden="1" x14ac:dyDescent="0.25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150</v>
      </c>
      <c r="O87" t="s">
        <v>95</v>
      </c>
      <c r="P87" t="s">
        <v>92</v>
      </c>
    </row>
    <row r="88" spans="2:16" hidden="1" x14ac:dyDescent="0.25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 hidden="1" x14ac:dyDescent="0.25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150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 hidden="1" x14ac:dyDescent="0.25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 hidden="1" x14ac:dyDescent="0.25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 hidden="1" x14ac:dyDescent="0.25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 hidden="1" x14ac:dyDescent="0.25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 hidden="1" x14ac:dyDescent="0.25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 hidden="1" x14ac:dyDescent="0.25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 hidden="1" x14ac:dyDescent="0.25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150</v>
      </c>
      <c r="L96" t="s">
        <v>95</v>
      </c>
      <c r="M96" t="s">
        <v>150</v>
      </c>
      <c r="N96" t="s">
        <v>95</v>
      </c>
      <c r="O96" t="s">
        <v>73</v>
      </c>
      <c r="P96" t="s">
        <v>95</v>
      </c>
    </row>
    <row r="97" spans="2:16" hidden="1" x14ac:dyDescent="0.25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 hidden="1" x14ac:dyDescent="0.25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 hidden="1" x14ac:dyDescent="0.25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 hidden="1" x14ac:dyDescent="0.25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150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 hidden="1" x14ac:dyDescent="0.25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 hidden="1" x14ac:dyDescent="0.25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 hidden="1" x14ac:dyDescent="0.25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150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 hidden="1" x14ac:dyDescent="0.25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151</v>
      </c>
      <c r="M104" t="s">
        <v>73</v>
      </c>
      <c r="N104" t="s">
        <v>91</v>
      </c>
      <c r="O104" t="s">
        <v>91</v>
      </c>
      <c r="P104" t="s">
        <v>91</v>
      </c>
    </row>
    <row r="105" spans="2:16" hidden="1" x14ac:dyDescent="0.25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150</v>
      </c>
      <c r="M105" t="s">
        <v>73</v>
      </c>
      <c r="N105" t="s">
        <v>91</v>
      </c>
      <c r="O105" t="s">
        <v>91</v>
      </c>
      <c r="P105" t="s">
        <v>91</v>
      </c>
    </row>
    <row r="106" spans="2:16" hidden="1" x14ac:dyDescent="0.25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 hidden="1" x14ac:dyDescent="0.25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 hidden="1" x14ac:dyDescent="0.25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150</v>
      </c>
      <c r="L108" t="s">
        <v>95</v>
      </c>
      <c r="M108" t="s">
        <v>151</v>
      </c>
      <c r="N108" t="s">
        <v>91</v>
      </c>
      <c r="O108" t="s">
        <v>73</v>
      </c>
      <c r="P108" t="s">
        <v>95</v>
      </c>
    </row>
    <row r="109" spans="2:16" hidden="1" x14ac:dyDescent="0.25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150</v>
      </c>
      <c r="L109" t="s">
        <v>91</v>
      </c>
      <c r="M109" t="s">
        <v>95</v>
      </c>
      <c r="N109" t="s">
        <v>73</v>
      </c>
      <c r="O109" t="s">
        <v>151</v>
      </c>
      <c r="P109" t="s">
        <v>95</v>
      </c>
    </row>
    <row r="110" spans="2:16" hidden="1" x14ac:dyDescent="0.25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 hidden="1" x14ac:dyDescent="0.25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 hidden="1" x14ac:dyDescent="0.25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 hidden="1" x14ac:dyDescent="0.25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 hidden="1" x14ac:dyDescent="0.25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 hidden="1" x14ac:dyDescent="0.25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 hidden="1" x14ac:dyDescent="0.25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150</v>
      </c>
      <c r="L116" t="s">
        <v>91</v>
      </c>
      <c r="M116" t="s">
        <v>95</v>
      </c>
      <c r="N116" t="s">
        <v>73</v>
      </c>
      <c r="O116" t="s">
        <v>151</v>
      </c>
      <c r="P116" t="s">
        <v>95</v>
      </c>
    </row>
    <row r="117" spans="2:16" hidden="1" x14ac:dyDescent="0.25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149</v>
      </c>
      <c r="N117" t="s">
        <v>149</v>
      </c>
      <c r="O117" t="s">
        <v>92</v>
      </c>
      <c r="P117" t="s">
        <v>73</v>
      </c>
    </row>
    <row r="118" spans="2:16" hidden="1" x14ac:dyDescent="0.25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150</v>
      </c>
      <c r="L118" t="s">
        <v>95</v>
      </c>
      <c r="M118" t="s">
        <v>151</v>
      </c>
      <c r="N118" t="s">
        <v>95</v>
      </c>
      <c r="O118" t="s">
        <v>73</v>
      </c>
      <c r="P118" t="s">
        <v>95</v>
      </c>
    </row>
    <row r="119" spans="2:16" hidden="1" x14ac:dyDescent="0.25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 hidden="1" x14ac:dyDescent="0.25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150</v>
      </c>
      <c r="K120" t="s">
        <v>151</v>
      </c>
      <c r="L120" t="s">
        <v>95</v>
      </c>
      <c r="M120" t="s">
        <v>73</v>
      </c>
      <c r="N120" t="s">
        <v>150</v>
      </c>
      <c r="O120" t="s">
        <v>151</v>
      </c>
      <c r="P120" t="s">
        <v>150</v>
      </c>
    </row>
    <row r="121" spans="2:16" hidden="1" x14ac:dyDescent="0.25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149</v>
      </c>
      <c r="L121" t="s">
        <v>149</v>
      </c>
      <c r="M121" t="s">
        <v>149</v>
      </c>
      <c r="N121" t="s">
        <v>149</v>
      </c>
      <c r="O121" t="s">
        <v>149</v>
      </c>
      <c r="P121" t="s">
        <v>73</v>
      </c>
    </row>
    <row r="122" spans="2:16" hidden="1" x14ac:dyDescent="0.25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 hidden="1" x14ac:dyDescent="0.25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150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 hidden="1" x14ac:dyDescent="0.25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151</v>
      </c>
      <c r="M124" t="s">
        <v>73</v>
      </c>
      <c r="N124" t="s">
        <v>91</v>
      </c>
      <c r="O124" t="s">
        <v>91</v>
      </c>
      <c r="P124" t="s">
        <v>91</v>
      </c>
    </row>
    <row r="125" spans="2:16" hidden="1" x14ac:dyDescent="0.25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149</v>
      </c>
      <c r="K125" t="s">
        <v>149</v>
      </c>
      <c r="L125" t="s">
        <v>149</v>
      </c>
      <c r="M125" t="s">
        <v>149</v>
      </c>
      <c r="N125" t="s">
        <v>149</v>
      </c>
      <c r="O125" t="s">
        <v>149</v>
      </c>
      <c r="P125" t="s">
        <v>149</v>
      </c>
    </row>
    <row r="126" spans="2:16" hidden="1" x14ac:dyDescent="0.25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149</v>
      </c>
      <c r="K126" t="s">
        <v>149</v>
      </c>
      <c r="L126" t="s">
        <v>149</v>
      </c>
      <c r="M126" t="s">
        <v>149</v>
      </c>
      <c r="N126" t="s">
        <v>149</v>
      </c>
      <c r="O126" t="s">
        <v>149</v>
      </c>
      <c r="P126" t="s">
        <v>149</v>
      </c>
    </row>
    <row r="127" spans="2:16" hidden="1" x14ac:dyDescent="0.25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149</v>
      </c>
      <c r="K127" t="s">
        <v>149</v>
      </c>
      <c r="L127" t="s">
        <v>149</v>
      </c>
      <c r="M127" t="s">
        <v>149</v>
      </c>
      <c r="N127" t="s">
        <v>149</v>
      </c>
      <c r="O127" t="s">
        <v>149</v>
      </c>
      <c r="P127" t="s">
        <v>149</v>
      </c>
    </row>
    <row r="128" spans="2:16" hidden="1" x14ac:dyDescent="0.25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149</v>
      </c>
      <c r="K128" t="s">
        <v>149</v>
      </c>
      <c r="L128" t="s">
        <v>149</v>
      </c>
      <c r="M128" t="s">
        <v>149</v>
      </c>
      <c r="N128" t="s">
        <v>149</v>
      </c>
      <c r="O128" t="s">
        <v>149</v>
      </c>
      <c r="P128" t="s">
        <v>149</v>
      </c>
    </row>
    <row r="129" spans="2:16" hidden="1" x14ac:dyDescent="0.25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149</v>
      </c>
      <c r="O129" t="s">
        <v>149</v>
      </c>
      <c r="P129" t="s">
        <v>91</v>
      </c>
    </row>
    <row r="130" spans="2:16" hidden="1" x14ac:dyDescent="0.25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150</v>
      </c>
      <c r="M130" t="s">
        <v>151</v>
      </c>
      <c r="N130" t="s">
        <v>150</v>
      </c>
      <c r="O130" t="s">
        <v>95</v>
      </c>
      <c r="P130" t="s">
        <v>150</v>
      </c>
    </row>
    <row r="131" spans="2:16" hidden="1" x14ac:dyDescent="0.25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 hidden="1" x14ac:dyDescent="0.25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151</v>
      </c>
      <c r="K132" t="s">
        <v>91</v>
      </c>
      <c r="L132" t="s">
        <v>95</v>
      </c>
      <c r="M132" t="s">
        <v>150</v>
      </c>
      <c r="N132" t="s">
        <v>95</v>
      </c>
      <c r="O132" t="s">
        <v>73</v>
      </c>
      <c r="P132" t="s">
        <v>151</v>
      </c>
    </row>
    <row r="133" spans="2:16" hidden="1" x14ac:dyDescent="0.25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 hidden="1" x14ac:dyDescent="0.25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150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 hidden="1" x14ac:dyDescent="0.25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151</v>
      </c>
      <c r="M135" t="s">
        <v>73</v>
      </c>
      <c r="N135" t="s">
        <v>91</v>
      </c>
      <c r="O135" t="s">
        <v>91</v>
      </c>
      <c r="P135" t="s">
        <v>91</v>
      </c>
    </row>
    <row r="136" spans="2:16" hidden="1" x14ac:dyDescent="0.25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 hidden="1" x14ac:dyDescent="0.25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 hidden="1" x14ac:dyDescent="0.25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150</v>
      </c>
      <c r="L138" t="s">
        <v>95</v>
      </c>
      <c r="M138" t="s">
        <v>150</v>
      </c>
      <c r="N138" t="s">
        <v>95</v>
      </c>
      <c r="O138" t="s">
        <v>73</v>
      </c>
      <c r="P138" t="s">
        <v>95</v>
      </c>
    </row>
    <row r="139" spans="2:16" hidden="1" x14ac:dyDescent="0.25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150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 hidden="1" x14ac:dyDescent="0.25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 hidden="1" x14ac:dyDescent="0.25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 hidden="1" x14ac:dyDescent="0.25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150</v>
      </c>
      <c r="L142" t="s">
        <v>149</v>
      </c>
      <c r="M142" t="s">
        <v>149</v>
      </c>
      <c r="N142" t="s">
        <v>149</v>
      </c>
      <c r="O142" t="s">
        <v>73</v>
      </c>
      <c r="P142" t="s">
        <v>95</v>
      </c>
    </row>
    <row r="143" spans="2:16" hidden="1" x14ac:dyDescent="0.25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 hidden="1" x14ac:dyDescent="0.25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150</v>
      </c>
      <c r="K144" t="s">
        <v>151</v>
      </c>
      <c r="L144" t="s">
        <v>95</v>
      </c>
      <c r="M144" t="s">
        <v>73</v>
      </c>
      <c r="N144" t="s">
        <v>150</v>
      </c>
      <c r="O144" t="s">
        <v>151</v>
      </c>
      <c r="P144" t="s">
        <v>150</v>
      </c>
    </row>
    <row r="145" spans="2:16" hidden="1" x14ac:dyDescent="0.25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150</v>
      </c>
      <c r="M145" t="s">
        <v>151</v>
      </c>
      <c r="N145" t="s">
        <v>150</v>
      </c>
      <c r="O145" t="s">
        <v>95</v>
      </c>
      <c r="P145" t="s">
        <v>150</v>
      </c>
    </row>
    <row r="146" spans="2:16" hidden="1" x14ac:dyDescent="0.25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 hidden="1" x14ac:dyDescent="0.25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151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151</v>
      </c>
    </row>
    <row r="148" spans="2:16" hidden="1" x14ac:dyDescent="0.25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 hidden="1" x14ac:dyDescent="0.25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150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 hidden="1" x14ac:dyDescent="0.25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151</v>
      </c>
      <c r="M150" t="s">
        <v>73</v>
      </c>
      <c r="N150" t="s">
        <v>91</v>
      </c>
      <c r="O150" t="s">
        <v>91</v>
      </c>
      <c r="P150" t="s">
        <v>91</v>
      </c>
    </row>
    <row r="151" spans="2:16" hidden="1" x14ac:dyDescent="0.25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 hidden="1" x14ac:dyDescent="0.25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 hidden="1" x14ac:dyDescent="0.25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 hidden="1" x14ac:dyDescent="0.25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 hidden="1" x14ac:dyDescent="0.25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 hidden="1" x14ac:dyDescent="0.25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150</v>
      </c>
      <c r="L156" t="s">
        <v>91</v>
      </c>
      <c r="M156" t="s">
        <v>95</v>
      </c>
      <c r="N156" t="s">
        <v>73</v>
      </c>
      <c r="O156" t="s">
        <v>151</v>
      </c>
      <c r="P156" t="s">
        <v>95</v>
      </c>
    </row>
    <row r="157" spans="2:16" hidden="1" x14ac:dyDescent="0.25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 hidden="1" x14ac:dyDescent="0.25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 hidden="1" x14ac:dyDescent="0.25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 hidden="1" x14ac:dyDescent="0.25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150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 hidden="1" x14ac:dyDescent="0.25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150</v>
      </c>
      <c r="L161" t="s">
        <v>91</v>
      </c>
      <c r="M161" t="s">
        <v>95</v>
      </c>
      <c r="N161" t="s">
        <v>73</v>
      </c>
      <c r="O161" t="s">
        <v>151</v>
      </c>
      <c r="P161" t="s">
        <v>95</v>
      </c>
    </row>
    <row r="162" spans="2:16" hidden="1" x14ac:dyDescent="0.25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 hidden="1" x14ac:dyDescent="0.25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150</v>
      </c>
      <c r="O163" t="s">
        <v>95</v>
      </c>
      <c r="P163" t="s">
        <v>91</v>
      </c>
    </row>
    <row r="164" spans="2:16" hidden="1" x14ac:dyDescent="0.25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150</v>
      </c>
      <c r="M164" t="s">
        <v>151</v>
      </c>
      <c r="N164" t="s">
        <v>150</v>
      </c>
      <c r="O164" t="s">
        <v>95</v>
      </c>
      <c r="P164" t="s">
        <v>150</v>
      </c>
    </row>
    <row r="165" spans="2:16" hidden="1" x14ac:dyDescent="0.25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149</v>
      </c>
      <c r="L165" t="s">
        <v>73</v>
      </c>
      <c r="M165" t="s">
        <v>149</v>
      </c>
      <c r="N165" t="s">
        <v>149</v>
      </c>
      <c r="O165" t="s">
        <v>149</v>
      </c>
      <c r="P165" t="s">
        <v>149</v>
      </c>
    </row>
    <row r="166" spans="2:16" hidden="1" x14ac:dyDescent="0.25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149</v>
      </c>
      <c r="K166" t="s">
        <v>73</v>
      </c>
      <c r="L166" t="s">
        <v>150</v>
      </c>
      <c r="M166" t="s">
        <v>150</v>
      </c>
      <c r="N166" t="s">
        <v>151</v>
      </c>
      <c r="O166" t="s">
        <v>95</v>
      </c>
      <c r="P166" t="s">
        <v>150</v>
      </c>
    </row>
    <row r="167" spans="2:16" hidden="1" x14ac:dyDescent="0.25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 hidden="1" x14ac:dyDescent="0.25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 hidden="1" x14ac:dyDescent="0.25">
      <c r="B169" t="s">
        <v>25</v>
      </c>
      <c r="C169" t="s">
        <v>131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150</v>
      </c>
      <c r="K169" t="s">
        <v>151</v>
      </c>
      <c r="L169" t="s">
        <v>95</v>
      </c>
      <c r="M169" t="s">
        <v>73</v>
      </c>
      <c r="N169" t="s">
        <v>150</v>
      </c>
      <c r="O169" t="s">
        <v>151</v>
      </c>
      <c r="P169" t="s">
        <v>150</v>
      </c>
    </row>
    <row r="170" spans="2:16" hidden="1" x14ac:dyDescent="0.25">
      <c r="B170" t="s">
        <v>25</v>
      </c>
      <c r="C170" t="s">
        <v>131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25</v>
      </c>
      <c r="C171" t="s">
        <v>131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 hidden="1" x14ac:dyDescent="0.25">
      <c r="B172" t="s">
        <v>25</v>
      </c>
      <c r="C172" t="s">
        <v>131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 hidden="1" x14ac:dyDescent="0.25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150</v>
      </c>
      <c r="L173" t="s">
        <v>95</v>
      </c>
      <c r="M173" t="s">
        <v>150</v>
      </c>
      <c r="N173" t="s">
        <v>95</v>
      </c>
      <c r="O173" t="s">
        <v>73</v>
      </c>
      <c r="P173" t="s">
        <v>95</v>
      </c>
    </row>
    <row r="174" spans="2:16" hidden="1" x14ac:dyDescent="0.25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150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 hidden="1" x14ac:dyDescent="0.25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 hidden="1" x14ac:dyDescent="0.25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 hidden="1" x14ac:dyDescent="0.25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 hidden="1" x14ac:dyDescent="0.25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 hidden="1" x14ac:dyDescent="0.25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150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 hidden="1" x14ac:dyDescent="0.25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 hidden="1" x14ac:dyDescent="0.25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 hidden="1" x14ac:dyDescent="0.25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150</v>
      </c>
      <c r="L183" t="s">
        <v>91</v>
      </c>
      <c r="M183" t="s">
        <v>150</v>
      </c>
      <c r="N183" t="s">
        <v>95</v>
      </c>
      <c r="O183" t="s">
        <v>73</v>
      </c>
      <c r="P183" t="s">
        <v>95</v>
      </c>
    </row>
    <row r="184" spans="2:16" hidden="1" x14ac:dyDescent="0.25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150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 hidden="1" x14ac:dyDescent="0.25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 hidden="1" x14ac:dyDescent="0.25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 hidden="1" x14ac:dyDescent="0.25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150</v>
      </c>
      <c r="L187" t="s">
        <v>91</v>
      </c>
      <c r="M187" t="s">
        <v>95</v>
      </c>
      <c r="N187" t="s">
        <v>73</v>
      </c>
      <c r="O187" t="s">
        <v>151</v>
      </c>
      <c r="P187" t="s">
        <v>95</v>
      </c>
    </row>
    <row r="188" spans="2:16" hidden="1" x14ac:dyDescent="0.25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 hidden="1" x14ac:dyDescent="0.25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150</v>
      </c>
      <c r="M190" t="s">
        <v>73</v>
      </c>
      <c r="N190" t="s">
        <v>91</v>
      </c>
      <c r="O190" t="s">
        <v>91</v>
      </c>
      <c r="P190" t="s">
        <v>91</v>
      </c>
    </row>
    <row r="191" spans="2:16" hidden="1" x14ac:dyDescent="0.25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 hidden="1" x14ac:dyDescent="0.25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 hidden="1" x14ac:dyDescent="0.25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150</v>
      </c>
      <c r="L193" t="s">
        <v>95</v>
      </c>
      <c r="M193" t="s">
        <v>151</v>
      </c>
      <c r="N193" t="s">
        <v>91</v>
      </c>
      <c r="O193" t="s">
        <v>73</v>
      </c>
      <c r="P193" t="s">
        <v>95</v>
      </c>
    </row>
    <row r="194" spans="2:16" hidden="1" x14ac:dyDescent="0.25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 hidden="1" x14ac:dyDescent="0.25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150</v>
      </c>
      <c r="K195" t="s">
        <v>150</v>
      </c>
      <c r="L195" t="s">
        <v>95</v>
      </c>
      <c r="M195" t="s">
        <v>73</v>
      </c>
      <c r="N195" t="s">
        <v>150</v>
      </c>
      <c r="O195" t="s">
        <v>151</v>
      </c>
      <c r="P195" t="s">
        <v>150</v>
      </c>
    </row>
    <row r="196" spans="2:16" hidden="1" x14ac:dyDescent="0.25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 hidden="1" x14ac:dyDescent="0.25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 hidden="1" x14ac:dyDescent="0.25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 hidden="1" x14ac:dyDescent="0.25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150</v>
      </c>
      <c r="L199" t="s">
        <v>95</v>
      </c>
      <c r="M199" t="s">
        <v>151</v>
      </c>
      <c r="N199" t="s">
        <v>91</v>
      </c>
      <c r="O199" t="s">
        <v>73</v>
      </c>
      <c r="P199" t="s">
        <v>95</v>
      </c>
    </row>
    <row r="200" spans="2:16" hidden="1" x14ac:dyDescent="0.25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 hidden="1" x14ac:dyDescent="0.25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151</v>
      </c>
      <c r="K201" t="s">
        <v>91</v>
      </c>
      <c r="L201" t="s">
        <v>95</v>
      </c>
      <c r="M201" t="s">
        <v>150</v>
      </c>
      <c r="N201" t="s">
        <v>95</v>
      </c>
      <c r="O201" t="s">
        <v>73</v>
      </c>
      <c r="P201" t="s">
        <v>151</v>
      </c>
    </row>
    <row r="202" spans="2:16" hidden="1" x14ac:dyDescent="0.25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 hidden="1" x14ac:dyDescent="0.25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150</v>
      </c>
      <c r="M203" t="s">
        <v>73</v>
      </c>
      <c r="N203" t="s">
        <v>91</v>
      </c>
      <c r="O203" t="s">
        <v>91</v>
      </c>
      <c r="P203" t="s">
        <v>91</v>
      </c>
    </row>
    <row r="204" spans="2:16" hidden="1" x14ac:dyDescent="0.25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 hidden="1" x14ac:dyDescent="0.25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 hidden="1" x14ac:dyDescent="0.25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150</v>
      </c>
      <c r="L206" t="s">
        <v>95</v>
      </c>
      <c r="M206" t="s">
        <v>95</v>
      </c>
      <c r="N206" t="s">
        <v>73</v>
      </c>
      <c r="O206" t="s">
        <v>151</v>
      </c>
      <c r="P206" t="s">
        <v>95</v>
      </c>
    </row>
    <row r="207" spans="2:16" hidden="1" x14ac:dyDescent="0.25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 hidden="1" x14ac:dyDescent="0.25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150</v>
      </c>
      <c r="O208" t="s">
        <v>95</v>
      </c>
      <c r="P208" t="s">
        <v>91</v>
      </c>
    </row>
    <row r="209" spans="2:16" hidden="1" x14ac:dyDescent="0.25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150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 hidden="1" x14ac:dyDescent="0.25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 hidden="1" x14ac:dyDescent="0.25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 hidden="1" x14ac:dyDescent="0.25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 hidden="1" x14ac:dyDescent="0.25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151</v>
      </c>
      <c r="M213" t="s">
        <v>73</v>
      </c>
      <c r="N213" t="s">
        <v>91</v>
      </c>
      <c r="O213" t="s">
        <v>91</v>
      </c>
      <c r="P213" t="s">
        <v>91</v>
      </c>
    </row>
    <row r="214" spans="2:16" hidden="1" x14ac:dyDescent="0.25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 hidden="1" x14ac:dyDescent="0.25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 hidden="1" x14ac:dyDescent="0.25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 hidden="1" x14ac:dyDescent="0.25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149</v>
      </c>
      <c r="N217" t="s">
        <v>149</v>
      </c>
      <c r="O217" t="s">
        <v>149</v>
      </c>
      <c r="P217" t="s">
        <v>76</v>
      </c>
    </row>
    <row r="218" spans="2:16" hidden="1" x14ac:dyDescent="0.25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 hidden="1" x14ac:dyDescent="0.25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 hidden="1" x14ac:dyDescent="0.25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150</v>
      </c>
      <c r="L220" t="s">
        <v>91</v>
      </c>
      <c r="M220" t="s">
        <v>150</v>
      </c>
      <c r="N220" t="s">
        <v>95</v>
      </c>
      <c r="O220" t="s">
        <v>73</v>
      </c>
      <c r="P220" t="s">
        <v>95</v>
      </c>
    </row>
    <row r="221" spans="2:16" hidden="1" x14ac:dyDescent="0.25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 hidden="1" x14ac:dyDescent="0.25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150</v>
      </c>
      <c r="K222" t="s">
        <v>151</v>
      </c>
      <c r="L222" t="s">
        <v>95</v>
      </c>
      <c r="M222" t="s">
        <v>73</v>
      </c>
      <c r="N222" t="s">
        <v>150</v>
      </c>
      <c r="O222" t="s">
        <v>151</v>
      </c>
      <c r="P222" t="s">
        <v>150</v>
      </c>
    </row>
    <row r="223" spans="2:16" hidden="1" x14ac:dyDescent="0.25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 hidden="1" x14ac:dyDescent="0.25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 hidden="1" x14ac:dyDescent="0.25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 hidden="1" x14ac:dyDescent="0.25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151</v>
      </c>
      <c r="K226" t="s">
        <v>91</v>
      </c>
      <c r="L226" t="s">
        <v>95</v>
      </c>
      <c r="M226" t="s">
        <v>150</v>
      </c>
      <c r="N226" t="s">
        <v>95</v>
      </c>
      <c r="O226" t="s">
        <v>73</v>
      </c>
      <c r="P226" t="s">
        <v>151</v>
      </c>
    </row>
    <row r="227" spans="2:16" hidden="1" x14ac:dyDescent="0.25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 hidden="1" x14ac:dyDescent="0.25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150</v>
      </c>
      <c r="M228" t="s">
        <v>73</v>
      </c>
      <c r="N228" t="s">
        <v>91</v>
      </c>
      <c r="O228" t="s">
        <v>91</v>
      </c>
      <c r="P228" t="s">
        <v>91</v>
      </c>
    </row>
    <row r="229" spans="2:16" hidden="1" x14ac:dyDescent="0.25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 hidden="1" x14ac:dyDescent="0.25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150</v>
      </c>
      <c r="O230" t="s">
        <v>95</v>
      </c>
      <c r="P230" t="s">
        <v>91</v>
      </c>
    </row>
    <row r="231" spans="2:16" hidden="1" x14ac:dyDescent="0.25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150</v>
      </c>
      <c r="M231" t="s">
        <v>151</v>
      </c>
      <c r="N231" t="s">
        <v>150</v>
      </c>
      <c r="O231" t="s">
        <v>95</v>
      </c>
      <c r="P231" t="s">
        <v>150</v>
      </c>
    </row>
    <row r="232" spans="2:16" hidden="1" x14ac:dyDescent="0.25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 hidden="1" x14ac:dyDescent="0.25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149</v>
      </c>
      <c r="N233" t="s">
        <v>149</v>
      </c>
      <c r="O233" t="s">
        <v>75</v>
      </c>
      <c r="P233" t="s">
        <v>76</v>
      </c>
    </row>
    <row r="234" spans="2:16" hidden="1" x14ac:dyDescent="0.25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 hidden="1" x14ac:dyDescent="0.25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 hidden="1" x14ac:dyDescent="0.25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 hidden="1" x14ac:dyDescent="0.25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 hidden="1" x14ac:dyDescent="0.25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149</v>
      </c>
      <c r="K238" t="s">
        <v>149</v>
      </c>
      <c r="L238" t="s">
        <v>149</v>
      </c>
      <c r="M238" t="s">
        <v>149</v>
      </c>
      <c r="N238" t="s">
        <v>149</v>
      </c>
      <c r="O238" t="s">
        <v>149</v>
      </c>
      <c r="P238" t="s">
        <v>149</v>
      </c>
    </row>
    <row r="239" spans="2:16" hidden="1" x14ac:dyDescent="0.25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1685</v>
      </c>
      <c r="K239" t="s">
        <v>75</v>
      </c>
      <c r="L239" t="s">
        <v>76</v>
      </c>
      <c r="M239" t="s">
        <v>1685</v>
      </c>
      <c r="N239" t="s">
        <v>1685</v>
      </c>
      <c r="O239" t="s">
        <v>1685</v>
      </c>
      <c r="P239" t="s">
        <v>1685</v>
      </c>
    </row>
    <row r="240" spans="2:16" hidden="1" x14ac:dyDescent="0.25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 hidden="1" x14ac:dyDescent="0.25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 hidden="1" x14ac:dyDescent="0.25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151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 hidden="1" x14ac:dyDescent="0.25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 hidden="1" x14ac:dyDescent="0.25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 hidden="1" x14ac:dyDescent="0.25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150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 hidden="1" x14ac:dyDescent="0.25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 hidden="1" x14ac:dyDescent="0.25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 hidden="1" x14ac:dyDescent="0.25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 hidden="1" x14ac:dyDescent="0.25">
      <c r="B249" t="s">
        <v>25</v>
      </c>
      <c r="C249" t="s">
        <v>131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 hidden="1" x14ac:dyDescent="0.25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 hidden="1" x14ac:dyDescent="0.25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 hidden="1" x14ac:dyDescent="0.25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151</v>
      </c>
      <c r="K252" t="s">
        <v>91</v>
      </c>
      <c r="L252" t="s">
        <v>91</v>
      </c>
      <c r="M252" t="s">
        <v>151</v>
      </c>
      <c r="N252" t="s">
        <v>151</v>
      </c>
      <c r="O252" t="s">
        <v>151</v>
      </c>
      <c r="P252" t="s">
        <v>151</v>
      </c>
    </row>
    <row r="253" spans="2:16" hidden="1" x14ac:dyDescent="0.25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 hidden="1" x14ac:dyDescent="0.25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 hidden="1" x14ac:dyDescent="0.25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149</v>
      </c>
      <c r="K255" t="s">
        <v>149</v>
      </c>
      <c r="L255" t="s">
        <v>149</v>
      </c>
      <c r="M255" t="s">
        <v>149</v>
      </c>
      <c r="N255" t="s">
        <v>149</v>
      </c>
      <c r="O255" t="s">
        <v>149</v>
      </c>
      <c r="P255" t="s">
        <v>149</v>
      </c>
    </row>
    <row r="256" spans="2:16" hidden="1" x14ac:dyDescent="0.25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 hidden="1" x14ac:dyDescent="0.25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 hidden="1" x14ac:dyDescent="0.25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 hidden="1" x14ac:dyDescent="0.25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151</v>
      </c>
      <c r="M259" t="s">
        <v>95</v>
      </c>
      <c r="N259" t="s">
        <v>95</v>
      </c>
      <c r="O259" t="s">
        <v>95</v>
      </c>
      <c r="P259" t="s">
        <v>95</v>
      </c>
    </row>
    <row r="260" spans="2:16" hidden="1" x14ac:dyDescent="0.25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 hidden="1" x14ac:dyDescent="0.25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 hidden="1" x14ac:dyDescent="0.25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 hidden="1" x14ac:dyDescent="0.25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150</v>
      </c>
      <c r="K263" t="s">
        <v>95</v>
      </c>
      <c r="L263" t="s">
        <v>91</v>
      </c>
      <c r="M263" t="s">
        <v>150</v>
      </c>
      <c r="N263" t="s">
        <v>150</v>
      </c>
      <c r="O263" t="s">
        <v>150</v>
      </c>
      <c r="P263" t="s">
        <v>150</v>
      </c>
    </row>
    <row r="264" spans="2:16" hidden="1" x14ac:dyDescent="0.25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 hidden="1" x14ac:dyDescent="0.25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 hidden="1" x14ac:dyDescent="0.25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 hidden="1" x14ac:dyDescent="0.25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 hidden="1" x14ac:dyDescent="0.25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 hidden="1" x14ac:dyDescent="0.25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 hidden="1" x14ac:dyDescent="0.25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2:16" hidden="1" x14ac:dyDescent="0.25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127</v>
      </c>
      <c r="K271" t="s">
        <v>127</v>
      </c>
      <c r="L271" t="s">
        <v>127</v>
      </c>
      <c r="M271" t="s">
        <v>127</v>
      </c>
      <c r="N271" t="s">
        <v>127</v>
      </c>
      <c r="O271" t="s">
        <v>127</v>
      </c>
      <c r="P271" t="s">
        <v>127</v>
      </c>
    </row>
    <row r="272" spans="2:16" hidden="1" x14ac:dyDescent="0.25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127</v>
      </c>
      <c r="K273" t="s">
        <v>127</v>
      </c>
      <c r="L273" t="s">
        <v>127</v>
      </c>
      <c r="M273" t="s">
        <v>127</v>
      </c>
      <c r="N273" t="s">
        <v>127</v>
      </c>
      <c r="O273" t="s">
        <v>127</v>
      </c>
      <c r="P273" t="s">
        <v>127</v>
      </c>
    </row>
    <row r="274" spans="2:16" hidden="1" x14ac:dyDescent="0.25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 hidden="1" x14ac:dyDescent="0.25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1685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 hidden="1" x14ac:dyDescent="0.25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1685</v>
      </c>
      <c r="O276" t="s">
        <v>95</v>
      </c>
      <c r="P276" t="s">
        <v>92</v>
      </c>
    </row>
    <row r="277" spans="2:16" hidden="1" x14ac:dyDescent="0.25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1685</v>
      </c>
      <c r="N277" t="s">
        <v>75</v>
      </c>
      <c r="O277" t="s">
        <v>75</v>
      </c>
      <c r="P277" t="s">
        <v>73</v>
      </c>
    </row>
    <row r="278" spans="2:16" hidden="1" x14ac:dyDescent="0.25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 hidden="1" x14ac:dyDescent="0.25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 hidden="1" x14ac:dyDescent="0.25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 hidden="1" x14ac:dyDescent="0.25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 hidden="1" x14ac:dyDescent="0.25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 hidden="1" x14ac:dyDescent="0.25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 hidden="1" x14ac:dyDescent="0.25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 hidden="1" x14ac:dyDescent="0.25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 hidden="1" x14ac:dyDescent="0.25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1685</v>
      </c>
      <c r="M286" t="s">
        <v>91</v>
      </c>
      <c r="N286" t="s">
        <v>95</v>
      </c>
      <c r="O286" t="s">
        <v>91</v>
      </c>
      <c r="P286" t="s">
        <v>95</v>
      </c>
    </row>
    <row r="287" spans="2:16" hidden="1" x14ac:dyDescent="0.25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1685</v>
      </c>
      <c r="N287" t="s">
        <v>74</v>
      </c>
      <c r="O287" t="s">
        <v>75</v>
      </c>
      <c r="P287" t="s">
        <v>73</v>
      </c>
    </row>
    <row r="288" spans="2:16" hidden="1" x14ac:dyDescent="0.25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1685</v>
      </c>
      <c r="M288" t="s">
        <v>91</v>
      </c>
      <c r="N288" t="s">
        <v>95</v>
      </c>
      <c r="O288" t="s">
        <v>73</v>
      </c>
      <c r="P288" t="s">
        <v>95</v>
      </c>
    </row>
    <row r="289" spans="2:16" hidden="1" x14ac:dyDescent="0.25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 hidden="1" x14ac:dyDescent="0.25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 hidden="1" x14ac:dyDescent="0.25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 hidden="1" x14ac:dyDescent="0.25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 hidden="1" x14ac:dyDescent="0.25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 hidden="1" x14ac:dyDescent="0.25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 hidden="1" x14ac:dyDescent="0.25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 hidden="1" x14ac:dyDescent="0.25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 hidden="1" x14ac:dyDescent="0.25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 hidden="1" x14ac:dyDescent="0.25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 hidden="1" x14ac:dyDescent="0.25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 hidden="1" x14ac:dyDescent="0.25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 hidden="1" x14ac:dyDescent="0.25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 hidden="1" x14ac:dyDescent="0.25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 hidden="1" x14ac:dyDescent="0.25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 hidden="1" x14ac:dyDescent="0.25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 hidden="1" x14ac:dyDescent="0.25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 hidden="1" x14ac:dyDescent="0.25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 hidden="1" x14ac:dyDescent="0.25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 hidden="1" x14ac:dyDescent="0.25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 hidden="1" x14ac:dyDescent="0.25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 hidden="1" x14ac:dyDescent="0.25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 hidden="1" x14ac:dyDescent="0.25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 hidden="1" x14ac:dyDescent="0.25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 hidden="1" x14ac:dyDescent="0.25">
      <c r="B314" t="s">
        <v>25</v>
      </c>
      <c r="C314" t="s">
        <v>131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 hidden="1" x14ac:dyDescent="0.25">
      <c r="B315" t="s">
        <v>25</v>
      </c>
      <c r="C315" t="s">
        <v>131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 hidden="1" x14ac:dyDescent="0.25">
      <c r="B316" t="s">
        <v>25</v>
      </c>
      <c r="C316" t="s">
        <v>131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 hidden="1" x14ac:dyDescent="0.25">
      <c r="B317" t="s">
        <v>25</v>
      </c>
      <c r="C317" t="s">
        <v>131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 hidden="1" x14ac:dyDescent="0.25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 hidden="1" x14ac:dyDescent="0.25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 hidden="1" x14ac:dyDescent="0.25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 hidden="1" x14ac:dyDescent="0.25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 hidden="1" x14ac:dyDescent="0.25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 hidden="1" x14ac:dyDescent="0.25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 hidden="1" x14ac:dyDescent="0.25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 hidden="1" x14ac:dyDescent="0.25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 hidden="1" x14ac:dyDescent="0.25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 hidden="1" x14ac:dyDescent="0.25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 hidden="1" x14ac:dyDescent="0.25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 hidden="1" x14ac:dyDescent="0.25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 hidden="1" x14ac:dyDescent="0.25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 hidden="1" x14ac:dyDescent="0.25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 hidden="1" x14ac:dyDescent="0.25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 hidden="1" x14ac:dyDescent="0.25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 hidden="1" x14ac:dyDescent="0.25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 hidden="1" x14ac:dyDescent="0.25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 hidden="1" x14ac:dyDescent="0.25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 hidden="1" x14ac:dyDescent="0.25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127</v>
      </c>
      <c r="K338" t="s">
        <v>127</v>
      </c>
      <c r="L338" t="s">
        <v>127</v>
      </c>
      <c r="M338" t="s">
        <v>127</v>
      </c>
      <c r="N338" t="s">
        <v>127</v>
      </c>
      <c r="O338" t="s">
        <v>127</v>
      </c>
      <c r="P338" t="s">
        <v>127</v>
      </c>
    </row>
    <row r="339" spans="2:16" hidden="1" x14ac:dyDescent="0.25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127</v>
      </c>
      <c r="K339" t="s">
        <v>127</v>
      </c>
      <c r="L339" t="s">
        <v>127</v>
      </c>
      <c r="M339" t="s">
        <v>127</v>
      </c>
      <c r="N339" t="s">
        <v>127</v>
      </c>
      <c r="O339" t="s">
        <v>127</v>
      </c>
      <c r="P339" t="s">
        <v>127</v>
      </c>
    </row>
    <row r="340" spans="2:16" hidden="1" x14ac:dyDescent="0.25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127</v>
      </c>
      <c r="K340" t="s">
        <v>127</v>
      </c>
      <c r="L340" t="s">
        <v>127</v>
      </c>
      <c r="M340" t="s">
        <v>127</v>
      </c>
      <c r="N340" t="s">
        <v>127</v>
      </c>
      <c r="O340" t="s">
        <v>127</v>
      </c>
      <c r="P340" t="s">
        <v>127</v>
      </c>
    </row>
    <row r="341" spans="2:16" hidden="1" x14ac:dyDescent="0.25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127</v>
      </c>
      <c r="K341" t="s">
        <v>127</v>
      </c>
      <c r="L341" t="s">
        <v>127</v>
      </c>
      <c r="M341" t="s">
        <v>127</v>
      </c>
      <c r="N341" t="s">
        <v>127</v>
      </c>
      <c r="O341" t="s">
        <v>127</v>
      </c>
      <c r="P341" t="s">
        <v>127</v>
      </c>
    </row>
    <row r="342" spans="2:16" hidden="1" x14ac:dyDescent="0.25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 hidden="1" x14ac:dyDescent="0.25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 hidden="1" x14ac:dyDescent="0.25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 hidden="1" x14ac:dyDescent="0.25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 hidden="1" x14ac:dyDescent="0.25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 hidden="1" x14ac:dyDescent="0.25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 hidden="1" x14ac:dyDescent="0.25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 hidden="1" x14ac:dyDescent="0.25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 hidden="1" x14ac:dyDescent="0.25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 hidden="1" x14ac:dyDescent="0.25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 hidden="1" x14ac:dyDescent="0.25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 hidden="1" x14ac:dyDescent="0.25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 hidden="1" x14ac:dyDescent="0.25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 hidden="1" x14ac:dyDescent="0.25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 hidden="1" x14ac:dyDescent="0.25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 hidden="1" x14ac:dyDescent="0.25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 hidden="1" x14ac:dyDescent="0.25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 hidden="1" x14ac:dyDescent="0.25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 hidden="1" x14ac:dyDescent="0.25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 hidden="1" x14ac:dyDescent="0.25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127</v>
      </c>
    </row>
    <row r="363" spans="2:16" hidden="1" x14ac:dyDescent="0.25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127</v>
      </c>
      <c r="K363" t="s">
        <v>127</v>
      </c>
      <c r="L363" t="s">
        <v>127</v>
      </c>
      <c r="M363" t="s">
        <v>75</v>
      </c>
      <c r="N363" t="s">
        <v>73</v>
      </c>
      <c r="O363" t="s">
        <v>74</v>
      </c>
      <c r="P363" t="s">
        <v>75</v>
      </c>
    </row>
    <row r="364" spans="2:16" hidden="1" x14ac:dyDescent="0.25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 hidden="1" x14ac:dyDescent="0.25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 hidden="1" x14ac:dyDescent="0.25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 hidden="1" x14ac:dyDescent="0.25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 hidden="1" x14ac:dyDescent="0.25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 hidden="1" x14ac:dyDescent="0.25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 hidden="1" x14ac:dyDescent="0.25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 hidden="1" x14ac:dyDescent="0.25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 hidden="1" x14ac:dyDescent="0.25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 hidden="1" x14ac:dyDescent="0.25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 hidden="1" x14ac:dyDescent="0.25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 hidden="1" x14ac:dyDescent="0.25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 hidden="1" x14ac:dyDescent="0.25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 hidden="1" x14ac:dyDescent="0.25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 hidden="1" x14ac:dyDescent="0.25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 hidden="1" x14ac:dyDescent="0.25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 hidden="1" x14ac:dyDescent="0.25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 hidden="1" x14ac:dyDescent="0.25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 hidden="1" x14ac:dyDescent="0.25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 hidden="1" x14ac:dyDescent="0.25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 hidden="1" x14ac:dyDescent="0.25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 hidden="1" x14ac:dyDescent="0.25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 hidden="1" x14ac:dyDescent="0.25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 hidden="1" x14ac:dyDescent="0.25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 hidden="1" x14ac:dyDescent="0.25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 hidden="1" x14ac:dyDescent="0.25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 hidden="1" x14ac:dyDescent="0.25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1685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 hidden="1" x14ac:dyDescent="0.25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1685</v>
      </c>
      <c r="O391" t="s">
        <v>95</v>
      </c>
      <c r="P391" t="s">
        <v>95</v>
      </c>
    </row>
    <row r="392" spans="2:16" hidden="1" x14ac:dyDescent="0.25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 hidden="1" x14ac:dyDescent="0.25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1685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 hidden="1" x14ac:dyDescent="0.25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 hidden="1" x14ac:dyDescent="0.25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 hidden="1" x14ac:dyDescent="0.25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 hidden="1" x14ac:dyDescent="0.25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 hidden="1" x14ac:dyDescent="0.25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 hidden="1" x14ac:dyDescent="0.25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 hidden="1" x14ac:dyDescent="0.25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 hidden="1" x14ac:dyDescent="0.25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 hidden="1" x14ac:dyDescent="0.25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 hidden="1" x14ac:dyDescent="0.25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 hidden="1" x14ac:dyDescent="0.25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 hidden="1" x14ac:dyDescent="0.25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 hidden="1" x14ac:dyDescent="0.25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 hidden="1" x14ac:dyDescent="0.25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 hidden="1" x14ac:dyDescent="0.25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 hidden="1" x14ac:dyDescent="0.25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 hidden="1" x14ac:dyDescent="0.25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 hidden="1" x14ac:dyDescent="0.25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 hidden="1" x14ac:dyDescent="0.25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 hidden="1" x14ac:dyDescent="0.25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 hidden="1" x14ac:dyDescent="0.25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 hidden="1" x14ac:dyDescent="0.25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 hidden="1" x14ac:dyDescent="0.25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 hidden="1" x14ac:dyDescent="0.25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 hidden="1" x14ac:dyDescent="0.25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 hidden="1" x14ac:dyDescent="0.25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 hidden="1" x14ac:dyDescent="0.25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 hidden="1" x14ac:dyDescent="0.25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 hidden="1" x14ac:dyDescent="0.25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 hidden="1" x14ac:dyDescent="0.25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 hidden="1" x14ac:dyDescent="0.25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 hidden="1" x14ac:dyDescent="0.25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 hidden="1" x14ac:dyDescent="0.25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 hidden="1" x14ac:dyDescent="0.25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 hidden="1" x14ac:dyDescent="0.25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 hidden="1" x14ac:dyDescent="0.25">
      <c r="B430" t="s">
        <v>25</v>
      </c>
      <c r="C430" t="s">
        <v>131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 hidden="1" x14ac:dyDescent="0.25">
      <c r="B431" t="s">
        <v>25</v>
      </c>
      <c r="C431" t="s">
        <v>131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 hidden="1" x14ac:dyDescent="0.25">
      <c r="B432" t="s">
        <v>25</v>
      </c>
      <c r="C432" t="s">
        <v>131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 hidden="1" x14ac:dyDescent="0.25">
      <c r="B433" t="s">
        <v>25</v>
      </c>
      <c r="C433" t="s">
        <v>131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 hidden="1" x14ac:dyDescent="0.25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 hidden="1" x14ac:dyDescent="0.25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 hidden="1" x14ac:dyDescent="0.25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 hidden="1" x14ac:dyDescent="0.25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 hidden="1" x14ac:dyDescent="0.25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 hidden="1" x14ac:dyDescent="0.25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 hidden="1" x14ac:dyDescent="0.25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 hidden="1" x14ac:dyDescent="0.25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 hidden="1" x14ac:dyDescent="0.25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 hidden="1" x14ac:dyDescent="0.25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 hidden="1" x14ac:dyDescent="0.25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 hidden="1" x14ac:dyDescent="0.25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 hidden="1" x14ac:dyDescent="0.25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 hidden="1" x14ac:dyDescent="0.25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 hidden="1" x14ac:dyDescent="0.25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 hidden="1" x14ac:dyDescent="0.25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 hidden="1" x14ac:dyDescent="0.25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 hidden="1" x14ac:dyDescent="0.25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 hidden="1" x14ac:dyDescent="0.25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 hidden="1" x14ac:dyDescent="0.25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 hidden="1" x14ac:dyDescent="0.25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 hidden="1" x14ac:dyDescent="0.25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 hidden="1" x14ac:dyDescent="0.25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 hidden="1" x14ac:dyDescent="0.25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 hidden="1" x14ac:dyDescent="0.25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 hidden="1" x14ac:dyDescent="0.25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 hidden="1" x14ac:dyDescent="0.25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 hidden="1" x14ac:dyDescent="0.25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 hidden="1" x14ac:dyDescent="0.25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 hidden="1" x14ac:dyDescent="0.25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 hidden="1" x14ac:dyDescent="0.25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 hidden="1" x14ac:dyDescent="0.25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 hidden="1" x14ac:dyDescent="0.25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 hidden="1" x14ac:dyDescent="0.25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 hidden="1" x14ac:dyDescent="0.25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 hidden="1" x14ac:dyDescent="0.25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 hidden="1" x14ac:dyDescent="0.25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 hidden="1" x14ac:dyDescent="0.25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 hidden="1" x14ac:dyDescent="0.25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 hidden="1" x14ac:dyDescent="0.25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 hidden="1" x14ac:dyDescent="0.25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 hidden="1" x14ac:dyDescent="0.25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 hidden="1" x14ac:dyDescent="0.25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 hidden="1" x14ac:dyDescent="0.25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 hidden="1" x14ac:dyDescent="0.25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 hidden="1" x14ac:dyDescent="0.25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 hidden="1" x14ac:dyDescent="0.25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 hidden="1" x14ac:dyDescent="0.25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 hidden="1" x14ac:dyDescent="0.25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 hidden="1" x14ac:dyDescent="0.25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 hidden="1" x14ac:dyDescent="0.25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 hidden="1" x14ac:dyDescent="0.25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 hidden="1" x14ac:dyDescent="0.25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 hidden="1" x14ac:dyDescent="0.25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 hidden="1" x14ac:dyDescent="0.25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 hidden="1" x14ac:dyDescent="0.25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 hidden="1" x14ac:dyDescent="0.25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 hidden="1" x14ac:dyDescent="0.25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 hidden="1" x14ac:dyDescent="0.25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 hidden="1" x14ac:dyDescent="0.25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 hidden="1" x14ac:dyDescent="0.25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 hidden="1" x14ac:dyDescent="0.25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 hidden="1" x14ac:dyDescent="0.25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 hidden="1" x14ac:dyDescent="0.25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 hidden="1" x14ac:dyDescent="0.25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 hidden="1" x14ac:dyDescent="0.25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 hidden="1" x14ac:dyDescent="0.25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 hidden="1" x14ac:dyDescent="0.25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 hidden="1" x14ac:dyDescent="0.25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 hidden="1" x14ac:dyDescent="0.25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 hidden="1" x14ac:dyDescent="0.25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 hidden="1" x14ac:dyDescent="0.25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 hidden="1" x14ac:dyDescent="0.25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 hidden="1" x14ac:dyDescent="0.25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 hidden="1" x14ac:dyDescent="0.25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 hidden="1" x14ac:dyDescent="0.25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 hidden="1" x14ac:dyDescent="0.25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 hidden="1" x14ac:dyDescent="0.25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 hidden="1" x14ac:dyDescent="0.25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 hidden="1" x14ac:dyDescent="0.25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 hidden="1" x14ac:dyDescent="0.25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 hidden="1" x14ac:dyDescent="0.25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 hidden="1" x14ac:dyDescent="0.25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 hidden="1" x14ac:dyDescent="0.25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 hidden="1" x14ac:dyDescent="0.25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 hidden="1" x14ac:dyDescent="0.25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 hidden="1" x14ac:dyDescent="0.25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 hidden="1" x14ac:dyDescent="0.25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 hidden="1" x14ac:dyDescent="0.25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 hidden="1" x14ac:dyDescent="0.25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 hidden="1" x14ac:dyDescent="0.25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 hidden="1" x14ac:dyDescent="0.25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 hidden="1" x14ac:dyDescent="0.25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 hidden="1" x14ac:dyDescent="0.25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 hidden="1" x14ac:dyDescent="0.25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 hidden="1" x14ac:dyDescent="0.25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 hidden="1" x14ac:dyDescent="0.25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 hidden="1" x14ac:dyDescent="0.25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 hidden="1" x14ac:dyDescent="0.25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 hidden="1" x14ac:dyDescent="0.25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 hidden="1" x14ac:dyDescent="0.25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 hidden="1" x14ac:dyDescent="0.25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 hidden="1" x14ac:dyDescent="0.25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 hidden="1" x14ac:dyDescent="0.25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 hidden="1" x14ac:dyDescent="0.25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 hidden="1" x14ac:dyDescent="0.25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 hidden="1" x14ac:dyDescent="0.25">
      <c r="B542" t="s">
        <v>25</v>
      </c>
      <c r="C542" t="s">
        <v>131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 hidden="1" x14ac:dyDescent="0.25">
      <c r="B543" t="s">
        <v>25</v>
      </c>
      <c r="C543" t="s">
        <v>131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 hidden="1" x14ac:dyDescent="0.25">
      <c r="B544" t="s">
        <v>25</v>
      </c>
      <c r="C544" t="s">
        <v>131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 hidden="1" x14ac:dyDescent="0.25">
      <c r="B545" t="s">
        <v>25</v>
      </c>
      <c r="C545" t="s">
        <v>131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 hidden="1" x14ac:dyDescent="0.25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 hidden="1" x14ac:dyDescent="0.25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 hidden="1" x14ac:dyDescent="0.25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 hidden="1" x14ac:dyDescent="0.25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 hidden="1" x14ac:dyDescent="0.25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 hidden="1" x14ac:dyDescent="0.25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 hidden="1" x14ac:dyDescent="0.25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 hidden="1" x14ac:dyDescent="0.25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 hidden="1" x14ac:dyDescent="0.25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 hidden="1" x14ac:dyDescent="0.25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 hidden="1" x14ac:dyDescent="0.25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 hidden="1" x14ac:dyDescent="0.25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 hidden="1" x14ac:dyDescent="0.25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 hidden="1" x14ac:dyDescent="0.25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 hidden="1" x14ac:dyDescent="0.25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 hidden="1" x14ac:dyDescent="0.25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 hidden="1" x14ac:dyDescent="0.25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 hidden="1" x14ac:dyDescent="0.25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 hidden="1" x14ac:dyDescent="0.25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 hidden="1" x14ac:dyDescent="0.25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 hidden="1" x14ac:dyDescent="0.25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 hidden="1" x14ac:dyDescent="0.25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 hidden="1" x14ac:dyDescent="0.25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 hidden="1" x14ac:dyDescent="0.25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 hidden="1" x14ac:dyDescent="0.25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 hidden="1" x14ac:dyDescent="0.25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 hidden="1" x14ac:dyDescent="0.25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 hidden="1" x14ac:dyDescent="0.25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 hidden="1" x14ac:dyDescent="0.25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 hidden="1" x14ac:dyDescent="0.25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 hidden="1" x14ac:dyDescent="0.25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 hidden="1" x14ac:dyDescent="0.25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 hidden="1" x14ac:dyDescent="0.25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 hidden="1" x14ac:dyDescent="0.25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 hidden="1" x14ac:dyDescent="0.25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 hidden="1" x14ac:dyDescent="0.25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 hidden="1" x14ac:dyDescent="0.25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 hidden="1" x14ac:dyDescent="0.25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 hidden="1" x14ac:dyDescent="0.25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 hidden="1" x14ac:dyDescent="0.25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 hidden="1" x14ac:dyDescent="0.25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 hidden="1" x14ac:dyDescent="0.25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 hidden="1" x14ac:dyDescent="0.25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 hidden="1" x14ac:dyDescent="0.25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 hidden="1" x14ac:dyDescent="0.25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 hidden="1" x14ac:dyDescent="0.25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 hidden="1" x14ac:dyDescent="0.25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 hidden="1" x14ac:dyDescent="0.25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 hidden="1" x14ac:dyDescent="0.25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 hidden="1" x14ac:dyDescent="0.25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 hidden="1" x14ac:dyDescent="0.25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 hidden="1" x14ac:dyDescent="0.25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 hidden="1" x14ac:dyDescent="0.25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 hidden="1" x14ac:dyDescent="0.25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 hidden="1" x14ac:dyDescent="0.25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 hidden="1" x14ac:dyDescent="0.25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 hidden="1" x14ac:dyDescent="0.25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 hidden="1" x14ac:dyDescent="0.25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 hidden="1" x14ac:dyDescent="0.25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 hidden="1" x14ac:dyDescent="0.25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 hidden="1" x14ac:dyDescent="0.25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 hidden="1" x14ac:dyDescent="0.25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 hidden="1" x14ac:dyDescent="0.25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 hidden="1" x14ac:dyDescent="0.25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 hidden="1" x14ac:dyDescent="0.25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 hidden="1" x14ac:dyDescent="0.25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 hidden="1" x14ac:dyDescent="0.25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 hidden="1" x14ac:dyDescent="0.25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 hidden="1" x14ac:dyDescent="0.25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 hidden="1" x14ac:dyDescent="0.25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 hidden="1" x14ac:dyDescent="0.25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 hidden="1" x14ac:dyDescent="0.25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 hidden="1" x14ac:dyDescent="0.25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 hidden="1" x14ac:dyDescent="0.25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 hidden="1" x14ac:dyDescent="0.25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 hidden="1" x14ac:dyDescent="0.25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 hidden="1" x14ac:dyDescent="0.25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 hidden="1" x14ac:dyDescent="0.25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 hidden="1" x14ac:dyDescent="0.25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 hidden="1" x14ac:dyDescent="0.25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 hidden="1" x14ac:dyDescent="0.25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 hidden="1" x14ac:dyDescent="0.25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 hidden="1" x14ac:dyDescent="0.25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 hidden="1" x14ac:dyDescent="0.25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 hidden="1" x14ac:dyDescent="0.25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 hidden="1" x14ac:dyDescent="0.25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 hidden="1" x14ac:dyDescent="0.25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 hidden="1" x14ac:dyDescent="0.25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 hidden="1" x14ac:dyDescent="0.25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 hidden="1" x14ac:dyDescent="0.25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 hidden="1" x14ac:dyDescent="0.25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 hidden="1" x14ac:dyDescent="0.25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 hidden="1" x14ac:dyDescent="0.25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 hidden="1" x14ac:dyDescent="0.25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 hidden="1" x14ac:dyDescent="0.25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 hidden="1" x14ac:dyDescent="0.25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 hidden="1" x14ac:dyDescent="0.25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 hidden="1" x14ac:dyDescent="0.25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 hidden="1" x14ac:dyDescent="0.25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 hidden="1" x14ac:dyDescent="0.25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 hidden="1" x14ac:dyDescent="0.25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 hidden="1" x14ac:dyDescent="0.25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 hidden="1" x14ac:dyDescent="0.25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 hidden="1" x14ac:dyDescent="0.25">
      <c r="B654" t="s">
        <v>25</v>
      </c>
      <c r="C654" t="s">
        <v>131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 hidden="1" x14ac:dyDescent="0.25">
      <c r="B655" t="s">
        <v>25</v>
      </c>
      <c r="C655" t="s">
        <v>131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 hidden="1" x14ac:dyDescent="0.25">
      <c r="B656" t="s">
        <v>25</v>
      </c>
      <c r="C656" t="s">
        <v>131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 hidden="1" x14ac:dyDescent="0.25">
      <c r="B657" t="s">
        <v>25</v>
      </c>
      <c r="C657" t="s">
        <v>131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 hidden="1" x14ac:dyDescent="0.25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 hidden="1" x14ac:dyDescent="0.25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 hidden="1" x14ac:dyDescent="0.25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 hidden="1" x14ac:dyDescent="0.25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 hidden="1" x14ac:dyDescent="0.25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 hidden="1" x14ac:dyDescent="0.25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 hidden="1" x14ac:dyDescent="0.25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 hidden="1" x14ac:dyDescent="0.25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 hidden="1" x14ac:dyDescent="0.25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 hidden="1" x14ac:dyDescent="0.25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 hidden="1" x14ac:dyDescent="0.25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 hidden="1" x14ac:dyDescent="0.25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 hidden="1" x14ac:dyDescent="0.25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 hidden="1" x14ac:dyDescent="0.25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 hidden="1" x14ac:dyDescent="0.25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 hidden="1" x14ac:dyDescent="0.25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 hidden="1" x14ac:dyDescent="0.25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 hidden="1" x14ac:dyDescent="0.25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 hidden="1" x14ac:dyDescent="0.25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 hidden="1" x14ac:dyDescent="0.25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 hidden="1" x14ac:dyDescent="0.25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 hidden="1" x14ac:dyDescent="0.25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 hidden="1" x14ac:dyDescent="0.25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 hidden="1" x14ac:dyDescent="0.25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 hidden="1" x14ac:dyDescent="0.25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 hidden="1" x14ac:dyDescent="0.25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 hidden="1" x14ac:dyDescent="0.25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 hidden="1" x14ac:dyDescent="0.25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 hidden="1" x14ac:dyDescent="0.25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 hidden="1" x14ac:dyDescent="0.25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 hidden="1" x14ac:dyDescent="0.25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 hidden="1" x14ac:dyDescent="0.25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 hidden="1" x14ac:dyDescent="0.25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 hidden="1" x14ac:dyDescent="0.25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 hidden="1" x14ac:dyDescent="0.25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 hidden="1" x14ac:dyDescent="0.25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 hidden="1" x14ac:dyDescent="0.25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 hidden="1" x14ac:dyDescent="0.25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 hidden="1" x14ac:dyDescent="0.25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 hidden="1" x14ac:dyDescent="0.25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 hidden="1" x14ac:dyDescent="0.25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 hidden="1" x14ac:dyDescent="0.25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 hidden="1" x14ac:dyDescent="0.25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 hidden="1" x14ac:dyDescent="0.25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 hidden="1" x14ac:dyDescent="0.25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 hidden="1" x14ac:dyDescent="0.25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 hidden="1" x14ac:dyDescent="0.25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 hidden="1" x14ac:dyDescent="0.25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 hidden="1" x14ac:dyDescent="0.25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 hidden="1" x14ac:dyDescent="0.25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 hidden="1" x14ac:dyDescent="0.25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 hidden="1" x14ac:dyDescent="0.25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 hidden="1" x14ac:dyDescent="0.25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 hidden="1" x14ac:dyDescent="0.25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 hidden="1" x14ac:dyDescent="0.25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 hidden="1" x14ac:dyDescent="0.25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 hidden="1" x14ac:dyDescent="0.25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 hidden="1" x14ac:dyDescent="0.25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 hidden="1" x14ac:dyDescent="0.25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 hidden="1" x14ac:dyDescent="0.25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 hidden="1" x14ac:dyDescent="0.25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 hidden="1" x14ac:dyDescent="0.25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 hidden="1" x14ac:dyDescent="0.25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 hidden="1" x14ac:dyDescent="0.25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 hidden="1" x14ac:dyDescent="0.25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 hidden="1" x14ac:dyDescent="0.25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 hidden="1" x14ac:dyDescent="0.25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 hidden="1" x14ac:dyDescent="0.25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 hidden="1" x14ac:dyDescent="0.25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1685</v>
      </c>
      <c r="O729" t="s">
        <v>73</v>
      </c>
      <c r="P729" t="s">
        <v>75</v>
      </c>
    </row>
    <row r="730" spans="2:16" hidden="1" x14ac:dyDescent="0.25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1685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 hidden="1" x14ac:dyDescent="0.25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 hidden="1" x14ac:dyDescent="0.25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1685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 hidden="1" x14ac:dyDescent="0.25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 hidden="1" x14ac:dyDescent="0.25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 hidden="1" x14ac:dyDescent="0.25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 hidden="1" x14ac:dyDescent="0.25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 hidden="1" x14ac:dyDescent="0.25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152</v>
      </c>
      <c r="M737" t="s">
        <v>152</v>
      </c>
      <c r="N737" t="s">
        <v>152</v>
      </c>
      <c r="O737" t="s">
        <v>152</v>
      </c>
      <c r="P737" t="s">
        <v>73</v>
      </c>
    </row>
    <row r="738" spans="2:16" hidden="1" x14ac:dyDescent="0.25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 hidden="1" x14ac:dyDescent="0.25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 hidden="1" x14ac:dyDescent="0.25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 hidden="1" x14ac:dyDescent="0.25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 hidden="1" x14ac:dyDescent="0.25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 hidden="1" x14ac:dyDescent="0.25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 hidden="1" x14ac:dyDescent="0.25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 hidden="1" x14ac:dyDescent="0.25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 hidden="1" x14ac:dyDescent="0.25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 hidden="1" x14ac:dyDescent="0.25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 hidden="1" x14ac:dyDescent="0.25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 hidden="1" x14ac:dyDescent="0.25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 hidden="1" x14ac:dyDescent="0.25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 hidden="1" x14ac:dyDescent="0.25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 hidden="1" x14ac:dyDescent="0.25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 hidden="1" x14ac:dyDescent="0.25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 hidden="1" x14ac:dyDescent="0.25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 hidden="1" x14ac:dyDescent="0.25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 hidden="1" x14ac:dyDescent="0.25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 hidden="1" x14ac:dyDescent="0.25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 hidden="1" x14ac:dyDescent="0.25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 hidden="1" x14ac:dyDescent="0.25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 hidden="1" x14ac:dyDescent="0.25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 hidden="1" x14ac:dyDescent="0.25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 hidden="1" x14ac:dyDescent="0.25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 hidden="1" x14ac:dyDescent="0.25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 hidden="1" x14ac:dyDescent="0.25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 hidden="1" x14ac:dyDescent="0.25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 hidden="1" x14ac:dyDescent="0.25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 hidden="1" x14ac:dyDescent="0.25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 hidden="1" x14ac:dyDescent="0.25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 hidden="1" x14ac:dyDescent="0.25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 hidden="1" x14ac:dyDescent="0.25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 hidden="1" x14ac:dyDescent="0.25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 hidden="1" x14ac:dyDescent="0.25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 hidden="1" x14ac:dyDescent="0.25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 hidden="1" x14ac:dyDescent="0.25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 hidden="1" x14ac:dyDescent="0.25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 hidden="1" x14ac:dyDescent="0.25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 hidden="1" x14ac:dyDescent="0.25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152</v>
      </c>
      <c r="L777" t="s">
        <v>152</v>
      </c>
      <c r="M777" t="s">
        <v>152</v>
      </c>
      <c r="N777" t="s">
        <v>73</v>
      </c>
      <c r="O777" t="s">
        <v>152</v>
      </c>
      <c r="P777" t="s">
        <v>152</v>
      </c>
    </row>
    <row r="778" spans="2:16" hidden="1" x14ac:dyDescent="0.25">
      <c r="B778" t="s">
        <v>25</v>
      </c>
      <c r="C778" t="s">
        <v>131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 hidden="1" x14ac:dyDescent="0.25">
      <c r="B779" t="s">
        <v>25</v>
      </c>
      <c r="C779" t="s">
        <v>131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 hidden="1" x14ac:dyDescent="0.25">
      <c r="B780" t="s">
        <v>25</v>
      </c>
      <c r="C780" t="s">
        <v>131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 hidden="1" x14ac:dyDescent="0.25">
      <c r="B781" t="s">
        <v>25</v>
      </c>
      <c r="C781" t="s">
        <v>131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 hidden="1" x14ac:dyDescent="0.25">
      <c r="B782" t="s">
        <v>25</v>
      </c>
      <c r="C782" t="s">
        <v>131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 hidden="1" x14ac:dyDescent="0.25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 hidden="1" x14ac:dyDescent="0.25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 hidden="1" x14ac:dyDescent="0.25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 hidden="1" x14ac:dyDescent="0.25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 hidden="1" x14ac:dyDescent="0.25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 hidden="1" x14ac:dyDescent="0.25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 hidden="1" x14ac:dyDescent="0.25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 hidden="1" x14ac:dyDescent="0.25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 hidden="1" x14ac:dyDescent="0.25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 hidden="1" x14ac:dyDescent="0.25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 hidden="1" x14ac:dyDescent="0.25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 hidden="1" x14ac:dyDescent="0.25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 hidden="1" x14ac:dyDescent="0.25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 hidden="1" x14ac:dyDescent="0.25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 hidden="1" x14ac:dyDescent="0.25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 hidden="1" x14ac:dyDescent="0.25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 hidden="1" x14ac:dyDescent="0.25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 hidden="1" x14ac:dyDescent="0.25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 hidden="1" x14ac:dyDescent="0.25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 hidden="1" x14ac:dyDescent="0.25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 hidden="1" x14ac:dyDescent="0.25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 hidden="1" x14ac:dyDescent="0.25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 hidden="1" x14ac:dyDescent="0.25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 hidden="1" x14ac:dyDescent="0.25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 hidden="1" x14ac:dyDescent="0.25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 hidden="1" x14ac:dyDescent="0.25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 hidden="1" x14ac:dyDescent="0.25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 hidden="1" x14ac:dyDescent="0.25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 hidden="1" x14ac:dyDescent="0.25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 hidden="1" x14ac:dyDescent="0.25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 hidden="1" x14ac:dyDescent="0.25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 hidden="1" x14ac:dyDescent="0.25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 hidden="1" x14ac:dyDescent="0.25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 hidden="1" x14ac:dyDescent="0.25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 hidden="1" x14ac:dyDescent="0.25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 hidden="1" x14ac:dyDescent="0.25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 hidden="1" x14ac:dyDescent="0.25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 hidden="1" x14ac:dyDescent="0.25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 hidden="1" x14ac:dyDescent="0.25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 hidden="1" x14ac:dyDescent="0.25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 hidden="1" x14ac:dyDescent="0.25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 hidden="1" x14ac:dyDescent="0.25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 hidden="1" x14ac:dyDescent="0.25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 hidden="1" x14ac:dyDescent="0.25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 hidden="1" x14ac:dyDescent="0.25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 hidden="1" x14ac:dyDescent="0.25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 hidden="1" x14ac:dyDescent="0.25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 hidden="1" x14ac:dyDescent="0.25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 hidden="1" x14ac:dyDescent="0.25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 hidden="1" x14ac:dyDescent="0.25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 hidden="1" x14ac:dyDescent="0.25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 hidden="1" x14ac:dyDescent="0.25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 hidden="1" x14ac:dyDescent="0.25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 hidden="1" x14ac:dyDescent="0.25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 hidden="1" x14ac:dyDescent="0.25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 hidden="1" x14ac:dyDescent="0.25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 hidden="1" x14ac:dyDescent="0.25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 hidden="1" x14ac:dyDescent="0.25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 hidden="1" x14ac:dyDescent="0.25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 hidden="1" x14ac:dyDescent="0.25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 hidden="1" x14ac:dyDescent="0.25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 hidden="1" x14ac:dyDescent="0.25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 hidden="1" x14ac:dyDescent="0.25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 hidden="1" x14ac:dyDescent="0.25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 hidden="1" x14ac:dyDescent="0.25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 hidden="1" x14ac:dyDescent="0.25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 hidden="1" x14ac:dyDescent="0.25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 hidden="1" x14ac:dyDescent="0.25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 hidden="1" x14ac:dyDescent="0.25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 hidden="1" x14ac:dyDescent="0.25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 hidden="1" x14ac:dyDescent="0.25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 hidden="1" x14ac:dyDescent="0.25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 hidden="1" x14ac:dyDescent="0.25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 hidden="1" x14ac:dyDescent="0.25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 hidden="1" x14ac:dyDescent="0.25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 hidden="1" x14ac:dyDescent="0.25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 hidden="1" x14ac:dyDescent="0.25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 hidden="1" x14ac:dyDescent="0.25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1685</v>
      </c>
      <c r="L866" t="s">
        <v>75</v>
      </c>
      <c r="M866" t="s">
        <v>75</v>
      </c>
      <c r="N866" t="s">
        <v>1685</v>
      </c>
      <c r="O866" t="s">
        <v>73</v>
      </c>
      <c r="P866" t="s">
        <v>74</v>
      </c>
    </row>
    <row r="867" spans="2:16" hidden="1" x14ac:dyDescent="0.25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1685</v>
      </c>
      <c r="N867" t="s">
        <v>75</v>
      </c>
      <c r="O867" t="s">
        <v>73</v>
      </c>
      <c r="P867" t="s">
        <v>75</v>
      </c>
    </row>
    <row r="868" spans="2:16" hidden="1" x14ac:dyDescent="0.25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 hidden="1" x14ac:dyDescent="0.25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 hidden="1" x14ac:dyDescent="0.25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127</v>
      </c>
      <c r="K870" t="s">
        <v>127</v>
      </c>
      <c r="L870" t="s">
        <v>127</v>
      </c>
      <c r="M870" t="s">
        <v>127</v>
      </c>
      <c r="N870" t="s">
        <v>127</v>
      </c>
      <c r="O870" t="s">
        <v>73</v>
      </c>
      <c r="P870" t="s">
        <v>127</v>
      </c>
    </row>
    <row r="871" spans="2:16" hidden="1" x14ac:dyDescent="0.25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127</v>
      </c>
      <c r="K871" t="s">
        <v>127</v>
      </c>
      <c r="L871" t="s">
        <v>127</v>
      </c>
      <c r="M871" t="s">
        <v>75</v>
      </c>
      <c r="N871" t="s">
        <v>73</v>
      </c>
      <c r="O871" t="s">
        <v>74</v>
      </c>
      <c r="P871" t="s">
        <v>74</v>
      </c>
    </row>
    <row r="872" spans="2:16" hidden="1" x14ac:dyDescent="0.25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 hidden="1" x14ac:dyDescent="0.25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 hidden="1" x14ac:dyDescent="0.25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 hidden="1" x14ac:dyDescent="0.25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 hidden="1" x14ac:dyDescent="0.25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 hidden="1" x14ac:dyDescent="0.25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 hidden="1" x14ac:dyDescent="0.25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 hidden="1" x14ac:dyDescent="0.25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 hidden="1" x14ac:dyDescent="0.25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 hidden="1" x14ac:dyDescent="0.25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 hidden="1" x14ac:dyDescent="0.25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 hidden="1" x14ac:dyDescent="0.25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 hidden="1" x14ac:dyDescent="0.25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 hidden="1" x14ac:dyDescent="0.25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 hidden="1" x14ac:dyDescent="0.25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 hidden="1" x14ac:dyDescent="0.25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 hidden="1" x14ac:dyDescent="0.25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 hidden="1" x14ac:dyDescent="0.25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 hidden="1" x14ac:dyDescent="0.25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 hidden="1" x14ac:dyDescent="0.25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 hidden="1" x14ac:dyDescent="0.25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 hidden="1" x14ac:dyDescent="0.25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 hidden="1" x14ac:dyDescent="0.25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 hidden="1" x14ac:dyDescent="0.25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 hidden="1" x14ac:dyDescent="0.25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 hidden="1" x14ac:dyDescent="0.25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 hidden="1" x14ac:dyDescent="0.25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 hidden="1" x14ac:dyDescent="0.25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 hidden="1" x14ac:dyDescent="0.25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 hidden="1" x14ac:dyDescent="0.25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 hidden="1" x14ac:dyDescent="0.25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127</v>
      </c>
      <c r="K902" t="s">
        <v>127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 hidden="1" x14ac:dyDescent="0.25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 hidden="1" x14ac:dyDescent="0.25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 hidden="1" x14ac:dyDescent="0.25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25</v>
      </c>
      <c r="C906" t="s">
        <v>131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 hidden="1" x14ac:dyDescent="0.25">
      <c r="B907" t="s">
        <v>25</v>
      </c>
      <c r="C907" t="s">
        <v>131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 hidden="1" x14ac:dyDescent="0.25">
      <c r="B908" t="s">
        <v>25</v>
      </c>
      <c r="C908" t="s">
        <v>131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 hidden="1" x14ac:dyDescent="0.25">
      <c r="B909" t="s">
        <v>25</v>
      </c>
      <c r="C909" t="s">
        <v>131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 hidden="1" x14ac:dyDescent="0.25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 hidden="1" x14ac:dyDescent="0.25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 hidden="1" x14ac:dyDescent="0.25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 hidden="1" x14ac:dyDescent="0.25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 hidden="1" x14ac:dyDescent="0.25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 hidden="1" x14ac:dyDescent="0.25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 hidden="1" x14ac:dyDescent="0.25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 hidden="1" x14ac:dyDescent="0.25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 hidden="1" x14ac:dyDescent="0.25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 hidden="1" x14ac:dyDescent="0.25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 hidden="1" x14ac:dyDescent="0.25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 hidden="1" x14ac:dyDescent="0.25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 hidden="1" x14ac:dyDescent="0.25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 hidden="1" x14ac:dyDescent="0.25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 hidden="1" x14ac:dyDescent="0.25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 hidden="1" x14ac:dyDescent="0.25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 hidden="1" x14ac:dyDescent="0.25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 hidden="1" x14ac:dyDescent="0.25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 hidden="1" x14ac:dyDescent="0.25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 hidden="1" x14ac:dyDescent="0.25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 hidden="1" x14ac:dyDescent="0.25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 hidden="1" x14ac:dyDescent="0.25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 hidden="1" x14ac:dyDescent="0.25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 hidden="1" x14ac:dyDescent="0.25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 hidden="1" x14ac:dyDescent="0.25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 hidden="1" x14ac:dyDescent="0.25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 hidden="1" x14ac:dyDescent="0.25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 hidden="1" x14ac:dyDescent="0.25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 hidden="1" x14ac:dyDescent="0.25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 hidden="1" x14ac:dyDescent="0.25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 hidden="1" x14ac:dyDescent="0.25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 hidden="1" x14ac:dyDescent="0.25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 hidden="1" x14ac:dyDescent="0.25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 hidden="1" x14ac:dyDescent="0.25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 hidden="1" x14ac:dyDescent="0.25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 hidden="1" x14ac:dyDescent="0.25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 hidden="1" x14ac:dyDescent="0.25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 hidden="1" x14ac:dyDescent="0.25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 hidden="1" x14ac:dyDescent="0.25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 hidden="1" x14ac:dyDescent="0.25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 hidden="1" x14ac:dyDescent="0.25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 hidden="1" x14ac:dyDescent="0.25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 hidden="1" x14ac:dyDescent="0.25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 hidden="1" x14ac:dyDescent="0.25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 hidden="1" x14ac:dyDescent="0.25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 hidden="1" x14ac:dyDescent="0.25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 hidden="1" x14ac:dyDescent="0.25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 hidden="1" x14ac:dyDescent="0.25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 hidden="1" x14ac:dyDescent="0.25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 hidden="1" x14ac:dyDescent="0.25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 hidden="1" x14ac:dyDescent="0.25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 hidden="1" x14ac:dyDescent="0.25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 hidden="1" x14ac:dyDescent="0.25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 hidden="1" x14ac:dyDescent="0.25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 hidden="1" x14ac:dyDescent="0.25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 hidden="1" x14ac:dyDescent="0.25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 hidden="1" x14ac:dyDescent="0.25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 hidden="1" x14ac:dyDescent="0.25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 hidden="1" x14ac:dyDescent="0.25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 hidden="1" x14ac:dyDescent="0.25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 hidden="1" x14ac:dyDescent="0.25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 hidden="1" x14ac:dyDescent="0.25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 hidden="1" x14ac:dyDescent="0.25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 hidden="1" x14ac:dyDescent="0.25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 hidden="1" x14ac:dyDescent="0.25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 hidden="1" x14ac:dyDescent="0.25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 hidden="1" x14ac:dyDescent="0.25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 hidden="1" x14ac:dyDescent="0.25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 hidden="1" x14ac:dyDescent="0.25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 hidden="1" x14ac:dyDescent="0.25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 hidden="1" x14ac:dyDescent="0.25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 hidden="1" x14ac:dyDescent="0.25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 hidden="1" x14ac:dyDescent="0.25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 hidden="1" x14ac:dyDescent="0.25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 hidden="1" x14ac:dyDescent="0.25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 hidden="1" x14ac:dyDescent="0.25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 hidden="1" x14ac:dyDescent="0.25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 hidden="1" x14ac:dyDescent="0.25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 hidden="1" x14ac:dyDescent="0.25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 hidden="1" x14ac:dyDescent="0.25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 hidden="1" x14ac:dyDescent="0.25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 hidden="1" x14ac:dyDescent="0.25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 hidden="1" x14ac:dyDescent="0.25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 hidden="1" x14ac:dyDescent="0.25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 hidden="1" x14ac:dyDescent="0.25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 hidden="1" x14ac:dyDescent="0.25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 hidden="1" x14ac:dyDescent="0.25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 hidden="1" x14ac:dyDescent="0.25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 hidden="1" x14ac:dyDescent="0.25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 hidden="1" x14ac:dyDescent="0.25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 hidden="1" x14ac:dyDescent="0.25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 hidden="1" x14ac:dyDescent="0.25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 hidden="1" x14ac:dyDescent="0.25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 hidden="1" x14ac:dyDescent="0.25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 hidden="1" x14ac:dyDescent="0.25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 hidden="1" x14ac:dyDescent="0.25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 hidden="1" x14ac:dyDescent="0.25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 hidden="1" x14ac:dyDescent="0.25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 hidden="1" x14ac:dyDescent="0.25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 hidden="1" x14ac:dyDescent="0.25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 hidden="1" x14ac:dyDescent="0.25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 hidden="1" x14ac:dyDescent="0.25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 hidden="1" x14ac:dyDescent="0.25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 hidden="1" x14ac:dyDescent="0.25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 hidden="1" x14ac:dyDescent="0.25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 hidden="1" x14ac:dyDescent="0.25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 hidden="1" x14ac:dyDescent="0.25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 hidden="1" x14ac:dyDescent="0.25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 hidden="1" x14ac:dyDescent="0.25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 hidden="1" x14ac:dyDescent="0.25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 hidden="1" x14ac:dyDescent="0.25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 hidden="1" x14ac:dyDescent="0.25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 hidden="1" x14ac:dyDescent="0.25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 hidden="1" x14ac:dyDescent="0.25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 hidden="1" x14ac:dyDescent="0.25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 hidden="1" x14ac:dyDescent="0.25">
      <c r="B1030" t="s">
        <v>25</v>
      </c>
      <c r="C1030" t="s">
        <v>131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 hidden="1" x14ac:dyDescent="0.25">
      <c r="B1031" t="s">
        <v>25</v>
      </c>
      <c r="C1031" t="s">
        <v>131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 hidden="1" x14ac:dyDescent="0.25">
      <c r="B1032" t="s">
        <v>25</v>
      </c>
      <c r="C1032" t="s">
        <v>131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 hidden="1" x14ac:dyDescent="0.25">
      <c r="B1033" t="s">
        <v>25</v>
      </c>
      <c r="C1033" t="s">
        <v>131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 hidden="1" x14ac:dyDescent="0.25">
      <c r="B1034" t="s">
        <v>25</v>
      </c>
      <c r="C1034" t="s">
        <v>131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 hidden="1" x14ac:dyDescent="0.25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 hidden="1" x14ac:dyDescent="0.25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 hidden="1" x14ac:dyDescent="0.25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 hidden="1" x14ac:dyDescent="0.25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 hidden="1" x14ac:dyDescent="0.25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 hidden="1" x14ac:dyDescent="0.25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 hidden="1" x14ac:dyDescent="0.25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 hidden="1" x14ac:dyDescent="0.25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 hidden="1" x14ac:dyDescent="0.25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 hidden="1" x14ac:dyDescent="0.25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 hidden="1" x14ac:dyDescent="0.25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 hidden="1" x14ac:dyDescent="0.25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 hidden="1" x14ac:dyDescent="0.25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 hidden="1" x14ac:dyDescent="0.25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 hidden="1" x14ac:dyDescent="0.25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 hidden="1" x14ac:dyDescent="0.25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 hidden="1" x14ac:dyDescent="0.25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 hidden="1" x14ac:dyDescent="0.25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 hidden="1" x14ac:dyDescent="0.25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 hidden="1" x14ac:dyDescent="0.25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 hidden="1" x14ac:dyDescent="0.25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 hidden="1" x14ac:dyDescent="0.25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 hidden="1" x14ac:dyDescent="0.25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 hidden="1" x14ac:dyDescent="0.25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 hidden="1" x14ac:dyDescent="0.25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 hidden="1" x14ac:dyDescent="0.25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 hidden="1" x14ac:dyDescent="0.25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 hidden="1" x14ac:dyDescent="0.25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 hidden="1" x14ac:dyDescent="0.25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 hidden="1" x14ac:dyDescent="0.25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 hidden="1" x14ac:dyDescent="0.25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 hidden="1" x14ac:dyDescent="0.25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 hidden="1" x14ac:dyDescent="0.25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 hidden="1" x14ac:dyDescent="0.25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 hidden="1" x14ac:dyDescent="0.25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 hidden="1" x14ac:dyDescent="0.25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 hidden="1" x14ac:dyDescent="0.25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 hidden="1" x14ac:dyDescent="0.25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 hidden="1" x14ac:dyDescent="0.25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 hidden="1" x14ac:dyDescent="0.25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 hidden="1" x14ac:dyDescent="0.25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 hidden="1" x14ac:dyDescent="0.25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 hidden="1" x14ac:dyDescent="0.25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 hidden="1" x14ac:dyDescent="0.25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 hidden="1" x14ac:dyDescent="0.25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 hidden="1" x14ac:dyDescent="0.25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 hidden="1" x14ac:dyDescent="0.25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 hidden="1" x14ac:dyDescent="0.25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 hidden="1" x14ac:dyDescent="0.25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 hidden="1" x14ac:dyDescent="0.25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 hidden="1" x14ac:dyDescent="0.25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 hidden="1" x14ac:dyDescent="0.25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 hidden="1" x14ac:dyDescent="0.25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 hidden="1" x14ac:dyDescent="0.25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 hidden="1" x14ac:dyDescent="0.25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 hidden="1" x14ac:dyDescent="0.25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 hidden="1" x14ac:dyDescent="0.25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 hidden="1" x14ac:dyDescent="0.25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 hidden="1" x14ac:dyDescent="0.25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 hidden="1" x14ac:dyDescent="0.25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 hidden="1" x14ac:dyDescent="0.25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 hidden="1" x14ac:dyDescent="0.25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 hidden="1" x14ac:dyDescent="0.25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 hidden="1" x14ac:dyDescent="0.25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 hidden="1" x14ac:dyDescent="0.25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 hidden="1" x14ac:dyDescent="0.25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 hidden="1" x14ac:dyDescent="0.25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 hidden="1" x14ac:dyDescent="0.25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 hidden="1" x14ac:dyDescent="0.25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 hidden="1" x14ac:dyDescent="0.25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 hidden="1" x14ac:dyDescent="0.25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 hidden="1" x14ac:dyDescent="0.25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 hidden="1" x14ac:dyDescent="0.25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 hidden="1" x14ac:dyDescent="0.25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 hidden="1" x14ac:dyDescent="0.25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 hidden="1" x14ac:dyDescent="0.25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 hidden="1" x14ac:dyDescent="0.25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 hidden="1" x14ac:dyDescent="0.25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1685</v>
      </c>
      <c r="P1119" t="s">
        <v>92</v>
      </c>
    </row>
    <row r="1120" spans="2:16" hidden="1" x14ac:dyDescent="0.25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 hidden="1" x14ac:dyDescent="0.25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 hidden="1" x14ac:dyDescent="0.25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 hidden="1" x14ac:dyDescent="0.25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 hidden="1" x14ac:dyDescent="0.25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 hidden="1" x14ac:dyDescent="0.25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 hidden="1" x14ac:dyDescent="0.25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 hidden="1" x14ac:dyDescent="0.25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 hidden="1" x14ac:dyDescent="0.25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 hidden="1" x14ac:dyDescent="0.25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 hidden="1" x14ac:dyDescent="0.25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 hidden="1" x14ac:dyDescent="0.25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 hidden="1" x14ac:dyDescent="0.25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 hidden="1" x14ac:dyDescent="0.25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 hidden="1" x14ac:dyDescent="0.25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 hidden="1" x14ac:dyDescent="0.25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 hidden="1" x14ac:dyDescent="0.25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 hidden="1" x14ac:dyDescent="0.25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 hidden="1" x14ac:dyDescent="0.25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 hidden="1" x14ac:dyDescent="0.25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 hidden="1" x14ac:dyDescent="0.25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 hidden="1" x14ac:dyDescent="0.25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 hidden="1" x14ac:dyDescent="0.25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 hidden="1" x14ac:dyDescent="0.25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 hidden="1" x14ac:dyDescent="0.25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 hidden="1" x14ac:dyDescent="0.25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 hidden="1" x14ac:dyDescent="0.25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 hidden="1" x14ac:dyDescent="0.25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 hidden="1" x14ac:dyDescent="0.25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 hidden="1" x14ac:dyDescent="0.25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 hidden="1" x14ac:dyDescent="0.25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 hidden="1" x14ac:dyDescent="0.25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 hidden="1" x14ac:dyDescent="0.25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 hidden="1" x14ac:dyDescent="0.25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 hidden="1" x14ac:dyDescent="0.25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 hidden="1" x14ac:dyDescent="0.25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 hidden="1" x14ac:dyDescent="0.25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 hidden="1" x14ac:dyDescent="0.25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 hidden="1" x14ac:dyDescent="0.25">
      <c r="B1158" t="s">
        <v>25</v>
      </c>
      <c r="C1158" t="s">
        <v>131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 hidden="1" x14ac:dyDescent="0.25">
      <c r="B1159" t="s">
        <v>25</v>
      </c>
      <c r="C1159" t="s">
        <v>131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 hidden="1" x14ac:dyDescent="0.25">
      <c r="B1160" t="s">
        <v>25</v>
      </c>
      <c r="C1160" t="s">
        <v>131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 hidden="1" x14ac:dyDescent="0.25">
      <c r="B1161" t="s">
        <v>25</v>
      </c>
      <c r="C1161" t="s">
        <v>131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 hidden="1" x14ac:dyDescent="0.25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 hidden="1" x14ac:dyDescent="0.25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 hidden="1" x14ac:dyDescent="0.25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 hidden="1" x14ac:dyDescent="0.25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 hidden="1" x14ac:dyDescent="0.25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 hidden="1" x14ac:dyDescent="0.25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 hidden="1" x14ac:dyDescent="0.25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 hidden="1" x14ac:dyDescent="0.25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 hidden="1" x14ac:dyDescent="0.25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 hidden="1" x14ac:dyDescent="0.25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 hidden="1" x14ac:dyDescent="0.25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 hidden="1" x14ac:dyDescent="0.25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 hidden="1" x14ac:dyDescent="0.25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 hidden="1" x14ac:dyDescent="0.25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 hidden="1" x14ac:dyDescent="0.25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 hidden="1" x14ac:dyDescent="0.25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 hidden="1" x14ac:dyDescent="0.25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 hidden="1" x14ac:dyDescent="0.25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 hidden="1" x14ac:dyDescent="0.25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 hidden="1" x14ac:dyDescent="0.25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 hidden="1" x14ac:dyDescent="0.25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 hidden="1" x14ac:dyDescent="0.25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 hidden="1" x14ac:dyDescent="0.25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 hidden="1" x14ac:dyDescent="0.25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 hidden="1" x14ac:dyDescent="0.25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 hidden="1" x14ac:dyDescent="0.25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 hidden="1" x14ac:dyDescent="0.25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 hidden="1" x14ac:dyDescent="0.25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 hidden="1" x14ac:dyDescent="0.25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 hidden="1" x14ac:dyDescent="0.25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 hidden="1" x14ac:dyDescent="0.25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 hidden="1" x14ac:dyDescent="0.25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 hidden="1" x14ac:dyDescent="0.25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 hidden="1" x14ac:dyDescent="0.25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 hidden="1" x14ac:dyDescent="0.25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 hidden="1" x14ac:dyDescent="0.25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 hidden="1" x14ac:dyDescent="0.25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 hidden="1" x14ac:dyDescent="0.25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 hidden="1" x14ac:dyDescent="0.25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 hidden="1" x14ac:dyDescent="0.25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 hidden="1" x14ac:dyDescent="0.25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 hidden="1" x14ac:dyDescent="0.25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 hidden="1" x14ac:dyDescent="0.25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 hidden="1" x14ac:dyDescent="0.25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 hidden="1" x14ac:dyDescent="0.25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 hidden="1" x14ac:dyDescent="0.25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 hidden="1" x14ac:dyDescent="0.25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 hidden="1" x14ac:dyDescent="0.25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 hidden="1" x14ac:dyDescent="0.25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 hidden="1" x14ac:dyDescent="0.25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 hidden="1" x14ac:dyDescent="0.25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 hidden="1" x14ac:dyDescent="0.25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 hidden="1" x14ac:dyDescent="0.25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 hidden="1" x14ac:dyDescent="0.25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 hidden="1" x14ac:dyDescent="0.25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 hidden="1" x14ac:dyDescent="0.25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 hidden="1" x14ac:dyDescent="0.25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 hidden="1" x14ac:dyDescent="0.25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 hidden="1" x14ac:dyDescent="0.25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 hidden="1" x14ac:dyDescent="0.25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 hidden="1" x14ac:dyDescent="0.25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 hidden="1" x14ac:dyDescent="0.25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 hidden="1" x14ac:dyDescent="0.25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 hidden="1" x14ac:dyDescent="0.25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 hidden="1" x14ac:dyDescent="0.25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 hidden="1" x14ac:dyDescent="0.25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 hidden="1" x14ac:dyDescent="0.25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 hidden="1" x14ac:dyDescent="0.25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 hidden="1" x14ac:dyDescent="0.25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 hidden="1" x14ac:dyDescent="0.25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 hidden="1" x14ac:dyDescent="0.25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 hidden="1" x14ac:dyDescent="0.25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 hidden="1" x14ac:dyDescent="0.25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 hidden="1" x14ac:dyDescent="0.25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 hidden="1" x14ac:dyDescent="0.25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 hidden="1" x14ac:dyDescent="0.25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 hidden="1" x14ac:dyDescent="0.25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 hidden="1" x14ac:dyDescent="0.25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 hidden="1" x14ac:dyDescent="0.25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1685</v>
      </c>
      <c r="P1242" t="s">
        <v>95</v>
      </c>
    </row>
    <row r="1243" spans="2:16" hidden="1" x14ac:dyDescent="0.25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1685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 hidden="1" x14ac:dyDescent="0.25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 hidden="1" x14ac:dyDescent="0.25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1685</v>
      </c>
      <c r="M1245" t="s">
        <v>91</v>
      </c>
      <c r="N1245" t="s">
        <v>92</v>
      </c>
      <c r="O1245" t="s">
        <v>95</v>
      </c>
      <c r="P1245" t="s">
        <v>95</v>
      </c>
    </row>
    <row r="1246" spans="2:16" hidden="1" x14ac:dyDescent="0.25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 hidden="1" x14ac:dyDescent="0.25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 hidden="1" x14ac:dyDescent="0.25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 hidden="1" x14ac:dyDescent="0.25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 hidden="1" x14ac:dyDescent="0.25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 hidden="1" x14ac:dyDescent="0.25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 hidden="1" x14ac:dyDescent="0.25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 hidden="1" x14ac:dyDescent="0.25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 hidden="1" x14ac:dyDescent="0.25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 hidden="1" x14ac:dyDescent="0.25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 hidden="1" x14ac:dyDescent="0.25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 hidden="1" x14ac:dyDescent="0.25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 hidden="1" x14ac:dyDescent="0.25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 hidden="1" x14ac:dyDescent="0.25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 hidden="1" x14ac:dyDescent="0.25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 hidden="1" x14ac:dyDescent="0.25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 hidden="1" x14ac:dyDescent="0.25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 hidden="1" x14ac:dyDescent="0.25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 hidden="1" x14ac:dyDescent="0.25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 hidden="1" x14ac:dyDescent="0.25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 hidden="1" x14ac:dyDescent="0.25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 hidden="1" x14ac:dyDescent="0.25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 hidden="1" x14ac:dyDescent="0.25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 hidden="1" x14ac:dyDescent="0.25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 hidden="1" x14ac:dyDescent="0.25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 hidden="1" x14ac:dyDescent="0.25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 hidden="1" x14ac:dyDescent="0.25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 hidden="1" x14ac:dyDescent="0.25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 hidden="1" x14ac:dyDescent="0.25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 hidden="1" x14ac:dyDescent="0.25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 hidden="1" x14ac:dyDescent="0.25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 hidden="1" x14ac:dyDescent="0.25">
      <c r="B1277" t="s">
        <v>25</v>
      </c>
      <c r="C1277" t="s">
        <v>131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 hidden="1" x14ac:dyDescent="0.25">
      <c r="B1278" t="s">
        <v>25</v>
      </c>
      <c r="C1278" t="s">
        <v>131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 hidden="1" x14ac:dyDescent="0.25">
      <c r="B1279" t="s">
        <v>25</v>
      </c>
      <c r="C1279" t="s">
        <v>131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 hidden="1" x14ac:dyDescent="0.25">
      <c r="B1280" t="s">
        <v>25</v>
      </c>
      <c r="C1280" t="s">
        <v>131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 hidden="1" x14ac:dyDescent="0.25">
      <c r="B1281" t="s">
        <v>25</v>
      </c>
      <c r="C1281" t="s">
        <v>131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 hidden="1" x14ac:dyDescent="0.25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 hidden="1" x14ac:dyDescent="0.25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 hidden="1" x14ac:dyDescent="0.25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 hidden="1" x14ac:dyDescent="0.25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 hidden="1" x14ac:dyDescent="0.25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 hidden="1" x14ac:dyDescent="0.25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 hidden="1" x14ac:dyDescent="0.25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 hidden="1" x14ac:dyDescent="0.25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 hidden="1" x14ac:dyDescent="0.25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 hidden="1" x14ac:dyDescent="0.25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 hidden="1" x14ac:dyDescent="0.25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 hidden="1" x14ac:dyDescent="0.25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 hidden="1" x14ac:dyDescent="0.25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 hidden="1" x14ac:dyDescent="0.25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 hidden="1" x14ac:dyDescent="0.25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 hidden="1" x14ac:dyDescent="0.25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 hidden="1" x14ac:dyDescent="0.25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 hidden="1" x14ac:dyDescent="0.25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 hidden="1" x14ac:dyDescent="0.25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 hidden="1" x14ac:dyDescent="0.25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 hidden="1" x14ac:dyDescent="0.25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 hidden="1" x14ac:dyDescent="0.25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 hidden="1" x14ac:dyDescent="0.25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 hidden="1" x14ac:dyDescent="0.25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 hidden="1" x14ac:dyDescent="0.25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 hidden="1" x14ac:dyDescent="0.25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 hidden="1" x14ac:dyDescent="0.25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 hidden="1" x14ac:dyDescent="0.25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 hidden="1" x14ac:dyDescent="0.25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 hidden="1" x14ac:dyDescent="0.25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 hidden="1" x14ac:dyDescent="0.25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 hidden="1" x14ac:dyDescent="0.25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 hidden="1" x14ac:dyDescent="0.25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 hidden="1" x14ac:dyDescent="0.25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 hidden="1" x14ac:dyDescent="0.25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 hidden="1" x14ac:dyDescent="0.25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 hidden="1" x14ac:dyDescent="0.25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 hidden="1" x14ac:dyDescent="0.25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 hidden="1" x14ac:dyDescent="0.25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 hidden="1" x14ac:dyDescent="0.25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 hidden="1" x14ac:dyDescent="0.25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 hidden="1" x14ac:dyDescent="0.25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 hidden="1" x14ac:dyDescent="0.25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 hidden="1" x14ac:dyDescent="0.25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 hidden="1" x14ac:dyDescent="0.25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 hidden="1" x14ac:dyDescent="0.25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 hidden="1" x14ac:dyDescent="0.25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 hidden="1" x14ac:dyDescent="0.25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 hidden="1" x14ac:dyDescent="0.25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 hidden="1" x14ac:dyDescent="0.25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 hidden="1" x14ac:dyDescent="0.25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 hidden="1" x14ac:dyDescent="0.25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 hidden="1" x14ac:dyDescent="0.25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 hidden="1" x14ac:dyDescent="0.25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 hidden="1" x14ac:dyDescent="0.25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 hidden="1" x14ac:dyDescent="0.25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 hidden="1" x14ac:dyDescent="0.25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 hidden="1" x14ac:dyDescent="0.25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 hidden="1" x14ac:dyDescent="0.25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 hidden="1" x14ac:dyDescent="0.25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 hidden="1" x14ac:dyDescent="0.25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 hidden="1" x14ac:dyDescent="0.25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 hidden="1" x14ac:dyDescent="0.25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 hidden="1" x14ac:dyDescent="0.25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 hidden="1" x14ac:dyDescent="0.25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 hidden="1" x14ac:dyDescent="0.25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 hidden="1" x14ac:dyDescent="0.25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 hidden="1" x14ac:dyDescent="0.25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 hidden="1" x14ac:dyDescent="0.25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 hidden="1" x14ac:dyDescent="0.25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 hidden="1" x14ac:dyDescent="0.25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 hidden="1" x14ac:dyDescent="0.25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 hidden="1" x14ac:dyDescent="0.25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 hidden="1" x14ac:dyDescent="0.25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 hidden="1" x14ac:dyDescent="0.25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 hidden="1" x14ac:dyDescent="0.25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 hidden="1" x14ac:dyDescent="0.25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 hidden="1" x14ac:dyDescent="0.25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 hidden="1" x14ac:dyDescent="0.25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 hidden="1" x14ac:dyDescent="0.25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 hidden="1" x14ac:dyDescent="0.25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 hidden="1" x14ac:dyDescent="0.25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 hidden="1" x14ac:dyDescent="0.25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 hidden="1" x14ac:dyDescent="0.25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 hidden="1" x14ac:dyDescent="0.25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 hidden="1" x14ac:dyDescent="0.25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 hidden="1" x14ac:dyDescent="0.25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 hidden="1" x14ac:dyDescent="0.25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 hidden="1" x14ac:dyDescent="0.25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 hidden="1" x14ac:dyDescent="0.25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 hidden="1" x14ac:dyDescent="0.25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 hidden="1" x14ac:dyDescent="0.25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 hidden="1" x14ac:dyDescent="0.25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 hidden="1" x14ac:dyDescent="0.25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 hidden="1" x14ac:dyDescent="0.25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 hidden="1" x14ac:dyDescent="0.25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 hidden="1" x14ac:dyDescent="0.25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 hidden="1" x14ac:dyDescent="0.25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 hidden="1" x14ac:dyDescent="0.25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 hidden="1" x14ac:dyDescent="0.25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 hidden="1" x14ac:dyDescent="0.25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 hidden="1" x14ac:dyDescent="0.25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 hidden="1" x14ac:dyDescent="0.25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 hidden="1" x14ac:dyDescent="0.25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 hidden="1" x14ac:dyDescent="0.25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 hidden="1" x14ac:dyDescent="0.25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 hidden="1" x14ac:dyDescent="0.25">
      <c r="B1390" t="s">
        <v>25</v>
      </c>
      <c r="C1390" t="s">
        <v>131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 hidden="1" x14ac:dyDescent="0.25">
      <c r="B1391" t="s">
        <v>25</v>
      </c>
      <c r="C1391" t="s">
        <v>131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 hidden="1" x14ac:dyDescent="0.25">
      <c r="B1392" t="s">
        <v>25</v>
      </c>
      <c r="C1392" t="s">
        <v>131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 hidden="1" x14ac:dyDescent="0.25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 hidden="1" x14ac:dyDescent="0.25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 hidden="1" x14ac:dyDescent="0.25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 hidden="1" x14ac:dyDescent="0.25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 hidden="1" x14ac:dyDescent="0.25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 hidden="1" x14ac:dyDescent="0.25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 hidden="1" x14ac:dyDescent="0.25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 hidden="1" x14ac:dyDescent="0.25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 hidden="1" x14ac:dyDescent="0.25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 hidden="1" x14ac:dyDescent="0.25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 hidden="1" x14ac:dyDescent="0.25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 hidden="1" x14ac:dyDescent="0.25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 hidden="1" x14ac:dyDescent="0.25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 hidden="1" x14ac:dyDescent="0.25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 hidden="1" x14ac:dyDescent="0.25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 hidden="1" x14ac:dyDescent="0.25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 hidden="1" x14ac:dyDescent="0.25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 hidden="1" x14ac:dyDescent="0.25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 hidden="1" x14ac:dyDescent="0.25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 hidden="1" x14ac:dyDescent="0.25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 hidden="1" x14ac:dyDescent="0.25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 hidden="1" x14ac:dyDescent="0.25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 hidden="1" x14ac:dyDescent="0.25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 hidden="1" x14ac:dyDescent="0.25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 hidden="1" x14ac:dyDescent="0.25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 hidden="1" x14ac:dyDescent="0.25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 hidden="1" x14ac:dyDescent="0.25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 hidden="1" x14ac:dyDescent="0.25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 hidden="1" x14ac:dyDescent="0.25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 hidden="1" x14ac:dyDescent="0.25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 hidden="1" x14ac:dyDescent="0.25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 hidden="1" x14ac:dyDescent="0.25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 hidden="1" x14ac:dyDescent="0.25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 hidden="1" x14ac:dyDescent="0.25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 hidden="1" x14ac:dyDescent="0.25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 hidden="1" x14ac:dyDescent="0.25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 hidden="1" x14ac:dyDescent="0.25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 hidden="1" x14ac:dyDescent="0.25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 hidden="1" x14ac:dyDescent="0.25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 hidden="1" x14ac:dyDescent="0.25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 hidden="1" x14ac:dyDescent="0.25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 hidden="1" x14ac:dyDescent="0.25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 hidden="1" x14ac:dyDescent="0.25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 hidden="1" x14ac:dyDescent="0.25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 hidden="1" x14ac:dyDescent="0.25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 hidden="1" x14ac:dyDescent="0.25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 hidden="1" x14ac:dyDescent="0.25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 hidden="1" x14ac:dyDescent="0.25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 hidden="1" x14ac:dyDescent="0.25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 hidden="1" x14ac:dyDescent="0.25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 hidden="1" x14ac:dyDescent="0.25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 hidden="1" x14ac:dyDescent="0.25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 hidden="1" x14ac:dyDescent="0.25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 hidden="1" x14ac:dyDescent="0.25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 hidden="1" x14ac:dyDescent="0.25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 hidden="1" x14ac:dyDescent="0.25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 hidden="1" x14ac:dyDescent="0.25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 hidden="1" x14ac:dyDescent="0.25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 hidden="1" x14ac:dyDescent="0.25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 hidden="1" x14ac:dyDescent="0.25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 hidden="1" x14ac:dyDescent="0.25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 hidden="1" x14ac:dyDescent="0.25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 hidden="1" x14ac:dyDescent="0.25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 hidden="1" x14ac:dyDescent="0.25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 hidden="1" x14ac:dyDescent="0.25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 hidden="1" x14ac:dyDescent="0.25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 hidden="1" x14ac:dyDescent="0.25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 hidden="1" x14ac:dyDescent="0.25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 hidden="1" x14ac:dyDescent="0.25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 hidden="1" x14ac:dyDescent="0.25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 hidden="1" x14ac:dyDescent="0.25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 hidden="1" x14ac:dyDescent="0.25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 hidden="1" x14ac:dyDescent="0.25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 hidden="1" x14ac:dyDescent="0.25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 hidden="1" x14ac:dyDescent="0.25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 hidden="1" x14ac:dyDescent="0.25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 hidden="1" x14ac:dyDescent="0.25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 hidden="1" x14ac:dyDescent="0.25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 hidden="1" x14ac:dyDescent="0.25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 hidden="1" x14ac:dyDescent="0.25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 hidden="1" x14ac:dyDescent="0.25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 hidden="1" x14ac:dyDescent="0.25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 hidden="1" x14ac:dyDescent="0.25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 hidden="1" x14ac:dyDescent="0.25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 hidden="1" x14ac:dyDescent="0.25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 hidden="1" x14ac:dyDescent="0.25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 hidden="1" x14ac:dyDescent="0.25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 hidden="1" x14ac:dyDescent="0.25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 hidden="1" x14ac:dyDescent="0.25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 hidden="1" x14ac:dyDescent="0.25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 hidden="1" x14ac:dyDescent="0.25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 hidden="1" x14ac:dyDescent="0.25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 hidden="1" x14ac:dyDescent="0.25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 hidden="1" x14ac:dyDescent="0.25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 hidden="1" x14ac:dyDescent="0.25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 hidden="1" x14ac:dyDescent="0.25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 hidden="1" x14ac:dyDescent="0.25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 hidden="1" x14ac:dyDescent="0.25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 hidden="1" x14ac:dyDescent="0.25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 hidden="1" x14ac:dyDescent="0.25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 hidden="1" x14ac:dyDescent="0.25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 hidden="1" x14ac:dyDescent="0.25">
      <c r="B1498" t="s">
        <v>25</v>
      </c>
      <c r="C1498" t="s">
        <v>131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 hidden="1" x14ac:dyDescent="0.25">
      <c r="B1499" t="s">
        <v>25</v>
      </c>
      <c r="C1499" t="s">
        <v>131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 hidden="1" x14ac:dyDescent="0.25">
      <c r="B1500" t="s">
        <v>25</v>
      </c>
      <c r="C1500" t="s">
        <v>131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 hidden="1" x14ac:dyDescent="0.25">
      <c r="B1501" t="s">
        <v>25</v>
      </c>
      <c r="C1501" t="s">
        <v>131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 hidden="1" x14ac:dyDescent="0.25">
      <c r="B1502" t="s">
        <v>25</v>
      </c>
      <c r="C1502" t="s">
        <v>131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 hidden="1" x14ac:dyDescent="0.25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 hidden="1" x14ac:dyDescent="0.25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 hidden="1" x14ac:dyDescent="0.25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 hidden="1" x14ac:dyDescent="0.25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 hidden="1" x14ac:dyDescent="0.25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 hidden="1" x14ac:dyDescent="0.25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 hidden="1" x14ac:dyDescent="0.25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 hidden="1" x14ac:dyDescent="0.25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 hidden="1" x14ac:dyDescent="0.25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 hidden="1" x14ac:dyDescent="0.25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 hidden="1" x14ac:dyDescent="0.25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 hidden="1" x14ac:dyDescent="0.25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 hidden="1" x14ac:dyDescent="0.25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 hidden="1" x14ac:dyDescent="0.25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 hidden="1" x14ac:dyDescent="0.25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 hidden="1" x14ac:dyDescent="0.25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 hidden="1" x14ac:dyDescent="0.25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 hidden="1" x14ac:dyDescent="0.25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 hidden="1" x14ac:dyDescent="0.25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 hidden="1" x14ac:dyDescent="0.25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 hidden="1" x14ac:dyDescent="0.25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 hidden="1" x14ac:dyDescent="0.25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 hidden="1" x14ac:dyDescent="0.25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 hidden="1" x14ac:dyDescent="0.25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 hidden="1" x14ac:dyDescent="0.25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 hidden="1" x14ac:dyDescent="0.25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 hidden="1" x14ac:dyDescent="0.25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 hidden="1" x14ac:dyDescent="0.25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 hidden="1" x14ac:dyDescent="0.25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 hidden="1" x14ac:dyDescent="0.25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 hidden="1" x14ac:dyDescent="0.25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 hidden="1" x14ac:dyDescent="0.25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 hidden="1" x14ac:dyDescent="0.25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 hidden="1" x14ac:dyDescent="0.25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 hidden="1" x14ac:dyDescent="0.25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 hidden="1" x14ac:dyDescent="0.25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 hidden="1" x14ac:dyDescent="0.25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 hidden="1" x14ac:dyDescent="0.25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 hidden="1" x14ac:dyDescent="0.25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 hidden="1" x14ac:dyDescent="0.25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 hidden="1" x14ac:dyDescent="0.25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 hidden="1" x14ac:dyDescent="0.25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 hidden="1" x14ac:dyDescent="0.25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 hidden="1" x14ac:dyDescent="0.25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 hidden="1" x14ac:dyDescent="0.25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 hidden="1" x14ac:dyDescent="0.25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 hidden="1" x14ac:dyDescent="0.25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 hidden="1" x14ac:dyDescent="0.25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 hidden="1" x14ac:dyDescent="0.25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 hidden="1" x14ac:dyDescent="0.25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 hidden="1" x14ac:dyDescent="0.25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 hidden="1" x14ac:dyDescent="0.25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 hidden="1" x14ac:dyDescent="0.25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 hidden="1" x14ac:dyDescent="0.25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 hidden="1" x14ac:dyDescent="0.25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 hidden="1" x14ac:dyDescent="0.25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 hidden="1" x14ac:dyDescent="0.25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 hidden="1" x14ac:dyDescent="0.25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 hidden="1" x14ac:dyDescent="0.25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 hidden="1" x14ac:dyDescent="0.25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 hidden="1" x14ac:dyDescent="0.25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 hidden="1" x14ac:dyDescent="0.25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 hidden="1" x14ac:dyDescent="0.25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 hidden="1" x14ac:dyDescent="0.25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 hidden="1" x14ac:dyDescent="0.25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 hidden="1" x14ac:dyDescent="0.25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 hidden="1" x14ac:dyDescent="0.25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 hidden="1" x14ac:dyDescent="0.25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 hidden="1" x14ac:dyDescent="0.25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 hidden="1" x14ac:dyDescent="0.25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 hidden="1" x14ac:dyDescent="0.25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 hidden="1" x14ac:dyDescent="0.25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 hidden="1" x14ac:dyDescent="0.25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 hidden="1" x14ac:dyDescent="0.25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 hidden="1" x14ac:dyDescent="0.25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 hidden="1" x14ac:dyDescent="0.25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 hidden="1" x14ac:dyDescent="0.25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 hidden="1" x14ac:dyDescent="0.25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 hidden="1" x14ac:dyDescent="0.25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 hidden="1" x14ac:dyDescent="0.25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 hidden="1" x14ac:dyDescent="0.25">
      <c r="A1583" t="s">
        <v>153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40974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 hidden="1" x14ac:dyDescent="0.25">
      <c r="A1584" t="s">
        <v>154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40981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 hidden="1" x14ac:dyDescent="0.25">
      <c r="A1585" t="s">
        <v>155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40988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 hidden="1" x14ac:dyDescent="0.25">
      <c r="A1586" t="s">
        <v>156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40995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 hidden="1" x14ac:dyDescent="0.25">
      <c r="A1587" t="s">
        <v>157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40974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 hidden="1" x14ac:dyDescent="0.25">
      <c r="A1588" t="s">
        <v>158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40981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 hidden="1" x14ac:dyDescent="0.25">
      <c r="A1589" t="s">
        <v>159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40988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 hidden="1" x14ac:dyDescent="0.25">
      <c r="A1590" t="s">
        <v>160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40995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 hidden="1" x14ac:dyDescent="0.25">
      <c r="A1591" t="s">
        <v>161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40974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 hidden="1" x14ac:dyDescent="0.25">
      <c r="A1592" t="s">
        <v>162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40981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 hidden="1" x14ac:dyDescent="0.25">
      <c r="A1593" t="s">
        <v>163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40988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 hidden="1" x14ac:dyDescent="0.25">
      <c r="A1594" t="s">
        <v>164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40995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 hidden="1" x14ac:dyDescent="0.25">
      <c r="A1595" t="s">
        <v>165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40974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 hidden="1" x14ac:dyDescent="0.25">
      <c r="A1596" t="s">
        <v>166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40981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 hidden="1" x14ac:dyDescent="0.25">
      <c r="A1597" t="s">
        <v>167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40988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 hidden="1" x14ac:dyDescent="0.25">
      <c r="A1598" t="s">
        <v>168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40995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 hidden="1" x14ac:dyDescent="0.25">
      <c r="A1599" t="s">
        <v>169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40974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 hidden="1" x14ac:dyDescent="0.25">
      <c r="A1600" t="s">
        <v>170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40981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 hidden="1" x14ac:dyDescent="0.25">
      <c r="A1601" t="s">
        <v>171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40988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 hidden="1" x14ac:dyDescent="0.25">
      <c r="A1602" t="s">
        <v>172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40995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 hidden="1" x14ac:dyDescent="0.25">
      <c r="A1603" t="s">
        <v>173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40974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 hidden="1" x14ac:dyDescent="0.25">
      <c r="A1604" t="s">
        <v>174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40981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 hidden="1" x14ac:dyDescent="0.25">
      <c r="A1605" t="s">
        <v>175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40988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 hidden="1" x14ac:dyDescent="0.25">
      <c r="A1606" t="s">
        <v>176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40995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 hidden="1" x14ac:dyDescent="0.25">
      <c r="A1607" t="s">
        <v>177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40974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 hidden="1" x14ac:dyDescent="0.25">
      <c r="A1608" t="s">
        <v>178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40981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179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40988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 hidden="1" x14ac:dyDescent="0.25">
      <c r="A1610" t="s">
        <v>180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40995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 hidden="1" x14ac:dyDescent="0.25">
      <c r="A1611" t="s">
        <v>181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40974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 hidden="1" x14ac:dyDescent="0.25">
      <c r="A1612" t="s">
        <v>182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40981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 hidden="1" x14ac:dyDescent="0.25">
      <c r="A1613" t="s">
        <v>183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40988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 hidden="1" x14ac:dyDescent="0.25">
      <c r="A1614" t="s">
        <v>184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40995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 hidden="1" x14ac:dyDescent="0.25">
      <c r="A1615" t="s">
        <v>185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40974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 hidden="1" x14ac:dyDescent="0.25">
      <c r="A1616" t="s">
        <v>186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40981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 hidden="1" x14ac:dyDescent="0.25">
      <c r="A1617" t="s">
        <v>187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40988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 hidden="1" x14ac:dyDescent="0.25">
      <c r="A1618" t="s">
        <v>188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40995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 hidden="1" x14ac:dyDescent="0.25">
      <c r="A1619" t="s">
        <v>189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40974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 hidden="1" x14ac:dyDescent="0.25">
      <c r="A1620" t="s">
        <v>190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40981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 hidden="1" x14ac:dyDescent="0.25">
      <c r="A1621" t="s">
        <v>191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40988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 hidden="1" x14ac:dyDescent="0.25">
      <c r="A1622" t="s">
        <v>192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40995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 hidden="1" x14ac:dyDescent="0.25">
      <c r="A1623" t="s">
        <v>193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40974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 hidden="1" x14ac:dyDescent="0.25">
      <c r="A1624" t="s">
        <v>194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40981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 hidden="1" x14ac:dyDescent="0.25">
      <c r="A1625" t="s">
        <v>195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40988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 hidden="1" x14ac:dyDescent="0.25">
      <c r="A1626" t="s">
        <v>196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40995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 hidden="1" x14ac:dyDescent="0.25">
      <c r="A1627" t="s">
        <v>197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40974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 hidden="1" x14ac:dyDescent="0.25">
      <c r="A1628" t="s">
        <v>198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40981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 hidden="1" x14ac:dyDescent="0.25">
      <c r="A1629" t="s">
        <v>199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40988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 hidden="1" x14ac:dyDescent="0.25">
      <c r="A1630" t="s">
        <v>200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40995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 hidden="1" x14ac:dyDescent="0.25">
      <c r="A1631" t="s">
        <v>201</v>
      </c>
      <c r="B1631" t="s">
        <v>25</v>
      </c>
      <c r="C1631" t="s">
        <v>131</v>
      </c>
      <c r="D1631" t="s">
        <v>104</v>
      </c>
      <c r="E1631" s="1" t="s">
        <v>72</v>
      </c>
      <c r="F1631">
        <v>4</v>
      </c>
      <c r="G1631" s="1">
        <v>40974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 hidden="1" x14ac:dyDescent="0.25">
      <c r="A1632" t="s">
        <v>202</v>
      </c>
      <c r="B1632" t="s">
        <v>25</v>
      </c>
      <c r="C1632" t="s">
        <v>131</v>
      </c>
      <c r="D1632" t="s">
        <v>104</v>
      </c>
      <c r="E1632" s="1" t="s">
        <v>72</v>
      </c>
      <c r="F1632">
        <v>5</v>
      </c>
      <c r="G1632" s="1">
        <v>40981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 hidden="1" x14ac:dyDescent="0.25">
      <c r="A1633" t="s">
        <v>203</v>
      </c>
      <c r="B1633" t="s">
        <v>25</v>
      </c>
      <c r="C1633" t="s">
        <v>131</v>
      </c>
      <c r="D1633" t="s">
        <v>104</v>
      </c>
      <c r="E1633" s="1" t="s">
        <v>72</v>
      </c>
      <c r="F1633">
        <v>6</v>
      </c>
      <c r="G1633" s="1">
        <v>40988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 hidden="1" x14ac:dyDescent="0.25">
      <c r="A1634" t="s">
        <v>204</v>
      </c>
      <c r="B1634" t="s">
        <v>25</v>
      </c>
      <c r="C1634" t="s">
        <v>131</v>
      </c>
      <c r="D1634" t="s">
        <v>104</v>
      </c>
      <c r="E1634" s="1" t="s">
        <v>72</v>
      </c>
      <c r="F1634">
        <v>7</v>
      </c>
      <c r="G1634" s="1">
        <v>40995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 hidden="1" x14ac:dyDescent="0.25">
      <c r="A1635" t="s">
        <v>205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40974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 hidden="1" x14ac:dyDescent="0.25">
      <c r="A1636" t="s">
        <v>206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40981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 hidden="1" x14ac:dyDescent="0.25">
      <c r="A1637" t="s">
        <v>207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40988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 hidden="1" x14ac:dyDescent="0.25">
      <c r="A1638" t="s">
        <v>208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40995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 hidden="1" x14ac:dyDescent="0.25">
      <c r="A1639" t="s">
        <v>209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40974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 hidden="1" x14ac:dyDescent="0.25">
      <c r="A1640" t="s">
        <v>210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40981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211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40988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 hidden="1" x14ac:dyDescent="0.25">
      <c r="A1642" t="s">
        <v>212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40995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 hidden="1" x14ac:dyDescent="0.25">
      <c r="A1643" t="s">
        <v>213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40974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 hidden="1" x14ac:dyDescent="0.25">
      <c r="A1644" t="s">
        <v>214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40981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 hidden="1" x14ac:dyDescent="0.25">
      <c r="A1645" t="s">
        <v>215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40988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 hidden="1" x14ac:dyDescent="0.25">
      <c r="A1646" t="s">
        <v>216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40995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 hidden="1" x14ac:dyDescent="0.25">
      <c r="A1647" t="s">
        <v>217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40974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 hidden="1" x14ac:dyDescent="0.25">
      <c r="A1648" t="s">
        <v>218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40981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 hidden="1" x14ac:dyDescent="0.25">
      <c r="A1649" t="s">
        <v>219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40988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 hidden="1" x14ac:dyDescent="0.25">
      <c r="A1650" t="s">
        <v>220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40995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 hidden="1" x14ac:dyDescent="0.25">
      <c r="A1651" t="s">
        <v>221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40974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 hidden="1" x14ac:dyDescent="0.25">
      <c r="A1652" t="s">
        <v>222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40981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 hidden="1" x14ac:dyDescent="0.25">
      <c r="A1653" t="s">
        <v>223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40988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 hidden="1" x14ac:dyDescent="0.25">
      <c r="A1654" t="s">
        <v>224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40995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 hidden="1" x14ac:dyDescent="0.25">
      <c r="A1655" t="s">
        <v>225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40974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 hidden="1" x14ac:dyDescent="0.25">
      <c r="A1656" t="s">
        <v>226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40981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 hidden="1" x14ac:dyDescent="0.25">
      <c r="A1657" t="s">
        <v>227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40988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 hidden="1" x14ac:dyDescent="0.25">
      <c r="A1658" t="s">
        <v>228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40995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 hidden="1" x14ac:dyDescent="0.25">
      <c r="A1659" t="s">
        <v>229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40974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 hidden="1" x14ac:dyDescent="0.25">
      <c r="A1660" t="s">
        <v>230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40981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 hidden="1" x14ac:dyDescent="0.25">
      <c r="A1661" t="s">
        <v>231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40988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 hidden="1" x14ac:dyDescent="0.25">
      <c r="A1662" t="s">
        <v>232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40995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 hidden="1" x14ac:dyDescent="0.25">
      <c r="A1663" t="s">
        <v>233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40974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 hidden="1" x14ac:dyDescent="0.25">
      <c r="A1664" t="s">
        <v>234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40981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 hidden="1" x14ac:dyDescent="0.25">
      <c r="A1665" t="s">
        <v>235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40988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236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40995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237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40974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 hidden="1" x14ac:dyDescent="0.25">
      <c r="A1668" t="s">
        <v>238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40981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 hidden="1" x14ac:dyDescent="0.25">
      <c r="A1669" t="s">
        <v>239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40988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 hidden="1" x14ac:dyDescent="0.25">
      <c r="A1670" t="s">
        <v>240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40995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 hidden="1" x14ac:dyDescent="0.25">
      <c r="A1671" t="s">
        <v>241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40974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 hidden="1" x14ac:dyDescent="0.25">
      <c r="A1672" t="s">
        <v>242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40981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 hidden="1" x14ac:dyDescent="0.25">
      <c r="A1673" t="s">
        <v>243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40988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 hidden="1" x14ac:dyDescent="0.25">
      <c r="A1674" t="s">
        <v>244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40995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 hidden="1" x14ac:dyDescent="0.25">
      <c r="A1675" t="s">
        <v>245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40974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246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40981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247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40988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248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40995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 hidden="1" x14ac:dyDescent="0.25">
      <c r="A1679" t="s">
        <v>249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40974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 hidden="1" x14ac:dyDescent="0.25">
      <c r="A1680" t="s">
        <v>250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40981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 hidden="1" x14ac:dyDescent="0.25">
      <c r="A1681" t="s">
        <v>251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40988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 hidden="1" x14ac:dyDescent="0.25">
      <c r="A1682" t="s">
        <v>252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40995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 hidden="1" x14ac:dyDescent="0.25">
      <c r="A1683" t="s">
        <v>253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40974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 hidden="1" x14ac:dyDescent="0.25">
      <c r="A1684" t="s">
        <v>254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40981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 hidden="1" x14ac:dyDescent="0.25">
      <c r="A1685" t="s">
        <v>255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40988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 hidden="1" x14ac:dyDescent="0.25">
      <c r="A1686" t="s">
        <v>256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40995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 hidden="1" x14ac:dyDescent="0.25">
      <c r="A1687" t="s">
        <v>257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40974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 hidden="1" x14ac:dyDescent="0.25">
      <c r="A1688" t="s">
        <v>258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40981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 hidden="1" x14ac:dyDescent="0.25">
      <c r="A1689" t="s">
        <v>259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40988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 hidden="1" x14ac:dyDescent="0.25">
      <c r="A1690" t="s">
        <v>260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40995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 hidden="1" x14ac:dyDescent="0.25">
      <c r="A1691" t="s">
        <v>261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40974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 hidden="1" x14ac:dyDescent="0.25">
      <c r="A1692" t="s">
        <v>262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40981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 hidden="1" x14ac:dyDescent="0.25">
      <c r="A1693" t="s">
        <v>263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40988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 hidden="1" x14ac:dyDescent="0.25">
      <c r="A1694" t="s">
        <v>264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 hidden="1" x14ac:dyDescent="0.25">
      <c r="A1695" t="s">
        <v>265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40974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 hidden="1" x14ac:dyDescent="0.25">
      <c r="A1696" t="s">
        <v>266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40981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 hidden="1" x14ac:dyDescent="0.25">
      <c r="A1697" t="s">
        <v>267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40988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 hidden="1" x14ac:dyDescent="0.25">
      <c r="A1698" t="s">
        <v>268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40995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 hidden="1" x14ac:dyDescent="0.25">
      <c r="A1699" t="s">
        <v>269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41002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 hidden="1" x14ac:dyDescent="0.25">
      <c r="A1700" t="s">
        <v>270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41009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 hidden="1" x14ac:dyDescent="0.25">
      <c r="A1701" t="s">
        <v>271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41016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 hidden="1" x14ac:dyDescent="0.25">
      <c r="A1702" t="s">
        <v>272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41023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 hidden="1" x14ac:dyDescent="0.25">
      <c r="A1703" t="s">
        <v>273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41002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274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41009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 hidden="1" x14ac:dyDescent="0.25">
      <c r="A1705" t="s">
        <v>275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41016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 hidden="1" x14ac:dyDescent="0.25">
      <c r="A1706" t="s">
        <v>276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41023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 hidden="1" x14ac:dyDescent="0.25">
      <c r="A1707" t="s">
        <v>277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41002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278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41009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 hidden="1" x14ac:dyDescent="0.25">
      <c r="A1709" t="s">
        <v>279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41016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 hidden="1" x14ac:dyDescent="0.25">
      <c r="A1710" t="s">
        <v>280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41023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281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41002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 hidden="1" x14ac:dyDescent="0.25">
      <c r="A1712" t="s">
        <v>282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41009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 hidden="1" x14ac:dyDescent="0.25">
      <c r="A1713" t="s">
        <v>283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41016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 hidden="1" x14ac:dyDescent="0.25">
      <c r="A1714" t="s">
        <v>284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41023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 hidden="1" x14ac:dyDescent="0.25">
      <c r="A1715" t="s">
        <v>285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41002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 hidden="1" x14ac:dyDescent="0.25">
      <c r="A1716" t="s">
        <v>286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41009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 hidden="1" x14ac:dyDescent="0.25">
      <c r="A1717" t="s">
        <v>287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41016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 hidden="1" x14ac:dyDescent="0.25">
      <c r="A1718" t="s">
        <v>288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41023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 hidden="1" x14ac:dyDescent="0.25">
      <c r="A1719" t="s">
        <v>289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41002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1685</v>
      </c>
      <c r="O1719" t="s">
        <v>92</v>
      </c>
      <c r="P1719" t="s">
        <v>92</v>
      </c>
    </row>
    <row r="1720" spans="1:16" hidden="1" x14ac:dyDescent="0.25">
      <c r="A1720" t="s">
        <v>290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41009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 hidden="1" x14ac:dyDescent="0.25">
      <c r="A1721" t="s">
        <v>291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41016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 hidden="1" x14ac:dyDescent="0.25">
      <c r="A1722" t="s">
        <v>292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41023</v>
      </c>
      <c r="H1722">
        <v>17</v>
      </c>
      <c r="I1722">
        <v>2016</v>
      </c>
      <c r="J1722" t="s">
        <v>91</v>
      </c>
      <c r="K1722" t="s">
        <v>1685</v>
      </c>
      <c r="L1722" t="s">
        <v>92</v>
      </c>
      <c r="M1722" t="s">
        <v>1685</v>
      </c>
      <c r="N1722" t="s">
        <v>73</v>
      </c>
      <c r="O1722" t="s">
        <v>91</v>
      </c>
      <c r="P1722" t="s">
        <v>124</v>
      </c>
    </row>
    <row r="1723" spans="1:16" hidden="1" x14ac:dyDescent="0.25">
      <c r="A1723" t="s">
        <v>293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41002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 hidden="1" x14ac:dyDescent="0.25">
      <c r="A1724" t="s">
        <v>294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41009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295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41016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 hidden="1" x14ac:dyDescent="0.25">
      <c r="A1726" t="s">
        <v>296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41023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 hidden="1" x14ac:dyDescent="0.25">
      <c r="A1727" t="s">
        <v>297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41002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 hidden="1" x14ac:dyDescent="0.25">
      <c r="A1728" t="s">
        <v>298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41009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 hidden="1" x14ac:dyDescent="0.25">
      <c r="A1729" t="s">
        <v>299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41016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 hidden="1" x14ac:dyDescent="0.25">
      <c r="A1730" t="s">
        <v>300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41023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 hidden="1" x14ac:dyDescent="0.25">
      <c r="A1731" t="s">
        <v>301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41002</v>
      </c>
      <c r="H1731">
        <v>14</v>
      </c>
      <c r="I1731">
        <v>2016</v>
      </c>
      <c r="J1731" t="s">
        <v>125</v>
      </c>
      <c r="K1731" t="s">
        <v>73</v>
      </c>
      <c r="L1731" t="s">
        <v>125</v>
      </c>
      <c r="M1731" t="s">
        <v>125</v>
      </c>
      <c r="N1731" t="s">
        <v>75</v>
      </c>
      <c r="O1731" t="s">
        <v>76</v>
      </c>
      <c r="P1731" t="s">
        <v>77</v>
      </c>
    </row>
    <row r="1732" spans="1:16" hidden="1" x14ac:dyDescent="0.25">
      <c r="A1732" t="s">
        <v>302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41009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 hidden="1" x14ac:dyDescent="0.25">
      <c r="A1733" t="s">
        <v>303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41016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 hidden="1" x14ac:dyDescent="0.25">
      <c r="A1734" t="s">
        <v>304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41023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 hidden="1" x14ac:dyDescent="0.25">
      <c r="A1735" t="s">
        <v>305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41002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 hidden="1" x14ac:dyDescent="0.25">
      <c r="A1736" t="s">
        <v>306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41009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 hidden="1" x14ac:dyDescent="0.25">
      <c r="A1737" t="s">
        <v>307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41016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 hidden="1" x14ac:dyDescent="0.25">
      <c r="A1738" t="s">
        <v>308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41023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 hidden="1" x14ac:dyDescent="0.25">
      <c r="A1739" t="s">
        <v>309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41002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 hidden="1" x14ac:dyDescent="0.25">
      <c r="A1740" t="s">
        <v>310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41009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 hidden="1" x14ac:dyDescent="0.25">
      <c r="A1741" t="s">
        <v>311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41016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 hidden="1" x14ac:dyDescent="0.25">
      <c r="A1742" t="s">
        <v>312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41023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 hidden="1" x14ac:dyDescent="0.25">
      <c r="A1743" t="s">
        <v>313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41002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 hidden="1" x14ac:dyDescent="0.25">
      <c r="A1744" t="s">
        <v>314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41009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 hidden="1" x14ac:dyDescent="0.25">
      <c r="A1745" t="s">
        <v>315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41016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 hidden="1" x14ac:dyDescent="0.25">
      <c r="A1746" t="s">
        <v>316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41023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 hidden="1" x14ac:dyDescent="0.25">
      <c r="A1747" t="s">
        <v>317</v>
      </c>
      <c r="B1747" t="s">
        <v>25</v>
      </c>
      <c r="C1747" t="s">
        <v>131</v>
      </c>
      <c r="D1747" t="s">
        <v>104</v>
      </c>
      <c r="E1747" s="1" t="s">
        <v>72</v>
      </c>
      <c r="F1747">
        <v>1</v>
      </c>
      <c r="G1747" s="1">
        <v>41002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125</v>
      </c>
      <c r="O1747" t="s">
        <v>73</v>
      </c>
      <c r="P1747" t="s">
        <v>74</v>
      </c>
    </row>
    <row r="1748" spans="1:16" hidden="1" x14ac:dyDescent="0.25">
      <c r="A1748" t="s">
        <v>318</v>
      </c>
      <c r="B1748" t="s">
        <v>25</v>
      </c>
      <c r="C1748" t="s">
        <v>131</v>
      </c>
      <c r="D1748" t="s">
        <v>104</v>
      </c>
      <c r="E1748" s="1" t="s">
        <v>72</v>
      </c>
      <c r="F1748">
        <v>1</v>
      </c>
      <c r="G1748" s="1">
        <v>41009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 hidden="1" x14ac:dyDescent="0.25">
      <c r="A1749" t="s">
        <v>319</v>
      </c>
      <c r="B1749" t="s">
        <v>25</v>
      </c>
      <c r="C1749" t="s">
        <v>131</v>
      </c>
      <c r="D1749" t="s">
        <v>104</v>
      </c>
      <c r="E1749" s="1" t="s">
        <v>72</v>
      </c>
      <c r="F1749">
        <v>1</v>
      </c>
      <c r="G1749" s="1">
        <v>41016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 hidden="1" x14ac:dyDescent="0.25">
      <c r="A1750" t="s">
        <v>320</v>
      </c>
      <c r="B1750" t="s">
        <v>25</v>
      </c>
      <c r="C1750" t="s">
        <v>131</v>
      </c>
      <c r="D1750" t="s">
        <v>104</v>
      </c>
      <c r="E1750" s="1" t="s">
        <v>72</v>
      </c>
      <c r="F1750">
        <v>1</v>
      </c>
      <c r="G1750" s="1">
        <v>41023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 hidden="1" x14ac:dyDescent="0.25">
      <c r="A1751" t="s">
        <v>321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41002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 hidden="1" x14ac:dyDescent="0.25">
      <c r="A1752" t="s">
        <v>322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41009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 hidden="1" x14ac:dyDescent="0.25">
      <c r="A1753" t="s">
        <v>323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41016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 hidden="1" x14ac:dyDescent="0.25">
      <c r="A1754" t="s">
        <v>324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41023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 hidden="1" x14ac:dyDescent="0.25">
      <c r="A1755" t="s">
        <v>325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41002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 hidden="1" x14ac:dyDescent="0.25">
      <c r="A1756" t="s">
        <v>326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41009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 hidden="1" x14ac:dyDescent="0.25">
      <c r="A1757" t="s">
        <v>327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41016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 hidden="1" x14ac:dyDescent="0.25">
      <c r="A1758" t="s">
        <v>328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41023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329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41002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 hidden="1" x14ac:dyDescent="0.25">
      <c r="A1760" t="s">
        <v>330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41009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 hidden="1" x14ac:dyDescent="0.25">
      <c r="A1761" t="s">
        <v>331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41016</v>
      </c>
      <c r="H1761">
        <v>16</v>
      </c>
      <c r="I1761">
        <v>2016</v>
      </c>
      <c r="J1761" t="s">
        <v>1685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 hidden="1" x14ac:dyDescent="0.25">
      <c r="A1762" t="s">
        <v>332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41023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1685</v>
      </c>
      <c r="P1762" t="s">
        <v>73</v>
      </c>
    </row>
    <row r="1763" spans="1:16" hidden="1" x14ac:dyDescent="0.25">
      <c r="A1763" t="s">
        <v>333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41002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 hidden="1" x14ac:dyDescent="0.25">
      <c r="A1764" t="s">
        <v>334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41009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 hidden="1" x14ac:dyDescent="0.25">
      <c r="A1765" t="s">
        <v>335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41016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 hidden="1" x14ac:dyDescent="0.25">
      <c r="A1766" t="s">
        <v>336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41023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 hidden="1" x14ac:dyDescent="0.25">
      <c r="A1767" t="s">
        <v>337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41002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 hidden="1" x14ac:dyDescent="0.25">
      <c r="A1768" t="s">
        <v>338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41009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339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41016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 hidden="1" x14ac:dyDescent="0.25">
      <c r="A1770" t="s">
        <v>340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41023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 hidden="1" x14ac:dyDescent="0.25">
      <c r="A1771" t="s">
        <v>341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41002</v>
      </c>
      <c r="H1771">
        <v>14</v>
      </c>
      <c r="I1771">
        <v>2016</v>
      </c>
      <c r="J1771" t="s">
        <v>73</v>
      </c>
      <c r="K1771" t="s">
        <v>125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 hidden="1" x14ac:dyDescent="0.25">
      <c r="A1772" t="s">
        <v>342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41009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 hidden="1" x14ac:dyDescent="0.25">
      <c r="A1773" t="s">
        <v>343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41016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 hidden="1" x14ac:dyDescent="0.25">
      <c r="A1774" t="s">
        <v>344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41023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 hidden="1" x14ac:dyDescent="0.25">
      <c r="A1775" t="s">
        <v>345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41002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 hidden="1" x14ac:dyDescent="0.25">
      <c r="A1776" t="s">
        <v>346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41009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 hidden="1" x14ac:dyDescent="0.25">
      <c r="A1777" t="s">
        <v>347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41016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348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41023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 hidden="1" x14ac:dyDescent="0.25">
      <c r="A1779" t="s">
        <v>349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41002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 hidden="1" x14ac:dyDescent="0.25">
      <c r="A1780" t="s">
        <v>350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41009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 hidden="1" x14ac:dyDescent="0.25">
      <c r="A1781" t="s">
        <v>351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41016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 hidden="1" x14ac:dyDescent="0.25">
      <c r="A1782" t="s">
        <v>352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41023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 hidden="1" x14ac:dyDescent="0.25">
      <c r="A1783" t="s">
        <v>353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41002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 hidden="1" x14ac:dyDescent="0.25">
      <c r="A1784" t="s">
        <v>354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41009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 hidden="1" x14ac:dyDescent="0.25">
      <c r="A1785" t="s">
        <v>355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41016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 hidden="1" x14ac:dyDescent="0.25">
      <c r="A1786" t="s">
        <v>356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41023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 hidden="1" x14ac:dyDescent="0.25">
      <c r="A1787" t="s">
        <v>357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41002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 hidden="1" x14ac:dyDescent="0.25">
      <c r="A1788" t="s">
        <v>358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41009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 hidden="1" x14ac:dyDescent="0.25">
      <c r="A1789" t="s">
        <v>359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41016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 hidden="1" x14ac:dyDescent="0.25">
      <c r="A1790" t="s">
        <v>360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41023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 hidden="1" x14ac:dyDescent="0.25">
      <c r="A1791" t="s">
        <v>361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41002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 hidden="1" x14ac:dyDescent="0.25">
      <c r="A1792" t="s">
        <v>362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41009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 hidden="1" x14ac:dyDescent="0.25">
      <c r="A1793" t="s">
        <v>363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41016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 hidden="1" x14ac:dyDescent="0.25">
      <c r="A1794" t="s">
        <v>364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41023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 hidden="1" x14ac:dyDescent="0.25">
      <c r="A1795" t="s">
        <v>365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41002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 hidden="1" x14ac:dyDescent="0.25">
      <c r="A1796" t="s">
        <v>366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41009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 hidden="1" x14ac:dyDescent="0.25">
      <c r="A1797" t="s">
        <v>367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41016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 hidden="1" x14ac:dyDescent="0.25">
      <c r="A1798" t="s">
        <v>368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41023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 hidden="1" x14ac:dyDescent="0.25">
      <c r="A1799" t="s">
        <v>369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41002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 hidden="1" x14ac:dyDescent="0.25">
      <c r="A1800" t="s">
        <v>370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41009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 hidden="1" x14ac:dyDescent="0.25">
      <c r="A1801" t="s">
        <v>371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41016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 hidden="1" x14ac:dyDescent="0.25">
      <c r="A1802" t="s">
        <v>372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41023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 hidden="1" x14ac:dyDescent="0.25">
      <c r="A1803" t="s">
        <v>373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41002</v>
      </c>
      <c r="H1803">
        <v>14</v>
      </c>
      <c r="I1803">
        <v>2016</v>
      </c>
      <c r="J1803" t="s">
        <v>73</v>
      </c>
      <c r="K1803" t="s">
        <v>125</v>
      </c>
      <c r="L1803" t="s">
        <v>125</v>
      </c>
      <c r="M1803" t="s">
        <v>73</v>
      </c>
      <c r="N1803" t="s">
        <v>125</v>
      </c>
      <c r="O1803" t="s">
        <v>75</v>
      </c>
      <c r="P1803" t="s">
        <v>73</v>
      </c>
    </row>
    <row r="1804" spans="1:16" hidden="1" x14ac:dyDescent="0.25">
      <c r="A1804" t="s">
        <v>374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41009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 hidden="1" x14ac:dyDescent="0.25">
      <c r="A1805" t="s">
        <v>375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41016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 hidden="1" x14ac:dyDescent="0.25">
      <c r="A1806" t="s">
        <v>376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41023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 hidden="1" x14ac:dyDescent="0.25">
      <c r="A1807" t="s">
        <v>377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41002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 hidden="1" x14ac:dyDescent="0.25">
      <c r="A1808" t="s">
        <v>378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41009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 hidden="1" x14ac:dyDescent="0.25">
      <c r="A1809" t="s">
        <v>379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41016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 hidden="1" x14ac:dyDescent="0.25">
      <c r="A1810" t="s">
        <v>380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41023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381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41002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 hidden="1" x14ac:dyDescent="0.25">
      <c r="A1812" t="s">
        <v>382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41009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 hidden="1" x14ac:dyDescent="0.25">
      <c r="A1813" t="s">
        <v>383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41016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 hidden="1" x14ac:dyDescent="0.25">
      <c r="A1814" t="s">
        <v>384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41023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 hidden="1" x14ac:dyDescent="0.25">
      <c r="A1815" t="s">
        <v>385</v>
      </c>
      <c r="B1815" t="s">
        <v>23</v>
      </c>
      <c r="C1815" t="s">
        <v>55</v>
      </c>
      <c r="D1815" t="s">
        <v>126</v>
      </c>
      <c r="E1815" s="1" t="s">
        <v>72</v>
      </c>
      <c r="F1815">
        <v>1</v>
      </c>
      <c r="G1815" s="1">
        <v>41002</v>
      </c>
      <c r="H1815">
        <v>14</v>
      </c>
      <c r="I1815">
        <v>2016</v>
      </c>
      <c r="J1815" t="s">
        <v>127</v>
      </c>
      <c r="K1815" t="s">
        <v>127</v>
      </c>
      <c r="L1815" t="s">
        <v>127</v>
      </c>
      <c r="M1815" t="s">
        <v>127</v>
      </c>
      <c r="N1815" t="s">
        <v>95</v>
      </c>
      <c r="O1815" t="s">
        <v>91</v>
      </c>
      <c r="P1815" t="s">
        <v>95</v>
      </c>
    </row>
    <row r="1816" spans="1:16" hidden="1" x14ac:dyDescent="0.25">
      <c r="A1816" t="s">
        <v>386</v>
      </c>
      <c r="B1816" t="s">
        <v>23</v>
      </c>
      <c r="C1816" t="s">
        <v>55</v>
      </c>
      <c r="D1816" t="s">
        <v>126</v>
      </c>
      <c r="E1816" s="1" t="s">
        <v>72</v>
      </c>
      <c r="F1816">
        <v>1</v>
      </c>
      <c r="G1816" s="1">
        <v>41009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 hidden="1" x14ac:dyDescent="0.25">
      <c r="A1817" t="s">
        <v>387</v>
      </c>
      <c r="B1817" t="s">
        <v>23</v>
      </c>
      <c r="C1817" t="s">
        <v>55</v>
      </c>
      <c r="D1817" t="s">
        <v>126</v>
      </c>
      <c r="E1817" s="1" t="s">
        <v>72</v>
      </c>
      <c r="F1817">
        <v>1</v>
      </c>
      <c r="G1817" s="1">
        <v>41016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 hidden="1" x14ac:dyDescent="0.25">
      <c r="A1818" t="s">
        <v>388</v>
      </c>
      <c r="B1818" t="s">
        <v>23</v>
      </c>
      <c r="C1818" t="s">
        <v>55</v>
      </c>
      <c r="D1818" t="s">
        <v>126</v>
      </c>
      <c r="E1818" s="1" t="s">
        <v>72</v>
      </c>
      <c r="F1818">
        <v>1</v>
      </c>
      <c r="G1818" s="1">
        <v>41023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 hidden="1" x14ac:dyDescent="0.25">
      <c r="A1819" t="s">
        <v>389</v>
      </c>
      <c r="B1819" t="s">
        <v>56</v>
      </c>
      <c r="C1819" t="s">
        <v>57</v>
      </c>
      <c r="D1819" t="s">
        <v>128</v>
      </c>
      <c r="E1819" s="1" t="s">
        <v>72</v>
      </c>
      <c r="F1819">
        <v>1</v>
      </c>
      <c r="G1819" s="1">
        <v>41002</v>
      </c>
      <c r="H1819">
        <v>14</v>
      </c>
      <c r="I1819">
        <v>2016</v>
      </c>
      <c r="J1819" t="s">
        <v>127</v>
      </c>
      <c r="K1819" t="s">
        <v>127</v>
      </c>
      <c r="L1819" t="s">
        <v>127</v>
      </c>
      <c r="M1819" t="s">
        <v>127</v>
      </c>
      <c r="N1819" t="s">
        <v>95</v>
      </c>
      <c r="O1819" t="s">
        <v>95</v>
      </c>
      <c r="P1819" t="s">
        <v>91</v>
      </c>
    </row>
    <row r="1820" spans="1:16" hidden="1" x14ac:dyDescent="0.25">
      <c r="A1820" t="s">
        <v>390</v>
      </c>
      <c r="B1820" t="s">
        <v>56</v>
      </c>
      <c r="C1820" t="s">
        <v>57</v>
      </c>
      <c r="D1820" t="s">
        <v>128</v>
      </c>
      <c r="E1820" s="1" t="s">
        <v>72</v>
      </c>
      <c r="F1820">
        <v>1</v>
      </c>
      <c r="G1820" s="1">
        <v>41009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 hidden="1" x14ac:dyDescent="0.25">
      <c r="A1821" t="s">
        <v>391</v>
      </c>
      <c r="B1821" t="s">
        <v>56</v>
      </c>
      <c r="C1821" t="s">
        <v>57</v>
      </c>
      <c r="D1821" t="s">
        <v>128</v>
      </c>
      <c r="E1821" s="1" t="s">
        <v>72</v>
      </c>
      <c r="F1821">
        <v>1</v>
      </c>
      <c r="G1821" s="1">
        <v>41016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 hidden="1" x14ac:dyDescent="0.25">
      <c r="A1822" t="s">
        <v>392</v>
      </c>
      <c r="B1822" t="s">
        <v>56</v>
      </c>
      <c r="C1822" t="s">
        <v>57</v>
      </c>
      <c r="D1822" t="s">
        <v>128</v>
      </c>
      <c r="E1822" s="1" t="s">
        <v>72</v>
      </c>
      <c r="F1822">
        <v>1</v>
      </c>
      <c r="G1822" s="1">
        <v>41023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 hidden="1" x14ac:dyDescent="0.25">
      <c r="A1823" t="s">
        <v>393</v>
      </c>
      <c r="B1823" t="s">
        <v>58</v>
      </c>
      <c r="C1823" t="s">
        <v>59</v>
      </c>
      <c r="D1823" t="s">
        <v>129</v>
      </c>
      <c r="E1823" s="1" t="s">
        <v>72</v>
      </c>
      <c r="F1823">
        <v>1</v>
      </c>
      <c r="G1823" s="1">
        <v>41002</v>
      </c>
      <c r="H1823">
        <v>14</v>
      </c>
      <c r="I1823">
        <v>2016</v>
      </c>
      <c r="J1823" t="s">
        <v>127</v>
      </c>
      <c r="K1823" t="s">
        <v>127</v>
      </c>
      <c r="L1823" t="s">
        <v>127</v>
      </c>
      <c r="M1823" t="s">
        <v>127</v>
      </c>
      <c r="N1823" t="s">
        <v>91</v>
      </c>
      <c r="O1823" t="s">
        <v>95</v>
      </c>
      <c r="P1823" t="s">
        <v>95</v>
      </c>
    </row>
    <row r="1824" spans="1:16" hidden="1" x14ac:dyDescent="0.25">
      <c r="A1824" t="s">
        <v>394</v>
      </c>
      <c r="B1824" t="s">
        <v>58</v>
      </c>
      <c r="C1824" t="s">
        <v>59</v>
      </c>
      <c r="D1824" t="s">
        <v>129</v>
      </c>
      <c r="E1824" s="1" t="s">
        <v>72</v>
      </c>
      <c r="F1824">
        <v>1</v>
      </c>
      <c r="G1824" s="1">
        <v>41009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 hidden="1" x14ac:dyDescent="0.25">
      <c r="A1825" t="s">
        <v>395</v>
      </c>
      <c r="B1825" t="s">
        <v>58</v>
      </c>
      <c r="C1825" t="s">
        <v>59</v>
      </c>
      <c r="D1825" t="s">
        <v>129</v>
      </c>
      <c r="E1825" s="1" t="s">
        <v>72</v>
      </c>
      <c r="F1825">
        <v>1</v>
      </c>
      <c r="G1825" s="1">
        <v>41016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 hidden="1" x14ac:dyDescent="0.25">
      <c r="A1826" t="s">
        <v>396</v>
      </c>
      <c r="B1826" t="s">
        <v>58</v>
      </c>
      <c r="C1826" t="s">
        <v>59</v>
      </c>
      <c r="D1826" t="s">
        <v>129</v>
      </c>
      <c r="E1826" s="1" t="s">
        <v>72</v>
      </c>
      <c r="F1826">
        <v>1</v>
      </c>
      <c r="G1826" s="1">
        <v>41023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 hidden="1" x14ac:dyDescent="0.25">
      <c r="A1827" t="s">
        <v>397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41030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 hidden="1" x14ac:dyDescent="0.25">
      <c r="A1828" t="s">
        <v>398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41037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 hidden="1" x14ac:dyDescent="0.25">
      <c r="A1829" t="s">
        <v>399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41044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 hidden="1" x14ac:dyDescent="0.25">
      <c r="A1830" t="s">
        <v>400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41051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 hidden="1" x14ac:dyDescent="0.25">
      <c r="A1831" t="s">
        <v>401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41058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 hidden="1" x14ac:dyDescent="0.25">
      <c r="A1832" t="s">
        <v>402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41030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 hidden="1" x14ac:dyDescent="0.25">
      <c r="A1833" t="s">
        <v>403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41037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 hidden="1" x14ac:dyDescent="0.25">
      <c r="A1834" t="s">
        <v>404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41044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 hidden="1" x14ac:dyDescent="0.25">
      <c r="A1835" t="s">
        <v>405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41051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 hidden="1" x14ac:dyDescent="0.25">
      <c r="A1836" t="s">
        <v>406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41058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 hidden="1" x14ac:dyDescent="0.25">
      <c r="A1837" t="s">
        <v>407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41030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 hidden="1" x14ac:dyDescent="0.25">
      <c r="A1838" t="s">
        <v>408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41037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 hidden="1" x14ac:dyDescent="0.25">
      <c r="A1839" t="s">
        <v>409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41044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 hidden="1" x14ac:dyDescent="0.25">
      <c r="A1840" t="s">
        <v>410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41051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 hidden="1" x14ac:dyDescent="0.25">
      <c r="A1841" t="s">
        <v>411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41058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 hidden="1" x14ac:dyDescent="0.25">
      <c r="A1842" t="s">
        <v>412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41030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 hidden="1" x14ac:dyDescent="0.25">
      <c r="A1843" t="s">
        <v>413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41037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 hidden="1" x14ac:dyDescent="0.25">
      <c r="A1844" t="s">
        <v>414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41044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 hidden="1" x14ac:dyDescent="0.25">
      <c r="A1845" t="s">
        <v>415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41051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 hidden="1" x14ac:dyDescent="0.25">
      <c r="A1846" t="s">
        <v>416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41058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 hidden="1" x14ac:dyDescent="0.25">
      <c r="A1847" t="s">
        <v>417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41030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 hidden="1" x14ac:dyDescent="0.25">
      <c r="A1848" t="s">
        <v>418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41037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 hidden="1" x14ac:dyDescent="0.25">
      <c r="A1849" t="s">
        <v>419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41044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 hidden="1" x14ac:dyDescent="0.25">
      <c r="A1850" t="s">
        <v>420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41051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 hidden="1" x14ac:dyDescent="0.25">
      <c r="A1851" t="s">
        <v>421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41058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 hidden="1" x14ac:dyDescent="0.25">
      <c r="A1852" t="s">
        <v>422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41030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 hidden="1" x14ac:dyDescent="0.25">
      <c r="A1853" t="s">
        <v>423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41037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1685</v>
      </c>
      <c r="N1853" t="s">
        <v>95</v>
      </c>
      <c r="O1853" t="s">
        <v>95</v>
      </c>
      <c r="P1853" t="s">
        <v>91</v>
      </c>
    </row>
    <row r="1854" spans="1:16" hidden="1" x14ac:dyDescent="0.25">
      <c r="A1854" t="s">
        <v>424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41044</v>
      </c>
      <c r="H1854">
        <v>20</v>
      </c>
      <c r="I1854">
        <v>2016</v>
      </c>
      <c r="J1854" t="s">
        <v>95</v>
      </c>
      <c r="K1854" t="s">
        <v>73</v>
      </c>
      <c r="L1854" t="s">
        <v>1685</v>
      </c>
      <c r="M1854" t="s">
        <v>95</v>
      </c>
      <c r="N1854" t="s">
        <v>91</v>
      </c>
      <c r="O1854" t="s">
        <v>95</v>
      </c>
      <c r="P1854" t="s">
        <v>92</v>
      </c>
    </row>
    <row r="1855" spans="1:16" hidden="1" x14ac:dyDescent="0.25">
      <c r="A1855" t="s">
        <v>425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41051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1685</v>
      </c>
      <c r="P1855" t="s">
        <v>73</v>
      </c>
    </row>
    <row r="1856" spans="1:16" hidden="1" x14ac:dyDescent="0.25">
      <c r="A1856" t="s">
        <v>426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41058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 hidden="1" x14ac:dyDescent="0.25">
      <c r="A1857" t="s">
        <v>427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41030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 hidden="1" x14ac:dyDescent="0.25">
      <c r="A1858" t="s">
        <v>428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41037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 hidden="1" x14ac:dyDescent="0.25">
      <c r="A1859" t="s">
        <v>429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41044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 hidden="1" x14ac:dyDescent="0.25">
      <c r="A1860" t="s">
        <v>430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41051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 hidden="1" x14ac:dyDescent="0.25">
      <c r="A1861" t="s">
        <v>431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41058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A1862" t="s">
        <v>432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41030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 hidden="1" x14ac:dyDescent="0.25">
      <c r="A1863" t="s">
        <v>433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41037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 hidden="1" x14ac:dyDescent="0.25">
      <c r="A1864" t="s">
        <v>434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41044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 hidden="1" x14ac:dyDescent="0.25">
      <c r="A1865" t="s">
        <v>435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41051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 hidden="1" x14ac:dyDescent="0.25">
      <c r="A1866" t="s">
        <v>436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41058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 hidden="1" x14ac:dyDescent="0.25">
      <c r="A1867" t="s">
        <v>437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41030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 hidden="1" x14ac:dyDescent="0.25">
      <c r="A1868" t="s">
        <v>438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41037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 hidden="1" x14ac:dyDescent="0.25">
      <c r="A1869" t="s">
        <v>439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41044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A1870" t="s">
        <v>440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41051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 hidden="1" x14ac:dyDescent="0.25">
      <c r="A1871" t="s">
        <v>441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41058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 hidden="1" x14ac:dyDescent="0.25">
      <c r="A1872" t="s">
        <v>442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41030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 hidden="1" x14ac:dyDescent="0.25">
      <c r="A1873" t="s">
        <v>443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41037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 hidden="1" x14ac:dyDescent="0.25">
      <c r="A1874" t="s">
        <v>444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41044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 hidden="1" x14ac:dyDescent="0.25">
      <c r="A1875" t="s">
        <v>445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41051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 hidden="1" x14ac:dyDescent="0.25">
      <c r="A1876" t="s">
        <v>446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41058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 hidden="1" x14ac:dyDescent="0.25">
      <c r="A1877" t="s">
        <v>447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41030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 hidden="1" x14ac:dyDescent="0.25">
      <c r="A1878" t="s">
        <v>448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41037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 hidden="1" x14ac:dyDescent="0.25">
      <c r="A1879" t="s">
        <v>449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41044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 hidden="1" x14ac:dyDescent="0.25">
      <c r="A1880" t="s">
        <v>450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41051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 hidden="1" x14ac:dyDescent="0.25">
      <c r="A1881" t="s">
        <v>451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41058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 hidden="1" x14ac:dyDescent="0.25">
      <c r="A1882" t="s">
        <v>452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41030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 hidden="1" x14ac:dyDescent="0.25">
      <c r="A1883" t="s">
        <v>453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41037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 hidden="1" x14ac:dyDescent="0.25">
      <c r="A1884" t="s">
        <v>454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41044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 hidden="1" x14ac:dyDescent="0.25">
      <c r="A1885" t="s">
        <v>455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41051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 hidden="1" x14ac:dyDescent="0.25">
      <c r="A1886" t="s">
        <v>456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41058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 hidden="1" x14ac:dyDescent="0.25">
      <c r="A1887" t="s">
        <v>457</v>
      </c>
      <c r="B1887" t="s">
        <v>23</v>
      </c>
      <c r="C1887" t="s">
        <v>55</v>
      </c>
      <c r="D1887" t="s">
        <v>126</v>
      </c>
      <c r="E1887" s="1" t="s">
        <v>72</v>
      </c>
      <c r="F1887">
        <v>1</v>
      </c>
      <c r="G1887" s="1">
        <v>41030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 hidden="1" x14ac:dyDescent="0.25">
      <c r="A1888" t="s">
        <v>458</v>
      </c>
      <c r="B1888" t="s">
        <v>23</v>
      </c>
      <c r="C1888" t="s">
        <v>55</v>
      </c>
      <c r="D1888" t="s">
        <v>126</v>
      </c>
      <c r="E1888" s="1" t="s">
        <v>72</v>
      </c>
      <c r="F1888">
        <v>1</v>
      </c>
      <c r="G1888" s="1">
        <v>41037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 hidden="1" x14ac:dyDescent="0.25">
      <c r="A1889" t="s">
        <v>459</v>
      </c>
      <c r="B1889" t="s">
        <v>23</v>
      </c>
      <c r="C1889" t="s">
        <v>55</v>
      </c>
      <c r="D1889" t="s">
        <v>126</v>
      </c>
      <c r="E1889" s="1" t="s">
        <v>72</v>
      </c>
      <c r="F1889">
        <v>1</v>
      </c>
      <c r="G1889" s="1">
        <v>41044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 hidden="1" x14ac:dyDescent="0.25">
      <c r="A1890" t="s">
        <v>460</v>
      </c>
      <c r="B1890" t="s">
        <v>23</v>
      </c>
      <c r="C1890" t="s">
        <v>55</v>
      </c>
      <c r="D1890" t="s">
        <v>126</v>
      </c>
      <c r="E1890" s="1" t="s">
        <v>72</v>
      </c>
      <c r="F1890">
        <v>1</v>
      </c>
      <c r="G1890" s="1">
        <v>41051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 hidden="1" x14ac:dyDescent="0.25">
      <c r="A1891" t="s">
        <v>461</v>
      </c>
      <c r="B1891" t="s">
        <v>23</v>
      </c>
      <c r="C1891" t="s">
        <v>55</v>
      </c>
      <c r="D1891" t="s">
        <v>126</v>
      </c>
      <c r="E1891" s="1" t="s">
        <v>72</v>
      </c>
      <c r="F1891">
        <v>3</v>
      </c>
      <c r="G1891" s="1">
        <v>41058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 hidden="1" x14ac:dyDescent="0.25">
      <c r="A1892" t="s">
        <v>462</v>
      </c>
      <c r="B1892" t="s">
        <v>25</v>
      </c>
      <c r="C1892" t="s">
        <v>131</v>
      </c>
      <c r="D1892" t="s">
        <v>104</v>
      </c>
      <c r="E1892" s="1" t="s">
        <v>72</v>
      </c>
      <c r="F1892">
        <v>1</v>
      </c>
      <c r="G1892" s="1">
        <v>41030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 hidden="1" x14ac:dyDescent="0.25">
      <c r="A1893" t="s">
        <v>463</v>
      </c>
      <c r="B1893" t="s">
        <v>25</v>
      </c>
      <c r="C1893" t="s">
        <v>131</v>
      </c>
      <c r="D1893" t="s">
        <v>104</v>
      </c>
      <c r="E1893" s="1" t="s">
        <v>72</v>
      </c>
      <c r="F1893">
        <v>1</v>
      </c>
      <c r="G1893" s="1">
        <v>41037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 hidden="1" x14ac:dyDescent="0.25">
      <c r="A1894" t="s">
        <v>464</v>
      </c>
      <c r="B1894" t="s">
        <v>25</v>
      </c>
      <c r="C1894" t="s">
        <v>131</v>
      </c>
      <c r="D1894" t="s">
        <v>104</v>
      </c>
      <c r="E1894" s="1" t="s">
        <v>72</v>
      </c>
      <c r="F1894">
        <v>1</v>
      </c>
      <c r="G1894" s="1">
        <v>41044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 hidden="1" x14ac:dyDescent="0.25">
      <c r="A1895" t="s">
        <v>465</v>
      </c>
      <c r="B1895" t="s">
        <v>25</v>
      </c>
      <c r="C1895" t="s">
        <v>131</v>
      </c>
      <c r="D1895" t="s">
        <v>104</v>
      </c>
      <c r="E1895" s="1" t="s">
        <v>72</v>
      </c>
      <c r="F1895">
        <v>1</v>
      </c>
      <c r="G1895" s="1">
        <v>41051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 hidden="1" x14ac:dyDescent="0.25">
      <c r="A1896" t="s">
        <v>466</v>
      </c>
      <c r="B1896" t="s">
        <v>25</v>
      </c>
      <c r="C1896" t="s">
        <v>131</v>
      </c>
      <c r="D1896" t="s">
        <v>104</v>
      </c>
      <c r="E1896" s="1" t="s">
        <v>72</v>
      </c>
      <c r="F1896">
        <v>5</v>
      </c>
      <c r="G1896" s="1">
        <v>41058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 hidden="1" x14ac:dyDescent="0.25">
      <c r="A1897" t="s">
        <v>467</v>
      </c>
      <c r="B1897" t="s">
        <v>56</v>
      </c>
      <c r="C1897" t="s">
        <v>57</v>
      </c>
      <c r="D1897" t="s">
        <v>128</v>
      </c>
      <c r="E1897" s="1" t="s">
        <v>72</v>
      </c>
      <c r="F1897">
        <v>1</v>
      </c>
      <c r="G1897" s="1">
        <v>41030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 hidden="1" x14ac:dyDescent="0.25">
      <c r="A1898" t="s">
        <v>468</v>
      </c>
      <c r="B1898" t="s">
        <v>56</v>
      </c>
      <c r="C1898" t="s">
        <v>57</v>
      </c>
      <c r="D1898" t="s">
        <v>128</v>
      </c>
      <c r="E1898" s="1" t="s">
        <v>72</v>
      </c>
      <c r="F1898">
        <v>1</v>
      </c>
      <c r="G1898" s="1">
        <v>41037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 hidden="1" x14ac:dyDescent="0.25">
      <c r="A1899" t="s">
        <v>469</v>
      </c>
      <c r="B1899" t="s">
        <v>56</v>
      </c>
      <c r="C1899" t="s">
        <v>57</v>
      </c>
      <c r="D1899" t="s">
        <v>128</v>
      </c>
      <c r="E1899" s="1" t="s">
        <v>72</v>
      </c>
      <c r="F1899">
        <v>1</v>
      </c>
      <c r="G1899" s="1">
        <v>41044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 hidden="1" x14ac:dyDescent="0.25">
      <c r="A1900" t="s">
        <v>470</v>
      </c>
      <c r="B1900" t="s">
        <v>56</v>
      </c>
      <c r="C1900" t="s">
        <v>57</v>
      </c>
      <c r="D1900" t="s">
        <v>128</v>
      </c>
      <c r="E1900" s="1" t="s">
        <v>72</v>
      </c>
      <c r="F1900">
        <v>1</v>
      </c>
      <c r="G1900" s="1">
        <v>41051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 hidden="1" x14ac:dyDescent="0.25">
      <c r="A1901" t="s">
        <v>471</v>
      </c>
      <c r="B1901" t="s">
        <v>56</v>
      </c>
      <c r="C1901" t="s">
        <v>57</v>
      </c>
      <c r="D1901" t="s">
        <v>128</v>
      </c>
      <c r="E1901" s="1" t="s">
        <v>78</v>
      </c>
      <c r="F1901">
        <v>6</v>
      </c>
      <c r="G1901" s="1">
        <v>41058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 hidden="1" x14ac:dyDescent="0.25">
      <c r="A1902" t="s">
        <v>472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41030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 hidden="1" x14ac:dyDescent="0.25">
      <c r="A1903" t="s">
        <v>473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41037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 hidden="1" x14ac:dyDescent="0.25">
      <c r="A1904" t="s">
        <v>474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41044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 hidden="1" x14ac:dyDescent="0.25">
      <c r="A1905" t="s">
        <v>475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41051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 hidden="1" x14ac:dyDescent="0.25">
      <c r="A1906" t="s">
        <v>476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41058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 hidden="1" x14ac:dyDescent="0.25">
      <c r="A1907" t="s">
        <v>477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41030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 hidden="1" x14ac:dyDescent="0.25">
      <c r="A1908" t="s">
        <v>478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41037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479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41044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 hidden="1" x14ac:dyDescent="0.25">
      <c r="A1910" t="s">
        <v>480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41051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 hidden="1" x14ac:dyDescent="0.25">
      <c r="A1911" t="s">
        <v>481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41058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 hidden="1" x14ac:dyDescent="0.25">
      <c r="A1912" t="s">
        <v>482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41030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 hidden="1" x14ac:dyDescent="0.25">
      <c r="A1913" t="s">
        <v>483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41037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1685</v>
      </c>
      <c r="P1913" t="s">
        <v>95</v>
      </c>
    </row>
    <row r="1914" spans="1:16" hidden="1" x14ac:dyDescent="0.25">
      <c r="A1914" t="s">
        <v>484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41044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1685</v>
      </c>
      <c r="P1914" t="s">
        <v>95</v>
      </c>
    </row>
    <row r="1915" spans="1:16" hidden="1" x14ac:dyDescent="0.25">
      <c r="A1915" t="s">
        <v>485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41051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 hidden="1" x14ac:dyDescent="0.25">
      <c r="A1916" t="s">
        <v>486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41058</v>
      </c>
      <c r="H1916">
        <v>22</v>
      </c>
      <c r="I1916">
        <v>2016</v>
      </c>
      <c r="J1916" t="s">
        <v>73</v>
      </c>
      <c r="K1916" t="s">
        <v>1685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 hidden="1" x14ac:dyDescent="0.25">
      <c r="A1917" t="s">
        <v>487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41030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 hidden="1" x14ac:dyDescent="0.25">
      <c r="A1918" t="s">
        <v>488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41037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 hidden="1" x14ac:dyDescent="0.25">
      <c r="A1919" t="s">
        <v>489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41044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 hidden="1" x14ac:dyDescent="0.25">
      <c r="A1920" t="s">
        <v>490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41051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 hidden="1" x14ac:dyDescent="0.25">
      <c r="A1921" t="s">
        <v>491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41058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 hidden="1" x14ac:dyDescent="0.25">
      <c r="A1922" t="s">
        <v>492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41030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 hidden="1" x14ac:dyDescent="0.25">
      <c r="A1923" t="s">
        <v>493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41037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 hidden="1" x14ac:dyDescent="0.25">
      <c r="A1924" t="s">
        <v>494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 hidden="1" x14ac:dyDescent="0.25">
      <c r="A1925" t="s">
        <v>495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41051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 hidden="1" x14ac:dyDescent="0.25">
      <c r="A1926" t="s">
        <v>496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41058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 hidden="1" x14ac:dyDescent="0.25">
      <c r="A1927" t="s">
        <v>497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41030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 hidden="1" x14ac:dyDescent="0.25">
      <c r="A1928" t="s">
        <v>498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41037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499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41044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 hidden="1" x14ac:dyDescent="0.25">
      <c r="A1930" t="s">
        <v>500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41051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 hidden="1" x14ac:dyDescent="0.25">
      <c r="A1931" t="s">
        <v>501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41058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 hidden="1" x14ac:dyDescent="0.25">
      <c r="A1932" t="s">
        <v>502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41030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 hidden="1" x14ac:dyDescent="0.25">
      <c r="A1933" t="s">
        <v>503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41037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 hidden="1" x14ac:dyDescent="0.25">
      <c r="A1934" t="s">
        <v>504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41044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 hidden="1" x14ac:dyDescent="0.25">
      <c r="A1935" t="s">
        <v>505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41051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 hidden="1" x14ac:dyDescent="0.25">
      <c r="A1936" t="s">
        <v>506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41058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 hidden="1" x14ac:dyDescent="0.25">
      <c r="A1937" t="s">
        <v>507</v>
      </c>
      <c r="B1937" t="s">
        <v>58</v>
      </c>
      <c r="C1937" t="s">
        <v>59</v>
      </c>
      <c r="D1937" t="s">
        <v>129</v>
      </c>
      <c r="E1937" s="1" t="s">
        <v>72</v>
      </c>
      <c r="F1937">
        <v>1</v>
      </c>
      <c r="G1937" s="1">
        <v>41030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 hidden="1" x14ac:dyDescent="0.25">
      <c r="A1938" t="s">
        <v>508</v>
      </c>
      <c r="B1938" t="s">
        <v>58</v>
      </c>
      <c r="C1938" t="s">
        <v>59</v>
      </c>
      <c r="D1938" t="s">
        <v>129</v>
      </c>
      <c r="E1938" s="1" t="s">
        <v>72</v>
      </c>
      <c r="F1938">
        <v>1</v>
      </c>
      <c r="G1938" s="1">
        <v>41037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 hidden="1" x14ac:dyDescent="0.25">
      <c r="A1939" t="s">
        <v>509</v>
      </c>
      <c r="B1939" t="s">
        <v>58</v>
      </c>
      <c r="C1939" t="s">
        <v>59</v>
      </c>
      <c r="D1939" t="s">
        <v>129</v>
      </c>
      <c r="E1939" s="1" t="s">
        <v>72</v>
      </c>
      <c r="F1939">
        <v>1</v>
      </c>
      <c r="G1939" s="1">
        <v>41044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 hidden="1" x14ac:dyDescent="0.25">
      <c r="A1940" t="s">
        <v>510</v>
      </c>
      <c r="B1940" t="s">
        <v>58</v>
      </c>
      <c r="C1940" t="s">
        <v>59</v>
      </c>
      <c r="D1940" t="s">
        <v>129</v>
      </c>
      <c r="E1940" s="1" t="s">
        <v>72</v>
      </c>
      <c r="F1940">
        <v>1</v>
      </c>
      <c r="G1940" s="1">
        <v>41051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 hidden="1" x14ac:dyDescent="0.25">
      <c r="A1941" t="s">
        <v>511</v>
      </c>
      <c r="B1941" t="s">
        <v>58</v>
      </c>
      <c r="C1941" t="s">
        <v>59</v>
      </c>
      <c r="D1941" t="s">
        <v>129</v>
      </c>
      <c r="E1941" s="1" t="s">
        <v>78</v>
      </c>
      <c r="F1941">
        <v>5</v>
      </c>
      <c r="G1941" s="1">
        <v>41058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 hidden="1" x14ac:dyDescent="0.25">
      <c r="A1942" t="s">
        <v>512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41030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 hidden="1" x14ac:dyDescent="0.25">
      <c r="A1943" t="s">
        <v>513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41037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 hidden="1" x14ac:dyDescent="0.25">
      <c r="A1944" t="s">
        <v>514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41044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515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41051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 hidden="1" x14ac:dyDescent="0.25">
      <c r="A1946" t="s">
        <v>516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41058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 hidden="1" x14ac:dyDescent="0.25">
      <c r="A1947" t="s">
        <v>517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41030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 hidden="1" x14ac:dyDescent="0.25">
      <c r="A1948" t="s">
        <v>518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41037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 hidden="1" x14ac:dyDescent="0.25">
      <c r="A1949" t="s">
        <v>519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41044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 hidden="1" x14ac:dyDescent="0.25">
      <c r="A1950" t="s">
        <v>520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41051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 hidden="1" x14ac:dyDescent="0.25">
      <c r="A1951" t="s">
        <v>521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41058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 hidden="1" x14ac:dyDescent="0.25">
      <c r="A1952" t="s">
        <v>522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41030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 hidden="1" x14ac:dyDescent="0.25">
      <c r="A1953" t="s">
        <v>523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41037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 hidden="1" x14ac:dyDescent="0.25">
      <c r="A1954" t="s">
        <v>524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41044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 hidden="1" x14ac:dyDescent="0.25">
      <c r="A1955" t="s">
        <v>525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41051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 hidden="1" x14ac:dyDescent="0.25">
      <c r="A1956" t="s">
        <v>526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41058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 hidden="1" x14ac:dyDescent="0.25">
      <c r="A1957" t="s">
        <v>527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41030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 hidden="1" x14ac:dyDescent="0.25">
      <c r="A1958" t="s">
        <v>528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41037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529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41044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 hidden="1" x14ac:dyDescent="0.25">
      <c r="A1960" t="s">
        <v>530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41051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 hidden="1" x14ac:dyDescent="0.25">
      <c r="A1961" t="s">
        <v>531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41058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 hidden="1" x14ac:dyDescent="0.25">
      <c r="A1962" t="s">
        <v>532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41030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 hidden="1" x14ac:dyDescent="0.25">
      <c r="A1963" t="s">
        <v>533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41037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 hidden="1" x14ac:dyDescent="0.25">
      <c r="A1964" t="s">
        <v>534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41044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 hidden="1" x14ac:dyDescent="0.25">
      <c r="A1965" t="s">
        <v>535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41051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 hidden="1" x14ac:dyDescent="0.25">
      <c r="A1966" t="s">
        <v>536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41058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 hidden="1" x14ac:dyDescent="0.25">
      <c r="A1967" t="s">
        <v>537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41030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 hidden="1" x14ac:dyDescent="0.25">
      <c r="A1968" t="s">
        <v>538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41037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 hidden="1" x14ac:dyDescent="0.25">
      <c r="A1969" t="s">
        <v>539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41044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 hidden="1" x14ac:dyDescent="0.25">
      <c r="A1970" t="s">
        <v>540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41051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 hidden="1" x14ac:dyDescent="0.25">
      <c r="A1971" t="s">
        <v>541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41058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 hidden="1" x14ac:dyDescent="0.25">
      <c r="A1972" t="s">
        <v>542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41030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 hidden="1" x14ac:dyDescent="0.25">
      <c r="A1973" t="s">
        <v>543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41037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 hidden="1" x14ac:dyDescent="0.25">
      <c r="A1974" t="s">
        <v>544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41044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 hidden="1" x14ac:dyDescent="0.25">
      <c r="A1975" t="s">
        <v>545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41051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 hidden="1" x14ac:dyDescent="0.25">
      <c r="A1976" t="s">
        <v>546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41058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 hidden="1" x14ac:dyDescent="0.25">
      <c r="A1977" t="s">
        <v>547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41030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 hidden="1" x14ac:dyDescent="0.25">
      <c r="A1978" t="s">
        <v>548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41037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 hidden="1" x14ac:dyDescent="0.25">
      <c r="A1979" t="s">
        <v>549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41044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 hidden="1" x14ac:dyDescent="0.25">
      <c r="A1980" t="s">
        <v>550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41051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 hidden="1" x14ac:dyDescent="0.25">
      <c r="A1981" t="s">
        <v>551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41058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 hidden="1" x14ac:dyDescent="0.25">
      <c r="A1982" t="s">
        <v>552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41030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 hidden="1" x14ac:dyDescent="0.25">
      <c r="A1983" t="s">
        <v>553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41037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 hidden="1" x14ac:dyDescent="0.25">
      <c r="A1984" t="s">
        <v>554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41044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 hidden="1" x14ac:dyDescent="0.25">
      <c r="A1985" t="s">
        <v>555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41051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 hidden="1" x14ac:dyDescent="0.25">
      <c r="A1986" t="s">
        <v>556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41058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 hidden="1" x14ac:dyDescent="0.25">
      <c r="A1987" t="s">
        <v>557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41065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 hidden="1" x14ac:dyDescent="0.25">
      <c r="A1988" t="s">
        <v>558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41072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 hidden="1" x14ac:dyDescent="0.25">
      <c r="A1989" t="s">
        <v>559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41079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 hidden="1" x14ac:dyDescent="0.25">
      <c r="A1990" t="s">
        <v>560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41086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 hidden="1" x14ac:dyDescent="0.25">
      <c r="A1991" t="s">
        <v>561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41065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 hidden="1" x14ac:dyDescent="0.25">
      <c r="A1992" t="s">
        <v>562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41072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 hidden="1" x14ac:dyDescent="0.25">
      <c r="A1993" t="s">
        <v>563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41079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 hidden="1" x14ac:dyDescent="0.25">
      <c r="A1994" t="s">
        <v>564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41086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 hidden="1" x14ac:dyDescent="0.25">
      <c r="A1995" t="s">
        <v>565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41065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 hidden="1" x14ac:dyDescent="0.25">
      <c r="A1996" t="s">
        <v>566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41072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 hidden="1" x14ac:dyDescent="0.25">
      <c r="A1997" t="s">
        <v>567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41079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 hidden="1" x14ac:dyDescent="0.25">
      <c r="A1998" t="s">
        <v>568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41086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 hidden="1" x14ac:dyDescent="0.25">
      <c r="A1999" t="s">
        <v>569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41065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 hidden="1" x14ac:dyDescent="0.25">
      <c r="A2000" t="s">
        <v>570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41072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 hidden="1" x14ac:dyDescent="0.25">
      <c r="A2001" t="s">
        <v>571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41079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 hidden="1" x14ac:dyDescent="0.25">
      <c r="A2002" t="s">
        <v>572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41086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 hidden="1" x14ac:dyDescent="0.25">
      <c r="A2003" t="s">
        <v>573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41065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 hidden="1" x14ac:dyDescent="0.25">
      <c r="A2004" t="s">
        <v>574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41072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 hidden="1" x14ac:dyDescent="0.25">
      <c r="A2005" t="s">
        <v>575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41079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 hidden="1" x14ac:dyDescent="0.25">
      <c r="A2006" t="s">
        <v>576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41086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 hidden="1" x14ac:dyDescent="0.25">
      <c r="A2007" t="s">
        <v>577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41065</v>
      </c>
      <c r="H2007">
        <v>23</v>
      </c>
      <c r="I2007">
        <v>2016</v>
      </c>
      <c r="J2007" t="s">
        <v>1685</v>
      </c>
      <c r="K2007" t="s">
        <v>1685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 hidden="1" x14ac:dyDescent="0.25">
      <c r="A2008" t="s">
        <v>578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41072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 hidden="1" x14ac:dyDescent="0.25">
      <c r="A2009" t="s">
        <v>579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41079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 hidden="1" x14ac:dyDescent="0.25">
      <c r="A2010" t="s">
        <v>580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41086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 hidden="1" x14ac:dyDescent="0.25">
      <c r="A2011" t="s">
        <v>581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41065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 hidden="1" x14ac:dyDescent="0.25">
      <c r="A2012" t="s">
        <v>582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41072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 hidden="1" x14ac:dyDescent="0.25">
      <c r="A2013" t="s">
        <v>583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41079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 hidden="1" x14ac:dyDescent="0.25">
      <c r="A2014" t="s">
        <v>584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41086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 hidden="1" x14ac:dyDescent="0.25">
      <c r="A2015" t="s">
        <v>585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41065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 hidden="1" x14ac:dyDescent="0.25">
      <c r="A2016" t="s">
        <v>586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41072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 hidden="1" x14ac:dyDescent="0.25">
      <c r="A2017" t="s">
        <v>587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41079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 hidden="1" x14ac:dyDescent="0.25">
      <c r="A2018" t="s">
        <v>588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41086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 hidden="1" x14ac:dyDescent="0.25">
      <c r="A2019" t="s">
        <v>589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41065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590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41072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591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41079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592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41086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 hidden="1" x14ac:dyDescent="0.25">
      <c r="A2023" t="s">
        <v>593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41065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 hidden="1" x14ac:dyDescent="0.25">
      <c r="A2024" t="s">
        <v>594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41072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 hidden="1" x14ac:dyDescent="0.25">
      <c r="A2025" t="s">
        <v>595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41079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 hidden="1" x14ac:dyDescent="0.25">
      <c r="A2026" t="s">
        <v>596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41086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 hidden="1" x14ac:dyDescent="0.25">
      <c r="A2027" t="s">
        <v>597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41065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 hidden="1" x14ac:dyDescent="0.25">
      <c r="A2028" t="s">
        <v>598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41072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 hidden="1" x14ac:dyDescent="0.25">
      <c r="A2029" t="s">
        <v>599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41079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 hidden="1" x14ac:dyDescent="0.25">
      <c r="A2030" t="s">
        <v>600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41086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 hidden="1" x14ac:dyDescent="0.25">
      <c r="A2031" t="s">
        <v>601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41065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 hidden="1" x14ac:dyDescent="0.25">
      <c r="A2032" t="s">
        <v>602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41072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 hidden="1" x14ac:dyDescent="0.25">
      <c r="A2033" t="s">
        <v>603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41079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604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41086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 hidden="1" x14ac:dyDescent="0.25">
      <c r="A2035" t="s">
        <v>605</v>
      </c>
      <c r="B2035" t="s">
        <v>23</v>
      </c>
      <c r="C2035" t="s">
        <v>55</v>
      </c>
      <c r="D2035" t="s">
        <v>126</v>
      </c>
      <c r="E2035" s="1" t="s">
        <v>72</v>
      </c>
      <c r="F2035">
        <v>9999</v>
      </c>
      <c r="G2035" s="1">
        <v>41065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606</v>
      </c>
      <c r="B2036" t="s">
        <v>23</v>
      </c>
      <c r="C2036" t="s">
        <v>55</v>
      </c>
      <c r="D2036" t="s">
        <v>126</v>
      </c>
      <c r="E2036" s="1" t="s">
        <v>72</v>
      </c>
      <c r="F2036">
        <v>9999</v>
      </c>
      <c r="G2036" s="1">
        <v>41072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607</v>
      </c>
      <c r="B2037" t="s">
        <v>23</v>
      </c>
      <c r="C2037" t="s">
        <v>55</v>
      </c>
      <c r="D2037" t="s">
        <v>126</v>
      </c>
      <c r="E2037" s="1" t="s">
        <v>72</v>
      </c>
      <c r="F2037">
        <v>9999</v>
      </c>
      <c r="G2037" s="1">
        <v>41079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608</v>
      </c>
      <c r="B2038" t="s">
        <v>25</v>
      </c>
      <c r="C2038" t="s">
        <v>131</v>
      </c>
      <c r="D2038" t="s">
        <v>104</v>
      </c>
      <c r="E2038" s="1" t="s">
        <v>72</v>
      </c>
      <c r="F2038">
        <v>9999</v>
      </c>
      <c r="G2038" s="1">
        <v>41065</v>
      </c>
      <c r="H2038">
        <v>23</v>
      </c>
      <c r="I2038">
        <v>2016</v>
      </c>
      <c r="J2038" t="s">
        <v>77</v>
      </c>
      <c r="K2038" t="s">
        <v>73</v>
      </c>
      <c r="L2038" t="s">
        <v>130</v>
      </c>
      <c r="M2038" t="s">
        <v>74</v>
      </c>
      <c r="N2038" t="s">
        <v>74</v>
      </c>
      <c r="O2038" t="s">
        <v>75</v>
      </c>
      <c r="P2038" t="s">
        <v>74</v>
      </c>
    </row>
    <row r="2039" spans="1:16" hidden="1" x14ac:dyDescent="0.25">
      <c r="A2039" t="s">
        <v>609</v>
      </c>
      <c r="B2039" t="s">
        <v>25</v>
      </c>
      <c r="C2039" t="s">
        <v>131</v>
      </c>
      <c r="D2039" t="s">
        <v>104</v>
      </c>
      <c r="E2039" s="1" t="s">
        <v>72</v>
      </c>
      <c r="F2039">
        <v>9999</v>
      </c>
      <c r="G2039" s="1">
        <v>41072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 hidden="1" x14ac:dyDescent="0.25">
      <c r="A2040" t="s">
        <v>610</v>
      </c>
      <c r="B2040" t="s">
        <v>25</v>
      </c>
      <c r="C2040" t="s">
        <v>131</v>
      </c>
      <c r="D2040" t="s">
        <v>104</v>
      </c>
      <c r="E2040" s="1" t="s">
        <v>72</v>
      </c>
      <c r="F2040">
        <v>9999</v>
      </c>
      <c r="G2040" s="1">
        <v>41079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 hidden="1" x14ac:dyDescent="0.25">
      <c r="A2041" t="s">
        <v>611</v>
      </c>
      <c r="B2041" t="s">
        <v>25</v>
      </c>
      <c r="C2041" t="s">
        <v>131</v>
      </c>
      <c r="D2041" t="s">
        <v>104</v>
      </c>
      <c r="E2041" s="1" t="s">
        <v>72</v>
      </c>
      <c r="F2041">
        <v>9</v>
      </c>
      <c r="G2041" s="1">
        <v>41086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 hidden="1" x14ac:dyDescent="0.25">
      <c r="A2042" t="s">
        <v>612</v>
      </c>
      <c r="B2042" t="s">
        <v>56</v>
      </c>
      <c r="C2042" t="s">
        <v>57</v>
      </c>
      <c r="D2042" t="s">
        <v>128</v>
      </c>
      <c r="E2042" s="1" t="s">
        <v>72</v>
      </c>
      <c r="F2042">
        <v>9999</v>
      </c>
      <c r="G2042" s="1">
        <v>41065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 hidden="1" x14ac:dyDescent="0.25">
      <c r="A2043" t="s">
        <v>613</v>
      </c>
      <c r="B2043" t="s">
        <v>56</v>
      </c>
      <c r="C2043" t="s">
        <v>57</v>
      </c>
      <c r="D2043" t="s">
        <v>128</v>
      </c>
      <c r="E2043" s="1" t="s">
        <v>72</v>
      </c>
      <c r="F2043">
        <v>9999</v>
      </c>
      <c r="G2043" s="1">
        <v>41072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 hidden="1" x14ac:dyDescent="0.25">
      <c r="A2044" t="s">
        <v>614</v>
      </c>
      <c r="B2044" t="s">
        <v>56</v>
      </c>
      <c r="C2044" t="s">
        <v>57</v>
      </c>
      <c r="D2044" t="s">
        <v>128</v>
      </c>
      <c r="E2044" s="1" t="s">
        <v>72</v>
      </c>
      <c r="F2044">
        <v>9999</v>
      </c>
      <c r="G2044" s="1">
        <v>41079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 hidden="1" x14ac:dyDescent="0.25">
      <c r="A2045" t="s">
        <v>615</v>
      </c>
      <c r="B2045" t="s">
        <v>56</v>
      </c>
      <c r="C2045" t="s">
        <v>57</v>
      </c>
      <c r="D2045" t="s">
        <v>128</v>
      </c>
      <c r="E2045" s="1" t="s">
        <v>78</v>
      </c>
      <c r="F2045">
        <v>4</v>
      </c>
      <c r="G2045" s="1">
        <v>41086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 hidden="1" x14ac:dyDescent="0.25">
      <c r="A2046" t="s">
        <v>616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41065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 hidden="1" x14ac:dyDescent="0.25">
      <c r="A2047" t="s">
        <v>617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41072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 hidden="1" x14ac:dyDescent="0.25">
      <c r="A2048" t="s">
        <v>618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41079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 hidden="1" x14ac:dyDescent="0.25">
      <c r="A2049" t="s">
        <v>619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41086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624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41065</v>
      </c>
      <c r="H2054">
        <v>23</v>
      </c>
      <c r="I2054">
        <v>2016</v>
      </c>
      <c r="J2054" t="s">
        <v>92</v>
      </c>
      <c r="K2054" t="s">
        <v>1685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 hidden="1" x14ac:dyDescent="0.25">
      <c r="A2055" t="s">
        <v>625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41072</v>
      </c>
      <c r="H2055">
        <v>24</v>
      </c>
      <c r="I2055">
        <v>2016</v>
      </c>
      <c r="J2055" t="s">
        <v>1685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 hidden="1" x14ac:dyDescent="0.25">
      <c r="A2056" t="s">
        <v>626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41079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 hidden="1" x14ac:dyDescent="0.25">
      <c r="A2057" t="s">
        <v>627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41086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 hidden="1" x14ac:dyDescent="0.25">
      <c r="A2058" t="s">
        <v>628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41065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 hidden="1" x14ac:dyDescent="0.25">
      <c r="A2059" t="s">
        <v>629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41072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 hidden="1" x14ac:dyDescent="0.25">
      <c r="A2060" t="s">
        <v>630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41079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 hidden="1" x14ac:dyDescent="0.25">
      <c r="A2061" t="s">
        <v>631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41086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 hidden="1" x14ac:dyDescent="0.25">
      <c r="A2062" t="s">
        <v>632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41065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 hidden="1" x14ac:dyDescent="0.25">
      <c r="A2063" t="s">
        <v>633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41072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 hidden="1" x14ac:dyDescent="0.25">
      <c r="A2064" t="s">
        <v>634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41079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 hidden="1" x14ac:dyDescent="0.25">
      <c r="A2065" t="s">
        <v>635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41086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 hidden="1" x14ac:dyDescent="0.25">
      <c r="A2066" t="s">
        <v>636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41065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 hidden="1" x14ac:dyDescent="0.25">
      <c r="A2067" t="s">
        <v>637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41072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 hidden="1" x14ac:dyDescent="0.25">
      <c r="A2068" t="s">
        <v>638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41079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 hidden="1" x14ac:dyDescent="0.25">
      <c r="A2069" t="s">
        <v>639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41086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 hidden="1" x14ac:dyDescent="0.25">
      <c r="A2070" t="s">
        <v>640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41065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 hidden="1" x14ac:dyDescent="0.25">
      <c r="A2071" t="s">
        <v>641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41072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 hidden="1" x14ac:dyDescent="0.25">
      <c r="A2072" t="s">
        <v>642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41079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643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41086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 hidden="1" x14ac:dyDescent="0.25">
      <c r="A2074" t="s">
        <v>644</v>
      </c>
      <c r="B2074" t="s">
        <v>58</v>
      </c>
      <c r="C2074" t="s">
        <v>59</v>
      </c>
      <c r="D2074" t="s">
        <v>129</v>
      </c>
      <c r="E2074" s="1" t="s">
        <v>72</v>
      </c>
      <c r="F2074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 hidden="1" x14ac:dyDescent="0.25">
      <c r="A2075" t="s">
        <v>645</v>
      </c>
      <c r="B2075" t="s">
        <v>58</v>
      </c>
      <c r="C2075" t="s">
        <v>59</v>
      </c>
      <c r="D2075" t="s">
        <v>129</v>
      </c>
      <c r="E2075" s="1" t="s">
        <v>72</v>
      </c>
      <c r="F2075">
        <v>9999</v>
      </c>
      <c r="G2075" s="1">
        <v>41072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 hidden="1" x14ac:dyDescent="0.25">
      <c r="A2076" t="s">
        <v>646</v>
      </c>
      <c r="B2076" t="s">
        <v>58</v>
      </c>
      <c r="C2076" t="s">
        <v>59</v>
      </c>
      <c r="D2076" t="s">
        <v>129</v>
      </c>
      <c r="E2076" s="1" t="s">
        <v>72</v>
      </c>
      <c r="F2076">
        <v>9999</v>
      </c>
      <c r="G2076" s="1">
        <v>41079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 hidden="1" x14ac:dyDescent="0.25">
      <c r="A2077" t="s">
        <v>647</v>
      </c>
      <c r="B2077" t="s">
        <v>58</v>
      </c>
      <c r="C2077" t="s">
        <v>59</v>
      </c>
      <c r="D2077" t="s">
        <v>129</v>
      </c>
      <c r="E2077" s="1" t="s">
        <v>78</v>
      </c>
      <c r="F2077">
        <v>3</v>
      </c>
      <c r="G2077" s="1">
        <v>41086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 hidden="1" x14ac:dyDescent="0.25">
      <c r="A2078" t="s">
        <v>648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41065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 hidden="1" x14ac:dyDescent="0.25">
      <c r="A2079" t="s">
        <v>649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41072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 hidden="1" x14ac:dyDescent="0.25">
      <c r="A2080" t="s">
        <v>650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41079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 hidden="1" x14ac:dyDescent="0.25">
      <c r="A2081" t="s">
        <v>651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41086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 hidden="1" x14ac:dyDescent="0.25">
      <c r="A2082" t="s">
        <v>652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41065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 hidden="1" x14ac:dyDescent="0.25">
      <c r="A2083" t="s">
        <v>653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41072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 hidden="1" x14ac:dyDescent="0.25">
      <c r="A2084" t="s">
        <v>654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41079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 hidden="1" x14ac:dyDescent="0.25">
      <c r="A2085" t="s">
        <v>655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41086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 hidden="1" x14ac:dyDescent="0.25">
      <c r="A2086" t="s">
        <v>656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41065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 hidden="1" x14ac:dyDescent="0.25">
      <c r="A2087" t="s">
        <v>657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41072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 hidden="1" x14ac:dyDescent="0.25">
      <c r="A2088" t="s">
        <v>658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41079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 hidden="1" x14ac:dyDescent="0.25">
      <c r="A2089" t="s">
        <v>659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41086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 hidden="1" x14ac:dyDescent="0.25">
      <c r="A2090" t="s">
        <v>660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41065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 hidden="1" x14ac:dyDescent="0.25">
      <c r="A2091" t="s">
        <v>661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41072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 hidden="1" x14ac:dyDescent="0.25">
      <c r="A2092" t="s">
        <v>662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41079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 hidden="1" x14ac:dyDescent="0.25">
      <c r="A2093" t="s">
        <v>663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41086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 hidden="1" x14ac:dyDescent="0.25">
      <c r="A2094" t="s">
        <v>664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41065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 hidden="1" x14ac:dyDescent="0.25">
      <c r="A2095" t="s">
        <v>665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41072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 hidden="1" x14ac:dyDescent="0.25">
      <c r="A2096" t="s">
        <v>666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41079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 hidden="1" x14ac:dyDescent="0.25">
      <c r="A2097" t="s">
        <v>667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41086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 hidden="1" x14ac:dyDescent="0.25">
      <c r="A2098" t="s">
        <v>668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41065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 hidden="1" x14ac:dyDescent="0.25">
      <c r="A2099" t="s">
        <v>669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41072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 hidden="1" x14ac:dyDescent="0.25">
      <c r="A2100" t="s">
        <v>670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41079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 hidden="1" x14ac:dyDescent="0.25">
      <c r="A2101" t="s">
        <v>671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41086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 hidden="1" x14ac:dyDescent="0.25">
      <c r="A2102" t="s">
        <v>672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41065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 hidden="1" x14ac:dyDescent="0.25">
      <c r="A2103" t="s">
        <v>673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41072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 hidden="1" x14ac:dyDescent="0.25">
      <c r="A2104" t="s">
        <v>674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41079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 hidden="1" x14ac:dyDescent="0.25">
      <c r="A2105" t="s">
        <v>675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41086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 hidden="1" x14ac:dyDescent="0.25">
      <c r="A2106" t="s">
        <v>676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41065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 hidden="1" x14ac:dyDescent="0.25">
      <c r="A2107" t="s">
        <v>677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41072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A2108" t="s">
        <v>678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41079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 hidden="1" x14ac:dyDescent="0.25">
      <c r="A2109" t="s">
        <v>679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41086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 hidden="1" x14ac:dyDescent="0.25">
      <c r="A2110" t="s">
        <v>680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41065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 hidden="1" x14ac:dyDescent="0.25">
      <c r="A2111" t="s">
        <v>681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41072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 hidden="1" x14ac:dyDescent="0.25">
      <c r="A2112" t="s">
        <v>682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41079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 hidden="1" x14ac:dyDescent="0.25">
      <c r="A2113" t="s">
        <v>683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41086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 hidden="1" x14ac:dyDescent="0.25">
      <c r="A2114" t="s">
        <v>684</v>
      </c>
      <c r="B2114" t="s">
        <v>23</v>
      </c>
      <c r="C2114" t="s">
        <v>55</v>
      </c>
      <c r="D2114" t="s">
        <v>126</v>
      </c>
      <c r="E2114" s="1" t="s">
        <v>72</v>
      </c>
      <c r="F2114">
        <v>1</v>
      </c>
      <c r="G2114" s="1">
        <v>41086</v>
      </c>
      <c r="H2114">
        <v>26</v>
      </c>
      <c r="I2114">
        <v>2016</v>
      </c>
    </row>
    <row r="2115" spans="1:16" hidden="1" x14ac:dyDescent="0.25">
      <c r="A2115" t="s">
        <v>685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41093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 hidden="1" x14ac:dyDescent="0.25">
      <c r="A2116" t="s">
        <v>686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41100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 hidden="1" x14ac:dyDescent="0.25">
      <c r="A2117" t="s">
        <v>687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41107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 hidden="1" x14ac:dyDescent="0.25">
      <c r="A2118" t="s">
        <v>688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41114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 hidden="1" x14ac:dyDescent="0.25">
      <c r="A2119" t="s">
        <v>689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41093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 hidden="1" x14ac:dyDescent="0.25">
      <c r="A2120" t="s">
        <v>690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41100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 hidden="1" x14ac:dyDescent="0.25">
      <c r="A2121" t="s">
        <v>691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41107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 hidden="1" x14ac:dyDescent="0.25">
      <c r="A2122" t="s">
        <v>692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41114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 hidden="1" x14ac:dyDescent="0.25">
      <c r="A2123" t="s">
        <v>693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41093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 hidden="1" x14ac:dyDescent="0.25">
      <c r="A2124" t="s">
        <v>694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41100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 hidden="1" x14ac:dyDescent="0.25">
      <c r="A2125" t="s">
        <v>695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41107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 hidden="1" x14ac:dyDescent="0.25">
      <c r="A2126" t="s">
        <v>696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41114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 hidden="1" x14ac:dyDescent="0.25">
      <c r="A2127" t="s">
        <v>697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41093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 hidden="1" x14ac:dyDescent="0.25">
      <c r="A2128" t="s">
        <v>698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41100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 hidden="1" x14ac:dyDescent="0.25">
      <c r="A2129" t="s">
        <v>699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41107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 hidden="1" x14ac:dyDescent="0.25">
      <c r="A2130" t="s">
        <v>700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41114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 hidden="1" x14ac:dyDescent="0.25">
      <c r="A2131" t="s">
        <v>701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41093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 hidden="1" x14ac:dyDescent="0.25">
      <c r="A2132" t="s">
        <v>702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41100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 hidden="1" x14ac:dyDescent="0.25">
      <c r="A2133" t="s">
        <v>703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41107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 hidden="1" x14ac:dyDescent="0.25">
      <c r="A2134" t="s">
        <v>704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41114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 hidden="1" x14ac:dyDescent="0.25">
      <c r="A2135" t="s">
        <v>705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41093</v>
      </c>
      <c r="H2135">
        <v>27</v>
      </c>
      <c r="I2135">
        <v>2016</v>
      </c>
      <c r="J2135" t="s">
        <v>73</v>
      </c>
      <c r="K2135" t="s">
        <v>1685</v>
      </c>
      <c r="L2135" t="s">
        <v>75</v>
      </c>
      <c r="M2135" t="s">
        <v>74</v>
      </c>
      <c r="N2135" t="s">
        <v>1685</v>
      </c>
      <c r="O2135" t="s">
        <v>92</v>
      </c>
      <c r="P2135" t="s">
        <v>73</v>
      </c>
    </row>
    <row r="2136" spans="1:16" hidden="1" x14ac:dyDescent="0.25">
      <c r="A2136" t="s">
        <v>706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41100</v>
      </c>
      <c r="H2136">
        <v>28</v>
      </c>
      <c r="I2136">
        <v>2016</v>
      </c>
      <c r="J2136" t="s">
        <v>74</v>
      </c>
      <c r="K2136" t="s">
        <v>1685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 hidden="1" x14ac:dyDescent="0.25">
      <c r="A2137" t="s">
        <v>707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41107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 hidden="1" x14ac:dyDescent="0.25">
      <c r="A2138" t="s">
        <v>708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41114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 hidden="1" x14ac:dyDescent="0.25">
      <c r="A2139" t="s">
        <v>709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41093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710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41100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 hidden="1" x14ac:dyDescent="0.25">
      <c r="A2141" t="s">
        <v>711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41107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 hidden="1" x14ac:dyDescent="0.25">
      <c r="A2142" t="s">
        <v>712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41114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713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41093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 hidden="1" x14ac:dyDescent="0.25">
      <c r="A2144" t="s">
        <v>714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41100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 hidden="1" x14ac:dyDescent="0.25">
      <c r="A2145" t="s">
        <v>715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41107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 hidden="1" x14ac:dyDescent="0.25">
      <c r="A2146" t="s">
        <v>716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41114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 hidden="1" x14ac:dyDescent="0.25">
      <c r="A2147" t="s">
        <v>717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41093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 hidden="1" x14ac:dyDescent="0.25">
      <c r="A2148" t="s">
        <v>718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41100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 hidden="1" x14ac:dyDescent="0.25">
      <c r="A2149" t="s">
        <v>719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41107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 hidden="1" x14ac:dyDescent="0.25">
      <c r="A2150" t="s">
        <v>720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41114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 hidden="1" x14ac:dyDescent="0.25">
      <c r="A2151" t="s">
        <v>721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41093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 hidden="1" x14ac:dyDescent="0.25">
      <c r="A2152" t="s">
        <v>722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41100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 hidden="1" x14ac:dyDescent="0.25">
      <c r="A2153" t="s">
        <v>723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41107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 hidden="1" x14ac:dyDescent="0.25">
      <c r="A2154" t="s">
        <v>724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41114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 hidden="1" x14ac:dyDescent="0.25">
      <c r="A2155" t="s">
        <v>725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41093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 hidden="1" x14ac:dyDescent="0.25">
      <c r="A2156" t="s">
        <v>726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41100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 hidden="1" x14ac:dyDescent="0.25">
      <c r="A2157" t="s">
        <v>727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41107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 hidden="1" x14ac:dyDescent="0.25">
      <c r="A2158" t="s">
        <v>728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41114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 hidden="1" x14ac:dyDescent="0.25">
      <c r="A2159" t="s">
        <v>729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41093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 hidden="1" x14ac:dyDescent="0.25">
      <c r="A2160" t="s">
        <v>730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41100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 hidden="1" x14ac:dyDescent="0.25">
      <c r="A2161" t="s">
        <v>731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41107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 hidden="1" x14ac:dyDescent="0.25">
      <c r="A2162" t="s">
        <v>732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41114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 hidden="1" x14ac:dyDescent="0.25">
      <c r="A2163" t="s">
        <v>733</v>
      </c>
      <c r="B2163" t="s">
        <v>23</v>
      </c>
      <c r="C2163" t="s">
        <v>55</v>
      </c>
      <c r="D2163" t="s">
        <v>126</v>
      </c>
      <c r="E2163" s="1" t="s">
        <v>72</v>
      </c>
      <c r="F2163">
        <v>9999</v>
      </c>
      <c r="G2163" s="1">
        <v>41093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 hidden="1" x14ac:dyDescent="0.25">
      <c r="A2164" t="s">
        <v>734</v>
      </c>
      <c r="B2164" t="s">
        <v>23</v>
      </c>
      <c r="C2164" t="s">
        <v>55</v>
      </c>
      <c r="D2164" t="s">
        <v>126</v>
      </c>
      <c r="E2164" s="1" t="s">
        <v>72</v>
      </c>
      <c r="F2164">
        <v>9999</v>
      </c>
      <c r="G2164" s="1">
        <v>41100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 hidden="1" x14ac:dyDescent="0.25">
      <c r="A2165" t="s">
        <v>735</v>
      </c>
      <c r="B2165" t="s">
        <v>23</v>
      </c>
      <c r="C2165" t="s">
        <v>55</v>
      </c>
      <c r="D2165" t="s">
        <v>126</v>
      </c>
      <c r="E2165" s="1" t="s">
        <v>72</v>
      </c>
      <c r="F2165">
        <v>9999</v>
      </c>
      <c r="G2165" s="1">
        <v>41107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 hidden="1" x14ac:dyDescent="0.25">
      <c r="A2166" t="s">
        <v>736</v>
      </c>
      <c r="B2166" t="s">
        <v>23</v>
      </c>
      <c r="C2166" t="s">
        <v>55</v>
      </c>
      <c r="D2166" t="s">
        <v>126</v>
      </c>
      <c r="E2166" s="1" t="s">
        <v>72</v>
      </c>
      <c r="F2166">
        <v>5</v>
      </c>
      <c r="G2166" s="1">
        <v>41114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 hidden="1" x14ac:dyDescent="0.25">
      <c r="A2167" t="s">
        <v>737</v>
      </c>
      <c r="B2167" t="s">
        <v>25</v>
      </c>
      <c r="C2167" t="s">
        <v>131</v>
      </c>
      <c r="D2167" t="s">
        <v>104</v>
      </c>
      <c r="E2167" s="1" t="s">
        <v>72</v>
      </c>
      <c r="F2167">
        <v>9999</v>
      </c>
      <c r="G2167" s="1">
        <v>41093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 hidden="1" x14ac:dyDescent="0.25">
      <c r="A2168" t="s">
        <v>738</v>
      </c>
      <c r="B2168" t="s">
        <v>25</v>
      </c>
      <c r="C2168" t="s">
        <v>131</v>
      </c>
      <c r="D2168" t="s">
        <v>104</v>
      </c>
      <c r="E2168" s="1" t="s">
        <v>72</v>
      </c>
      <c r="F2168">
        <v>9999</v>
      </c>
      <c r="G2168" s="1">
        <v>41100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 hidden="1" x14ac:dyDescent="0.25">
      <c r="A2169" t="s">
        <v>739</v>
      </c>
      <c r="B2169" t="s">
        <v>25</v>
      </c>
      <c r="C2169" t="s">
        <v>131</v>
      </c>
      <c r="D2169" t="s">
        <v>104</v>
      </c>
      <c r="E2169" s="1" t="s">
        <v>72</v>
      </c>
      <c r="F2169">
        <v>9999</v>
      </c>
      <c r="G2169" s="1">
        <v>41107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 hidden="1" x14ac:dyDescent="0.25">
      <c r="A2170" t="s">
        <v>740</v>
      </c>
      <c r="B2170" t="s">
        <v>25</v>
      </c>
      <c r="C2170" t="s">
        <v>131</v>
      </c>
      <c r="D2170" t="s">
        <v>104</v>
      </c>
      <c r="E2170" s="1" t="s">
        <v>72</v>
      </c>
      <c r="F2170">
        <v>2</v>
      </c>
      <c r="G2170" s="1">
        <v>41114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 hidden="1" x14ac:dyDescent="0.25">
      <c r="A2171" t="s">
        <v>741</v>
      </c>
      <c r="B2171" t="s">
        <v>56</v>
      </c>
      <c r="C2171" t="s">
        <v>57</v>
      </c>
      <c r="D2171" t="s">
        <v>128</v>
      </c>
      <c r="E2171" s="1" t="s">
        <v>72</v>
      </c>
      <c r="F2171">
        <v>9999</v>
      </c>
      <c r="G2171" s="1">
        <v>41093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 hidden="1" x14ac:dyDescent="0.25">
      <c r="A2172" t="s">
        <v>742</v>
      </c>
      <c r="B2172" t="s">
        <v>56</v>
      </c>
      <c r="C2172" t="s">
        <v>57</v>
      </c>
      <c r="D2172" t="s">
        <v>128</v>
      </c>
      <c r="E2172" s="1" t="s">
        <v>72</v>
      </c>
      <c r="F2172">
        <v>9999</v>
      </c>
      <c r="G2172" s="1">
        <v>41100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743</v>
      </c>
      <c r="B2173" t="s">
        <v>56</v>
      </c>
      <c r="C2173" t="s">
        <v>57</v>
      </c>
      <c r="D2173" t="s">
        <v>128</v>
      </c>
      <c r="E2173" s="1" t="s">
        <v>72</v>
      </c>
      <c r="F2173">
        <v>9999</v>
      </c>
      <c r="G2173" s="1">
        <v>41107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 hidden="1" x14ac:dyDescent="0.25">
      <c r="A2174" t="s">
        <v>744</v>
      </c>
      <c r="B2174" t="s">
        <v>56</v>
      </c>
      <c r="C2174" t="s">
        <v>57</v>
      </c>
      <c r="D2174" t="s">
        <v>128</v>
      </c>
      <c r="E2174" s="1" t="s">
        <v>72</v>
      </c>
      <c r="F2174">
        <v>10</v>
      </c>
      <c r="G2174" s="1">
        <v>41114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 hidden="1" x14ac:dyDescent="0.25">
      <c r="A2175" t="s">
        <v>745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41093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 hidden="1" x14ac:dyDescent="0.25">
      <c r="A2176" t="s">
        <v>746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41100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 hidden="1" x14ac:dyDescent="0.25">
      <c r="A2177" t="s">
        <v>747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41107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 hidden="1" x14ac:dyDescent="0.25">
      <c r="A2178" t="s">
        <v>748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41114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 hidden="1" x14ac:dyDescent="0.25">
      <c r="A2179" t="s">
        <v>749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41093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 hidden="1" x14ac:dyDescent="0.25">
      <c r="A2180" t="s">
        <v>750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41100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 hidden="1" x14ac:dyDescent="0.25">
      <c r="A2181" t="s">
        <v>751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41107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 hidden="1" x14ac:dyDescent="0.25">
      <c r="A2182" t="s">
        <v>752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41114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 hidden="1" x14ac:dyDescent="0.25">
      <c r="A2183" t="s">
        <v>753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41093</v>
      </c>
      <c r="H2183">
        <v>27</v>
      </c>
      <c r="I2183">
        <v>2016</v>
      </c>
      <c r="J2183" t="s">
        <v>95</v>
      </c>
      <c r="K2183" t="s">
        <v>73</v>
      </c>
      <c r="L2183" t="s">
        <v>1685</v>
      </c>
      <c r="M2183" t="s">
        <v>95</v>
      </c>
      <c r="N2183" t="s">
        <v>95</v>
      </c>
      <c r="O2183" t="s">
        <v>95</v>
      </c>
      <c r="P2183" t="s">
        <v>95</v>
      </c>
    </row>
    <row r="2184" spans="1:16" hidden="1" x14ac:dyDescent="0.25">
      <c r="A2184" t="s">
        <v>754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41100</v>
      </c>
      <c r="H2184">
        <v>28</v>
      </c>
      <c r="I2184">
        <v>2016</v>
      </c>
      <c r="J2184" t="s">
        <v>73</v>
      </c>
      <c r="K2184" t="s">
        <v>1685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 hidden="1" x14ac:dyDescent="0.25">
      <c r="A2185" t="s">
        <v>755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41107</v>
      </c>
      <c r="H2185">
        <v>29</v>
      </c>
      <c r="I2185">
        <v>2016</v>
      </c>
      <c r="J2185" t="s">
        <v>74</v>
      </c>
      <c r="K2185" t="s">
        <v>1685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 hidden="1" x14ac:dyDescent="0.25">
      <c r="A2186" t="s">
        <v>756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41114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 hidden="1" x14ac:dyDescent="0.25">
      <c r="A2187" t="s">
        <v>757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41093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 hidden="1" x14ac:dyDescent="0.25">
      <c r="A2188" t="s">
        <v>758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41100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 hidden="1" x14ac:dyDescent="0.25">
      <c r="A2189" t="s">
        <v>759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41107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 hidden="1" x14ac:dyDescent="0.25">
      <c r="A2190" t="s">
        <v>760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41114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 hidden="1" x14ac:dyDescent="0.25">
      <c r="A2191" t="s">
        <v>761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41093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 hidden="1" x14ac:dyDescent="0.25">
      <c r="A2192" t="s">
        <v>762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41100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 hidden="1" x14ac:dyDescent="0.25">
      <c r="A2193" t="s">
        <v>763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41107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 hidden="1" x14ac:dyDescent="0.25">
      <c r="A2194" t="s">
        <v>764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41114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765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41093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 hidden="1" x14ac:dyDescent="0.25">
      <c r="A2196" t="s">
        <v>766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41100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 hidden="1" x14ac:dyDescent="0.25">
      <c r="A2197" t="s">
        <v>767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41107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 hidden="1" x14ac:dyDescent="0.25">
      <c r="A2198" t="s">
        <v>768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41114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 hidden="1" x14ac:dyDescent="0.25">
      <c r="A2199" t="s">
        <v>769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41093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 hidden="1" x14ac:dyDescent="0.25">
      <c r="A2200" t="s">
        <v>770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41100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 hidden="1" x14ac:dyDescent="0.25">
      <c r="A2201" t="s">
        <v>771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41107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 hidden="1" x14ac:dyDescent="0.25">
      <c r="A2202" t="s">
        <v>772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41114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 hidden="1" x14ac:dyDescent="0.25">
      <c r="A2203" t="s">
        <v>773</v>
      </c>
      <c r="B2203" t="s">
        <v>58</v>
      </c>
      <c r="C2203" t="s">
        <v>59</v>
      </c>
      <c r="D2203" t="s">
        <v>129</v>
      </c>
      <c r="E2203" s="1" t="s">
        <v>72</v>
      </c>
      <c r="F2203">
        <v>9999</v>
      </c>
      <c r="G2203" s="1">
        <v>41093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 hidden="1" x14ac:dyDescent="0.25">
      <c r="A2204" t="s">
        <v>774</v>
      </c>
      <c r="B2204" t="s">
        <v>58</v>
      </c>
      <c r="C2204" t="s">
        <v>59</v>
      </c>
      <c r="D2204" t="s">
        <v>129</v>
      </c>
      <c r="E2204" s="1" t="s">
        <v>72</v>
      </c>
      <c r="F2204">
        <v>9999</v>
      </c>
      <c r="G2204" s="1">
        <v>41100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775</v>
      </c>
      <c r="B2205" t="s">
        <v>58</v>
      </c>
      <c r="C2205" t="s">
        <v>59</v>
      </c>
      <c r="D2205" t="s">
        <v>129</v>
      </c>
      <c r="E2205" s="1" t="s">
        <v>72</v>
      </c>
      <c r="F2205">
        <v>9999</v>
      </c>
      <c r="G2205" s="1">
        <v>41107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 hidden="1" x14ac:dyDescent="0.25">
      <c r="A2206" t="s">
        <v>776</v>
      </c>
      <c r="B2206" t="s">
        <v>58</v>
      </c>
      <c r="C2206" t="s">
        <v>59</v>
      </c>
      <c r="D2206" t="s">
        <v>129</v>
      </c>
      <c r="E2206" s="1" t="s">
        <v>78</v>
      </c>
      <c r="F2206">
        <v>1</v>
      </c>
      <c r="G2206" s="1">
        <v>41114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 hidden="1" x14ac:dyDescent="0.25">
      <c r="A2207" t="s">
        <v>777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41093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 hidden="1" x14ac:dyDescent="0.25">
      <c r="A2208" t="s">
        <v>778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41100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 hidden="1" x14ac:dyDescent="0.25">
      <c r="A2209" t="s">
        <v>779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41107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 hidden="1" x14ac:dyDescent="0.25">
      <c r="A2210" t="s">
        <v>780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41114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 hidden="1" x14ac:dyDescent="0.25">
      <c r="A2211" t="s">
        <v>781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41093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 hidden="1" x14ac:dyDescent="0.25">
      <c r="A2212" t="s">
        <v>782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41100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 hidden="1" x14ac:dyDescent="0.25">
      <c r="A2213" t="s">
        <v>783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41107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 hidden="1" x14ac:dyDescent="0.25">
      <c r="A2214" t="s">
        <v>784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41114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 hidden="1" x14ac:dyDescent="0.25">
      <c r="A2215" t="s">
        <v>785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41093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 hidden="1" x14ac:dyDescent="0.25">
      <c r="A2216" t="s">
        <v>786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41100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 hidden="1" x14ac:dyDescent="0.25">
      <c r="A2217" t="s">
        <v>787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41107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 hidden="1" x14ac:dyDescent="0.25">
      <c r="A2218" t="s">
        <v>788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41114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 hidden="1" x14ac:dyDescent="0.25">
      <c r="A2219" t="s">
        <v>789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41093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 hidden="1" x14ac:dyDescent="0.25">
      <c r="A2220" t="s">
        <v>790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41100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791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41107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 hidden="1" x14ac:dyDescent="0.25">
      <c r="A2222" t="s">
        <v>792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41114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 hidden="1" x14ac:dyDescent="0.25">
      <c r="A2223" t="s">
        <v>793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41093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 hidden="1" x14ac:dyDescent="0.25">
      <c r="A2224" t="s">
        <v>794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41100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 hidden="1" x14ac:dyDescent="0.25">
      <c r="A2225" t="s">
        <v>795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41107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 hidden="1" x14ac:dyDescent="0.25">
      <c r="A2226" t="s">
        <v>796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41114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 hidden="1" x14ac:dyDescent="0.25">
      <c r="A2227" t="s">
        <v>797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41093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 hidden="1" x14ac:dyDescent="0.25">
      <c r="A2228" t="s">
        <v>798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41100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 hidden="1" x14ac:dyDescent="0.25">
      <c r="A2229" t="s">
        <v>799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41107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 hidden="1" x14ac:dyDescent="0.25">
      <c r="A2230" t="s">
        <v>800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41114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 hidden="1" x14ac:dyDescent="0.25">
      <c r="A2231" t="s">
        <v>801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41093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802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41100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803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41107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 hidden="1" x14ac:dyDescent="0.25">
      <c r="A2234" t="s">
        <v>804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41114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 hidden="1" x14ac:dyDescent="0.25">
      <c r="A2235" t="s">
        <v>805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41093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 hidden="1" x14ac:dyDescent="0.25">
      <c r="A2236" t="s">
        <v>806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41100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A2237" t="s">
        <v>807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41107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 hidden="1" x14ac:dyDescent="0.25">
      <c r="A2238" t="s">
        <v>808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41114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 hidden="1" x14ac:dyDescent="0.25">
      <c r="A2239" t="s">
        <v>809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41093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 hidden="1" x14ac:dyDescent="0.25">
      <c r="A2240" t="s">
        <v>810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41100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 hidden="1" x14ac:dyDescent="0.25">
      <c r="A2241" t="s">
        <v>811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41107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 hidden="1" x14ac:dyDescent="0.25">
      <c r="A2242" t="s">
        <v>812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41114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 hidden="1" x14ac:dyDescent="0.25">
      <c r="A2243" t="s">
        <v>813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41121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 hidden="1" x14ac:dyDescent="0.25">
      <c r="A2244" t="s">
        <v>814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41128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 hidden="1" x14ac:dyDescent="0.25">
      <c r="A2245" t="s">
        <v>815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41135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 hidden="1" x14ac:dyDescent="0.25">
      <c r="A2246" t="s">
        <v>816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41142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 hidden="1" x14ac:dyDescent="0.25">
      <c r="A2247" t="s">
        <v>817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41149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 hidden="1" x14ac:dyDescent="0.25">
      <c r="A2248" t="s">
        <v>818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41121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 hidden="1" x14ac:dyDescent="0.25">
      <c r="A2249" t="s">
        <v>819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41128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 hidden="1" x14ac:dyDescent="0.25">
      <c r="A2250" t="s">
        <v>820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41135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 hidden="1" x14ac:dyDescent="0.25">
      <c r="A2251" t="s">
        <v>821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41142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 hidden="1" x14ac:dyDescent="0.25">
      <c r="A2252" t="s">
        <v>822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41149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 hidden="1" x14ac:dyDescent="0.25">
      <c r="A2253" t="s">
        <v>823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41121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 hidden="1" x14ac:dyDescent="0.25">
      <c r="A2254" t="s">
        <v>824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41128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 hidden="1" x14ac:dyDescent="0.25">
      <c r="A2255" t="s">
        <v>825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41135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 hidden="1" x14ac:dyDescent="0.25">
      <c r="A2256" t="s">
        <v>826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41142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 hidden="1" x14ac:dyDescent="0.25">
      <c r="A2257" t="s">
        <v>827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41149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 hidden="1" x14ac:dyDescent="0.25">
      <c r="A2258" t="s">
        <v>828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41121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 hidden="1" x14ac:dyDescent="0.25">
      <c r="A2259" t="s">
        <v>829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41128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 hidden="1" x14ac:dyDescent="0.25">
      <c r="A2260" t="s">
        <v>830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41135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 hidden="1" x14ac:dyDescent="0.25">
      <c r="A2261" t="s">
        <v>831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41142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 hidden="1" x14ac:dyDescent="0.25">
      <c r="A2262" t="s">
        <v>832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41149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 hidden="1" x14ac:dyDescent="0.25">
      <c r="A2263" t="s">
        <v>833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41121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 hidden="1" x14ac:dyDescent="0.25">
      <c r="A2264" t="s">
        <v>834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41128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 hidden="1" x14ac:dyDescent="0.25">
      <c r="A2265" t="s">
        <v>835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41135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 hidden="1" x14ac:dyDescent="0.25">
      <c r="A2266" t="s">
        <v>836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41142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 hidden="1" x14ac:dyDescent="0.25">
      <c r="A2267" t="s">
        <v>837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41149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 hidden="1" x14ac:dyDescent="0.25">
      <c r="A2268" t="s">
        <v>838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41121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 hidden="1" x14ac:dyDescent="0.25">
      <c r="A2269" t="s">
        <v>839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41128</v>
      </c>
      <c r="H2269">
        <v>32</v>
      </c>
      <c r="I2269">
        <v>2016</v>
      </c>
      <c r="J2269" t="s">
        <v>1685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1685</v>
      </c>
    </row>
    <row r="2270" spans="1:16" hidden="1" x14ac:dyDescent="0.25">
      <c r="A2270" t="s">
        <v>840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41135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1685</v>
      </c>
      <c r="P2270" t="s">
        <v>73</v>
      </c>
    </row>
    <row r="2271" spans="1:16" hidden="1" x14ac:dyDescent="0.25">
      <c r="A2271" t="s">
        <v>841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41142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 hidden="1" x14ac:dyDescent="0.25">
      <c r="A2272" t="s">
        <v>842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41149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 hidden="1" x14ac:dyDescent="0.25">
      <c r="A2273" t="s">
        <v>843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41121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 hidden="1" x14ac:dyDescent="0.25">
      <c r="A2274" t="s">
        <v>844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41128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 hidden="1" x14ac:dyDescent="0.25">
      <c r="A2275" t="s">
        <v>845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41135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 hidden="1" x14ac:dyDescent="0.25">
      <c r="A2276" t="s">
        <v>846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41142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 hidden="1" x14ac:dyDescent="0.25">
      <c r="A2277" t="s">
        <v>847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41149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 hidden="1" x14ac:dyDescent="0.25">
      <c r="A2278" t="s">
        <v>848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41121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 hidden="1" x14ac:dyDescent="0.25">
      <c r="A2279" t="s">
        <v>849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41128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 hidden="1" x14ac:dyDescent="0.25">
      <c r="A2280" t="s">
        <v>850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41135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 hidden="1" x14ac:dyDescent="0.25">
      <c r="A2281" t="s">
        <v>851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41142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A2282" t="s">
        <v>852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41149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 hidden="1" x14ac:dyDescent="0.25">
      <c r="A2283" t="s">
        <v>853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41121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 hidden="1" x14ac:dyDescent="0.25">
      <c r="A2284" t="s">
        <v>854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41128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 hidden="1" x14ac:dyDescent="0.25">
      <c r="A2285" t="s">
        <v>855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41135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 hidden="1" x14ac:dyDescent="0.25">
      <c r="A2286" t="s">
        <v>856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41142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 hidden="1" x14ac:dyDescent="0.25">
      <c r="A2287" t="s">
        <v>857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41149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 hidden="1" x14ac:dyDescent="0.25">
      <c r="A2288" t="s">
        <v>858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41121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 hidden="1" x14ac:dyDescent="0.25">
      <c r="A2289" t="s">
        <v>859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41128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 hidden="1" x14ac:dyDescent="0.25">
      <c r="A2290" t="s">
        <v>860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41135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 hidden="1" x14ac:dyDescent="0.25">
      <c r="A2291" t="s">
        <v>861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41142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 hidden="1" x14ac:dyDescent="0.25">
      <c r="A2292" t="s">
        <v>862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41149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 hidden="1" x14ac:dyDescent="0.25">
      <c r="A2293" t="s">
        <v>863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41121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 hidden="1" x14ac:dyDescent="0.25">
      <c r="A2294" t="s">
        <v>864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41128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 hidden="1" x14ac:dyDescent="0.25">
      <c r="A2295" t="s">
        <v>865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41135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 hidden="1" x14ac:dyDescent="0.25">
      <c r="A2296" t="s">
        <v>866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41142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 hidden="1" x14ac:dyDescent="0.25">
      <c r="A2297" t="s">
        <v>867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41149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 hidden="1" x14ac:dyDescent="0.25">
      <c r="A2298" t="s">
        <v>868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41121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 hidden="1" x14ac:dyDescent="0.25">
      <c r="A2299" t="s">
        <v>869</v>
      </c>
      <c r="B2299" t="s">
        <v>23</v>
      </c>
      <c r="C2299" t="s">
        <v>55</v>
      </c>
      <c r="D2299" t="s">
        <v>126</v>
      </c>
      <c r="E2299" s="1" t="s">
        <v>72</v>
      </c>
      <c r="F2299">
        <v>9999</v>
      </c>
      <c r="G2299" s="1">
        <v>41121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 hidden="1" x14ac:dyDescent="0.25">
      <c r="A2300" t="s">
        <v>870</v>
      </c>
      <c r="B2300" t="s">
        <v>23</v>
      </c>
      <c r="C2300" t="s">
        <v>55</v>
      </c>
      <c r="D2300" t="s">
        <v>126</v>
      </c>
      <c r="E2300" s="1" t="s">
        <v>72</v>
      </c>
      <c r="F2300">
        <v>9999</v>
      </c>
      <c r="G2300" s="1">
        <v>41128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 hidden="1" x14ac:dyDescent="0.25">
      <c r="A2301" t="s">
        <v>871</v>
      </c>
      <c r="B2301" t="s">
        <v>23</v>
      </c>
      <c r="C2301" t="s">
        <v>55</v>
      </c>
      <c r="D2301" t="s">
        <v>126</v>
      </c>
      <c r="E2301" s="1" t="s">
        <v>72</v>
      </c>
      <c r="F2301">
        <v>9999</v>
      </c>
      <c r="G2301" s="1">
        <v>41135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 hidden="1" x14ac:dyDescent="0.25">
      <c r="A2302" t="s">
        <v>872</v>
      </c>
      <c r="B2302" t="s">
        <v>23</v>
      </c>
      <c r="C2302" t="s">
        <v>55</v>
      </c>
      <c r="D2302" t="s">
        <v>126</v>
      </c>
      <c r="E2302" s="1" t="s">
        <v>72</v>
      </c>
      <c r="F2302">
        <v>9999</v>
      </c>
      <c r="G2302" s="1">
        <v>41142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 hidden="1" x14ac:dyDescent="0.25">
      <c r="A2303" t="s">
        <v>873</v>
      </c>
      <c r="B2303" t="s">
        <v>23</v>
      </c>
      <c r="C2303" t="s">
        <v>55</v>
      </c>
      <c r="D2303" t="s">
        <v>126</v>
      </c>
      <c r="E2303" s="1" t="s">
        <v>78</v>
      </c>
      <c r="F2303">
        <v>2</v>
      </c>
      <c r="G2303" s="1">
        <v>41149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 hidden="1" x14ac:dyDescent="0.25">
      <c r="A2304" t="s">
        <v>874</v>
      </c>
      <c r="B2304" t="s">
        <v>25</v>
      </c>
      <c r="C2304" t="s">
        <v>131</v>
      </c>
      <c r="D2304" t="s">
        <v>104</v>
      </c>
      <c r="E2304" s="1" t="s">
        <v>72</v>
      </c>
      <c r="F2304">
        <v>9999</v>
      </c>
      <c r="G2304" s="1">
        <v>41121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 hidden="1" x14ac:dyDescent="0.25">
      <c r="A2305" t="s">
        <v>875</v>
      </c>
      <c r="B2305" t="s">
        <v>25</v>
      </c>
      <c r="C2305" t="s">
        <v>131</v>
      </c>
      <c r="D2305" t="s">
        <v>104</v>
      </c>
      <c r="E2305" s="1" t="s">
        <v>72</v>
      </c>
      <c r="F2305">
        <v>9999</v>
      </c>
      <c r="G2305" s="1">
        <v>41128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 hidden="1" x14ac:dyDescent="0.25">
      <c r="A2306" t="s">
        <v>876</v>
      </c>
      <c r="B2306" t="s">
        <v>25</v>
      </c>
      <c r="C2306" t="s">
        <v>131</v>
      </c>
      <c r="D2306" t="s">
        <v>104</v>
      </c>
      <c r="E2306" s="1" t="s">
        <v>72</v>
      </c>
      <c r="F2306">
        <v>9999</v>
      </c>
      <c r="G2306" s="1">
        <v>41135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 hidden="1" x14ac:dyDescent="0.25">
      <c r="A2307" t="s">
        <v>877</v>
      </c>
      <c r="B2307" t="s">
        <v>25</v>
      </c>
      <c r="C2307" t="s">
        <v>131</v>
      </c>
      <c r="D2307" t="s">
        <v>104</v>
      </c>
      <c r="E2307" s="1" t="s">
        <v>72</v>
      </c>
      <c r="F2307">
        <v>9999</v>
      </c>
      <c r="G2307" s="1">
        <v>41142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 hidden="1" x14ac:dyDescent="0.25">
      <c r="A2308" t="s">
        <v>878</v>
      </c>
      <c r="B2308" t="s">
        <v>25</v>
      </c>
      <c r="C2308" t="s">
        <v>131</v>
      </c>
      <c r="D2308" t="s">
        <v>104</v>
      </c>
      <c r="E2308" s="1" t="s">
        <v>72</v>
      </c>
      <c r="F2308">
        <v>1</v>
      </c>
      <c r="G2308" s="1">
        <v>41149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 hidden="1" x14ac:dyDescent="0.25">
      <c r="A2309" t="s">
        <v>879</v>
      </c>
      <c r="B2309" t="s">
        <v>56</v>
      </c>
      <c r="C2309" t="s">
        <v>57</v>
      </c>
      <c r="D2309" t="s">
        <v>128</v>
      </c>
      <c r="E2309" s="1" t="s">
        <v>72</v>
      </c>
      <c r="F2309">
        <v>9999</v>
      </c>
      <c r="G2309" s="1">
        <v>41121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 hidden="1" x14ac:dyDescent="0.25">
      <c r="A2310" t="s">
        <v>880</v>
      </c>
      <c r="B2310" t="s">
        <v>56</v>
      </c>
      <c r="C2310" t="s">
        <v>57</v>
      </c>
      <c r="D2310" t="s">
        <v>128</v>
      </c>
      <c r="E2310" s="1" t="s">
        <v>72</v>
      </c>
      <c r="F2310">
        <v>9999</v>
      </c>
      <c r="G2310" s="1">
        <v>41128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 hidden="1" x14ac:dyDescent="0.25">
      <c r="A2311" t="s">
        <v>881</v>
      </c>
      <c r="B2311" t="s">
        <v>56</v>
      </c>
      <c r="C2311" t="s">
        <v>57</v>
      </c>
      <c r="D2311" t="s">
        <v>128</v>
      </c>
      <c r="E2311" s="1" t="s">
        <v>72</v>
      </c>
      <c r="F2311">
        <v>9999</v>
      </c>
      <c r="G2311" s="1">
        <v>41135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 hidden="1" x14ac:dyDescent="0.25">
      <c r="A2312" t="s">
        <v>882</v>
      </c>
      <c r="B2312" t="s">
        <v>56</v>
      </c>
      <c r="C2312" t="s">
        <v>57</v>
      </c>
      <c r="D2312" t="s">
        <v>128</v>
      </c>
      <c r="E2312" s="1" t="s">
        <v>72</v>
      </c>
      <c r="F2312">
        <v>9999</v>
      </c>
      <c r="G2312" s="1">
        <v>41142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 hidden="1" x14ac:dyDescent="0.25">
      <c r="A2313" t="s">
        <v>883</v>
      </c>
      <c r="B2313" t="s">
        <v>56</v>
      </c>
      <c r="C2313" t="s">
        <v>57</v>
      </c>
      <c r="D2313" t="s">
        <v>128</v>
      </c>
      <c r="E2313" s="1" t="s">
        <v>72</v>
      </c>
      <c r="F2313">
        <v>4</v>
      </c>
      <c r="G2313" s="1">
        <v>41149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 hidden="1" x14ac:dyDescent="0.25">
      <c r="A2314" t="s">
        <v>884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41121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 hidden="1" x14ac:dyDescent="0.25">
      <c r="A2315" t="s">
        <v>885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41128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 hidden="1" x14ac:dyDescent="0.25">
      <c r="A2316" t="s">
        <v>886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41135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 hidden="1" x14ac:dyDescent="0.25">
      <c r="A2317" t="s">
        <v>887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41142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 hidden="1" x14ac:dyDescent="0.25">
      <c r="A2318" t="s">
        <v>888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41149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 hidden="1" x14ac:dyDescent="0.25">
      <c r="A2319" t="s">
        <v>889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41121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 hidden="1" x14ac:dyDescent="0.25">
      <c r="A2320" t="s">
        <v>890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41128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891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41135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 hidden="1" x14ac:dyDescent="0.25">
      <c r="A2322" t="s">
        <v>892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41142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 hidden="1" x14ac:dyDescent="0.25">
      <c r="A2323" t="s">
        <v>893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41149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 hidden="1" x14ac:dyDescent="0.25">
      <c r="A2324" t="s">
        <v>894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41121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 hidden="1" x14ac:dyDescent="0.25">
      <c r="A2325" t="s">
        <v>895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41128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 hidden="1" x14ac:dyDescent="0.25">
      <c r="A2326" t="s">
        <v>896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41135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 hidden="1" x14ac:dyDescent="0.25">
      <c r="A2327" t="s">
        <v>897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41142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 hidden="1" x14ac:dyDescent="0.25">
      <c r="A2328" t="s">
        <v>898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41149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 hidden="1" x14ac:dyDescent="0.25">
      <c r="A2329" t="s">
        <v>899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41121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 hidden="1" x14ac:dyDescent="0.25">
      <c r="A2330" t="s">
        <v>900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41128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 hidden="1" x14ac:dyDescent="0.25">
      <c r="A2331" t="s">
        <v>901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41135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 hidden="1" x14ac:dyDescent="0.25">
      <c r="A2332" t="s">
        <v>902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41142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 hidden="1" x14ac:dyDescent="0.25">
      <c r="A2333" t="s">
        <v>903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41149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 hidden="1" x14ac:dyDescent="0.25">
      <c r="A2334" t="s">
        <v>904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41121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 hidden="1" x14ac:dyDescent="0.25">
      <c r="A2335" t="s">
        <v>905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41121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 hidden="1" x14ac:dyDescent="0.25">
      <c r="A2336" t="s">
        <v>906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41128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 hidden="1" x14ac:dyDescent="0.25">
      <c r="A2337" t="s">
        <v>907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41135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 hidden="1" x14ac:dyDescent="0.25">
      <c r="A2338" t="s">
        <v>908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41142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 hidden="1" x14ac:dyDescent="0.25">
      <c r="A2339" t="s">
        <v>909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41149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 hidden="1" x14ac:dyDescent="0.25">
      <c r="A2340" t="s">
        <v>910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41121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 hidden="1" x14ac:dyDescent="0.25">
      <c r="A2341" t="s">
        <v>911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41128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 hidden="1" x14ac:dyDescent="0.25">
      <c r="A2342" t="s">
        <v>912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41135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 hidden="1" x14ac:dyDescent="0.25">
      <c r="A2343" t="s">
        <v>913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41142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 hidden="1" x14ac:dyDescent="0.25">
      <c r="A2344" t="s">
        <v>914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41149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 hidden="1" x14ac:dyDescent="0.25">
      <c r="A2345" t="s">
        <v>915</v>
      </c>
      <c r="B2345" t="s">
        <v>58</v>
      </c>
      <c r="C2345" t="s">
        <v>59</v>
      </c>
      <c r="D2345" t="s">
        <v>129</v>
      </c>
      <c r="E2345" s="1" t="s">
        <v>72</v>
      </c>
      <c r="F2345">
        <v>9999</v>
      </c>
      <c r="G2345" s="1">
        <v>41121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 hidden="1" x14ac:dyDescent="0.25">
      <c r="A2346" t="s">
        <v>916</v>
      </c>
      <c r="B2346" t="s">
        <v>58</v>
      </c>
      <c r="C2346" t="s">
        <v>59</v>
      </c>
      <c r="D2346" t="s">
        <v>129</v>
      </c>
      <c r="E2346" s="1" t="s">
        <v>72</v>
      </c>
      <c r="F2346">
        <v>9999</v>
      </c>
      <c r="G2346" s="1">
        <v>41128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 hidden="1" x14ac:dyDescent="0.25">
      <c r="A2347" t="s">
        <v>917</v>
      </c>
      <c r="B2347" t="s">
        <v>58</v>
      </c>
      <c r="C2347" t="s">
        <v>59</v>
      </c>
      <c r="D2347" t="s">
        <v>129</v>
      </c>
      <c r="E2347" s="1" t="s">
        <v>72</v>
      </c>
      <c r="F2347">
        <v>9999</v>
      </c>
      <c r="G2347" s="1">
        <v>41135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 hidden="1" x14ac:dyDescent="0.25">
      <c r="A2348" t="s">
        <v>918</v>
      </c>
      <c r="B2348" t="s">
        <v>58</v>
      </c>
      <c r="C2348" t="s">
        <v>59</v>
      </c>
      <c r="D2348" t="s">
        <v>129</v>
      </c>
      <c r="E2348" s="1" t="s">
        <v>72</v>
      </c>
      <c r="F2348">
        <v>9999</v>
      </c>
      <c r="G2348" s="1">
        <v>41142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 hidden="1" x14ac:dyDescent="0.25">
      <c r="A2349" t="s">
        <v>919</v>
      </c>
      <c r="B2349" t="s">
        <v>58</v>
      </c>
      <c r="C2349" t="s">
        <v>59</v>
      </c>
      <c r="D2349" t="s">
        <v>129</v>
      </c>
      <c r="E2349" s="1" t="s">
        <v>78</v>
      </c>
      <c r="F2349">
        <v>6</v>
      </c>
      <c r="G2349" s="1">
        <v>41149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 hidden="1" x14ac:dyDescent="0.25">
      <c r="A2350" t="s">
        <v>920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41121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 hidden="1" x14ac:dyDescent="0.25">
      <c r="A2351" t="s">
        <v>921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41128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 hidden="1" x14ac:dyDescent="0.25">
      <c r="A2352" t="s">
        <v>922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41135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 hidden="1" x14ac:dyDescent="0.25">
      <c r="A2353" t="s">
        <v>923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41142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 hidden="1" x14ac:dyDescent="0.25">
      <c r="A2354" t="s">
        <v>924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41149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 hidden="1" x14ac:dyDescent="0.25">
      <c r="A2355" t="s">
        <v>925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41121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 hidden="1" x14ac:dyDescent="0.25">
      <c r="A2356" t="s">
        <v>926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41128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 hidden="1" x14ac:dyDescent="0.25">
      <c r="A2357" t="s">
        <v>927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41135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 hidden="1" x14ac:dyDescent="0.25">
      <c r="A2358" t="s">
        <v>928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41142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 hidden="1" x14ac:dyDescent="0.25">
      <c r="A2359" t="s">
        <v>929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41149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 hidden="1" x14ac:dyDescent="0.25">
      <c r="A2360" t="s">
        <v>930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41121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 hidden="1" x14ac:dyDescent="0.25">
      <c r="A2361" t="s">
        <v>931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41128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 hidden="1" x14ac:dyDescent="0.25">
      <c r="A2362" t="s">
        <v>932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41135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 hidden="1" x14ac:dyDescent="0.25">
      <c r="A2363" t="s">
        <v>933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41142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 hidden="1" x14ac:dyDescent="0.25">
      <c r="A2364" t="s">
        <v>934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41149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 hidden="1" x14ac:dyDescent="0.25">
      <c r="A2365" t="s">
        <v>935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41121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 hidden="1" x14ac:dyDescent="0.25">
      <c r="A2366" t="s">
        <v>936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41128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 hidden="1" x14ac:dyDescent="0.25">
      <c r="A2367" t="s">
        <v>937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41135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 hidden="1" x14ac:dyDescent="0.25">
      <c r="A2368" t="s">
        <v>938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41142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 hidden="1" x14ac:dyDescent="0.25">
      <c r="A2369" t="s">
        <v>939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41149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 hidden="1" x14ac:dyDescent="0.25">
      <c r="A2370" t="s">
        <v>940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41121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 hidden="1" x14ac:dyDescent="0.25">
      <c r="A2371" t="s">
        <v>941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41128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 hidden="1" x14ac:dyDescent="0.25">
      <c r="A2372" t="s">
        <v>942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41135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 hidden="1" x14ac:dyDescent="0.25">
      <c r="A2373" t="s">
        <v>943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41142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 hidden="1" x14ac:dyDescent="0.25">
      <c r="A2374" t="s">
        <v>944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41149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 hidden="1" x14ac:dyDescent="0.25">
      <c r="A2375" t="s">
        <v>945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41121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 hidden="1" x14ac:dyDescent="0.25">
      <c r="A2376" t="s">
        <v>946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41128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 hidden="1" x14ac:dyDescent="0.25">
      <c r="A2377" t="s">
        <v>947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41135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 hidden="1" x14ac:dyDescent="0.25">
      <c r="A2378" t="s">
        <v>948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41142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 hidden="1" x14ac:dyDescent="0.25">
      <c r="A2379" t="s">
        <v>949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41149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 hidden="1" x14ac:dyDescent="0.25">
      <c r="A2380" t="s">
        <v>950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41121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 hidden="1" x14ac:dyDescent="0.25">
      <c r="A2381" t="s">
        <v>951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41128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 hidden="1" x14ac:dyDescent="0.25">
      <c r="A2382" t="s">
        <v>952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41135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 hidden="1" x14ac:dyDescent="0.25">
      <c r="A2383" t="s">
        <v>953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41142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 hidden="1" x14ac:dyDescent="0.25">
      <c r="A2384" t="s">
        <v>954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41149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 hidden="1" x14ac:dyDescent="0.25">
      <c r="A2385" t="s">
        <v>955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41121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 hidden="1" x14ac:dyDescent="0.25">
      <c r="A2386" t="s">
        <v>956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41128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 hidden="1" x14ac:dyDescent="0.25">
      <c r="A2387" t="s">
        <v>957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41135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 hidden="1" x14ac:dyDescent="0.25">
      <c r="A2388" t="s">
        <v>958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41142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 hidden="1" x14ac:dyDescent="0.25">
      <c r="A2389" t="s">
        <v>959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41149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 hidden="1" x14ac:dyDescent="0.25">
      <c r="A2390" t="s">
        <v>960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41121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 hidden="1" x14ac:dyDescent="0.25">
      <c r="A2391" t="s">
        <v>961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41128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 hidden="1" x14ac:dyDescent="0.25">
      <c r="A2392" t="s">
        <v>962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41135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 hidden="1" x14ac:dyDescent="0.25">
      <c r="A2393" t="s">
        <v>963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41142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 hidden="1" x14ac:dyDescent="0.25">
      <c r="A2394" t="s">
        <v>964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41149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 hidden="1" x14ac:dyDescent="0.25">
      <c r="A2395" t="s">
        <v>965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41149</v>
      </c>
      <c r="H2395">
        <v>35</v>
      </c>
      <c r="I2395">
        <v>2016</v>
      </c>
    </row>
    <row r="2396" spans="1:16" hidden="1" x14ac:dyDescent="0.25">
      <c r="A2396" t="s">
        <v>966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41149</v>
      </c>
      <c r="H2396">
        <v>35</v>
      </c>
      <c r="I2396">
        <v>2016</v>
      </c>
      <c r="J2396" t="s">
        <v>131</v>
      </c>
    </row>
    <row r="2397" spans="1:16" hidden="1" x14ac:dyDescent="0.25">
      <c r="A2397" t="s">
        <v>967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41156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 hidden="1" x14ac:dyDescent="0.25">
      <c r="A2398" t="s">
        <v>968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41163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 hidden="1" x14ac:dyDescent="0.25">
      <c r="A2399" t="s">
        <v>969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41170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 hidden="1" x14ac:dyDescent="0.25">
      <c r="A2400" t="s">
        <v>970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41177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 hidden="1" x14ac:dyDescent="0.25">
      <c r="A2401" t="s">
        <v>971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41156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 hidden="1" x14ac:dyDescent="0.25">
      <c r="A2402" t="s">
        <v>972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41163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 hidden="1" x14ac:dyDescent="0.25">
      <c r="A2403" t="s">
        <v>973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41170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 hidden="1" x14ac:dyDescent="0.25">
      <c r="A2404" t="s">
        <v>974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41177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 hidden="1" x14ac:dyDescent="0.25">
      <c r="A2405" t="s">
        <v>975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41156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132</v>
      </c>
    </row>
    <row r="2406" spans="1:16" hidden="1" x14ac:dyDescent="0.25">
      <c r="A2406" t="s">
        <v>976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41163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 hidden="1" x14ac:dyDescent="0.25">
      <c r="A2407" t="s">
        <v>977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41170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 hidden="1" x14ac:dyDescent="0.25">
      <c r="A2408" t="s">
        <v>978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41177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 hidden="1" x14ac:dyDescent="0.25">
      <c r="A2409" t="s">
        <v>979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41156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 hidden="1" x14ac:dyDescent="0.25">
      <c r="A2410" t="s">
        <v>980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41163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 hidden="1" x14ac:dyDescent="0.25">
      <c r="A2411" t="s">
        <v>981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41170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 hidden="1" x14ac:dyDescent="0.25">
      <c r="A2412" t="s">
        <v>982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41177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 hidden="1" x14ac:dyDescent="0.25">
      <c r="A2413" t="s">
        <v>983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41156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 hidden="1" x14ac:dyDescent="0.25">
      <c r="A2414" t="s">
        <v>984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41163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 hidden="1" x14ac:dyDescent="0.25">
      <c r="A2415" t="s">
        <v>985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41170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 hidden="1" x14ac:dyDescent="0.25">
      <c r="A2416" t="s">
        <v>986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41177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 hidden="1" x14ac:dyDescent="0.25">
      <c r="A2417" t="s">
        <v>987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41156</v>
      </c>
      <c r="H2417">
        <v>36</v>
      </c>
      <c r="I2417">
        <v>2016</v>
      </c>
      <c r="J2417" t="s">
        <v>1685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 hidden="1" x14ac:dyDescent="0.25">
      <c r="A2418" t="s">
        <v>988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41163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 hidden="1" x14ac:dyDescent="0.25">
      <c r="A2419" t="s">
        <v>989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41170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 hidden="1" x14ac:dyDescent="0.25">
      <c r="A2420" t="s">
        <v>990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41177</v>
      </c>
      <c r="H2420">
        <v>39</v>
      </c>
      <c r="I2420">
        <v>2016</v>
      </c>
      <c r="J2420" t="s">
        <v>73</v>
      </c>
      <c r="K2420" t="s">
        <v>1685</v>
      </c>
      <c r="L2420" t="s">
        <v>75</v>
      </c>
      <c r="M2420" t="s">
        <v>1685</v>
      </c>
      <c r="N2420" t="s">
        <v>75</v>
      </c>
      <c r="O2420" t="s">
        <v>75</v>
      </c>
      <c r="P2420" t="s">
        <v>73</v>
      </c>
    </row>
    <row r="2421" spans="1:16" hidden="1" x14ac:dyDescent="0.25">
      <c r="A2421" t="s">
        <v>991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41156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 hidden="1" x14ac:dyDescent="0.25">
      <c r="A2422" t="s">
        <v>992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41163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 hidden="1" x14ac:dyDescent="0.25">
      <c r="A2423" t="s">
        <v>993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41170</v>
      </c>
      <c r="H2423">
        <v>38</v>
      </c>
      <c r="I2423">
        <v>2016</v>
      </c>
      <c r="J2423" t="s">
        <v>74</v>
      </c>
      <c r="K2423" t="s">
        <v>133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 hidden="1" x14ac:dyDescent="0.25">
      <c r="A2424" t="s">
        <v>994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41177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 hidden="1" x14ac:dyDescent="0.25">
      <c r="A2425" t="s">
        <v>995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41156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 hidden="1" x14ac:dyDescent="0.25">
      <c r="A2426" t="s">
        <v>996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41163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 hidden="1" x14ac:dyDescent="0.25">
      <c r="A2427" t="s">
        <v>997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41170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 hidden="1" x14ac:dyDescent="0.25">
      <c r="A2428" t="s">
        <v>998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41177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 hidden="1" x14ac:dyDescent="0.25">
      <c r="A2429" t="s">
        <v>999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41156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 hidden="1" x14ac:dyDescent="0.25">
      <c r="A2430" t="s">
        <v>1000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41163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 hidden="1" x14ac:dyDescent="0.25">
      <c r="A2431" t="s">
        <v>1001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41170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 hidden="1" x14ac:dyDescent="0.25">
      <c r="A2432" t="s">
        <v>1002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 hidden="1" x14ac:dyDescent="0.25">
      <c r="A2433" t="s">
        <v>1003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41156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 hidden="1" x14ac:dyDescent="0.25">
      <c r="A2434" t="s">
        <v>1004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41163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 hidden="1" x14ac:dyDescent="0.25">
      <c r="A2435" t="s">
        <v>1005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41170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 hidden="1" x14ac:dyDescent="0.25">
      <c r="A2436" t="s">
        <v>1006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41177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 hidden="1" x14ac:dyDescent="0.25">
      <c r="A2437" t="s">
        <v>1007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41156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 hidden="1" x14ac:dyDescent="0.25">
      <c r="A2438" t="s">
        <v>1008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41163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 hidden="1" x14ac:dyDescent="0.25">
      <c r="A2439" t="s">
        <v>1009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41170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 hidden="1" x14ac:dyDescent="0.25">
      <c r="A2440" t="s">
        <v>1010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41177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 hidden="1" x14ac:dyDescent="0.25">
      <c r="A2441" t="s">
        <v>1011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41156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 hidden="1" x14ac:dyDescent="0.25">
      <c r="A2442" t="s">
        <v>1012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41163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 hidden="1" x14ac:dyDescent="0.25">
      <c r="A2443" t="s">
        <v>1013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41170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 hidden="1" x14ac:dyDescent="0.25">
      <c r="A2444" t="s">
        <v>1014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41177</v>
      </c>
      <c r="H2444">
        <v>39</v>
      </c>
      <c r="I2444">
        <v>2016</v>
      </c>
      <c r="J2444" t="s">
        <v>74</v>
      </c>
      <c r="K2444" t="s">
        <v>74</v>
      </c>
      <c r="L2444" t="s">
        <v>133</v>
      </c>
      <c r="M2444" t="s">
        <v>73</v>
      </c>
      <c r="N2444" t="s">
        <v>74</v>
      </c>
      <c r="O2444" t="s">
        <v>74</v>
      </c>
      <c r="P2444" t="s">
        <v>74</v>
      </c>
    </row>
    <row r="2445" spans="1:16" hidden="1" x14ac:dyDescent="0.25">
      <c r="A2445" t="s">
        <v>1015</v>
      </c>
      <c r="B2445" t="s">
        <v>23</v>
      </c>
      <c r="C2445" t="s">
        <v>55</v>
      </c>
      <c r="D2445" t="s">
        <v>126</v>
      </c>
      <c r="E2445" s="1" t="s">
        <v>72</v>
      </c>
      <c r="F2445">
        <v>9999</v>
      </c>
      <c r="G2445" s="1">
        <v>41156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 hidden="1" x14ac:dyDescent="0.25">
      <c r="A2446" t="s">
        <v>1016</v>
      </c>
      <c r="B2446" t="s">
        <v>23</v>
      </c>
      <c r="C2446" t="s">
        <v>55</v>
      </c>
      <c r="D2446" t="s">
        <v>126</v>
      </c>
      <c r="E2446" s="1" t="s">
        <v>72</v>
      </c>
      <c r="F2446">
        <v>9999</v>
      </c>
      <c r="G2446" s="1">
        <v>41163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 hidden="1" x14ac:dyDescent="0.25">
      <c r="A2447" t="s">
        <v>1017</v>
      </c>
      <c r="B2447" t="s">
        <v>23</v>
      </c>
      <c r="C2447" t="s">
        <v>55</v>
      </c>
      <c r="D2447" t="s">
        <v>126</v>
      </c>
      <c r="E2447" s="1" t="s">
        <v>72</v>
      </c>
      <c r="F2447">
        <v>9999</v>
      </c>
      <c r="G2447" s="1">
        <v>41170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 hidden="1" x14ac:dyDescent="0.25">
      <c r="A2448" t="s">
        <v>1018</v>
      </c>
      <c r="B2448" t="s">
        <v>23</v>
      </c>
      <c r="C2448" t="s">
        <v>55</v>
      </c>
      <c r="D2448" t="s">
        <v>126</v>
      </c>
      <c r="E2448" s="1" t="s">
        <v>72</v>
      </c>
      <c r="F2448">
        <v>2</v>
      </c>
      <c r="G2448" s="1">
        <v>41177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133</v>
      </c>
    </row>
    <row r="2449" spans="1:16" hidden="1" x14ac:dyDescent="0.25">
      <c r="A2449" t="s">
        <v>1019</v>
      </c>
      <c r="B2449" t="s">
        <v>25</v>
      </c>
      <c r="C2449" t="s">
        <v>131</v>
      </c>
      <c r="D2449" t="s">
        <v>104</v>
      </c>
      <c r="E2449" s="1" t="s">
        <v>72</v>
      </c>
      <c r="F2449">
        <v>9999</v>
      </c>
      <c r="G2449" s="1">
        <v>41156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 hidden="1" x14ac:dyDescent="0.25">
      <c r="A2450" t="s">
        <v>1020</v>
      </c>
      <c r="B2450" t="s">
        <v>25</v>
      </c>
      <c r="C2450" t="s">
        <v>131</v>
      </c>
      <c r="D2450" t="s">
        <v>104</v>
      </c>
      <c r="E2450" s="1" t="s">
        <v>72</v>
      </c>
      <c r="F2450">
        <v>9999</v>
      </c>
      <c r="G2450" s="1">
        <v>41163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 hidden="1" x14ac:dyDescent="0.25">
      <c r="A2451" t="s">
        <v>1021</v>
      </c>
      <c r="B2451" t="s">
        <v>25</v>
      </c>
      <c r="C2451" t="s">
        <v>131</v>
      </c>
      <c r="D2451" t="s">
        <v>104</v>
      </c>
      <c r="E2451" s="1" t="s">
        <v>72</v>
      </c>
      <c r="F2451">
        <v>9999</v>
      </c>
      <c r="G2451" s="1">
        <v>41170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1022</v>
      </c>
      <c r="B2452" t="s">
        <v>25</v>
      </c>
      <c r="C2452" t="s">
        <v>131</v>
      </c>
      <c r="D2452" t="s">
        <v>104</v>
      </c>
      <c r="E2452" s="1" t="s">
        <v>72</v>
      </c>
      <c r="F2452">
        <v>5</v>
      </c>
      <c r="G2452" s="1">
        <v>41177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133</v>
      </c>
      <c r="P2452" t="s">
        <v>76</v>
      </c>
    </row>
    <row r="2453" spans="1:16" hidden="1" x14ac:dyDescent="0.25">
      <c r="A2453" t="s">
        <v>1023</v>
      </c>
      <c r="B2453" t="s">
        <v>56</v>
      </c>
      <c r="C2453" t="s">
        <v>57</v>
      </c>
      <c r="D2453" t="s">
        <v>128</v>
      </c>
      <c r="E2453" s="1" t="s">
        <v>72</v>
      </c>
      <c r="F2453">
        <v>9999</v>
      </c>
      <c r="G2453" s="1">
        <v>41156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 hidden="1" x14ac:dyDescent="0.25">
      <c r="A2454" t="s">
        <v>1024</v>
      </c>
      <c r="B2454" t="s">
        <v>56</v>
      </c>
      <c r="C2454" t="s">
        <v>57</v>
      </c>
      <c r="D2454" t="s">
        <v>128</v>
      </c>
      <c r="E2454" s="1" t="s">
        <v>72</v>
      </c>
      <c r="F2454">
        <v>9999</v>
      </c>
      <c r="G2454" s="1">
        <v>41163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 hidden="1" x14ac:dyDescent="0.25">
      <c r="A2455" t="s">
        <v>1025</v>
      </c>
      <c r="B2455" t="s">
        <v>56</v>
      </c>
      <c r="C2455" t="s">
        <v>57</v>
      </c>
      <c r="D2455" t="s">
        <v>128</v>
      </c>
      <c r="E2455" s="1" t="s">
        <v>72</v>
      </c>
      <c r="F2455">
        <v>9999</v>
      </c>
      <c r="G2455" s="1">
        <v>41170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 hidden="1" x14ac:dyDescent="0.25">
      <c r="A2456" t="s">
        <v>1026</v>
      </c>
      <c r="B2456" t="s">
        <v>56</v>
      </c>
      <c r="C2456" t="s">
        <v>57</v>
      </c>
      <c r="D2456" t="s">
        <v>128</v>
      </c>
      <c r="E2456" s="1" t="s">
        <v>72</v>
      </c>
      <c r="F2456">
        <v>8</v>
      </c>
      <c r="G2456" s="1">
        <v>41177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 hidden="1" x14ac:dyDescent="0.25">
      <c r="A2457" t="s">
        <v>1027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41156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1028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41163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 hidden="1" x14ac:dyDescent="0.25">
      <c r="A2459" t="s">
        <v>1029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41170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 hidden="1" x14ac:dyDescent="0.25">
      <c r="A2460" t="s">
        <v>1030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41177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 hidden="1" x14ac:dyDescent="0.25">
      <c r="A2461" t="s">
        <v>1031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41156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 hidden="1" x14ac:dyDescent="0.25">
      <c r="A2462" t="s">
        <v>1032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41163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 hidden="1" x14ac:dyDescent="0.25">
      <c r="A2463" t="s">
        <v>1033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41170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 hidden="1" x14ac:dyDescent="0.25">
      <c r="A2464" t="s">
        <v>1034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41177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133</v>
      </c>
      <c r="O2464" t="s">
        <v>75</v>
      </c>
      <c r="P2464" t="s">
        <v>75</v>
      </c>
    </row>
    <row r="2465" spans="1:16" hidden="1" x14ac:dyDescent="0.25">
      <c r="A2465" t="s">
        <v>1035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41156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 hidden="1" x14ac:dyDescent="0.25">
      <c r="A2466" t="s">
        <v>1036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41163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 hidden="1" x14ac:dyDescent="0.25">
      <c r="A2467" t="s">
        <v>1037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41170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 hidden="1" x14ac:dyDescent="0.25">
      <c r="A2468" t="s">
        <v>1038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41177</v>
      </c>
      <c r="H2468">
        <v>39</v>
      </c>
      <c r="I2468">
        <v>2016</v>
      </c>
      <c r="J2468" t="s">
        <v>133</v>
      </c>
      <c r="K2468" t="s">
        <v>73</v>
      </c>
      <c r="L2468" t="s">
        <v>1685</v>
      </c>
      <c r="M2468" t="s">
        <v>1685</v>
      </c>
      <c r="N2468" t="s">
        <v>74</v>
      </c>
      <c r="O2468" t="s">
        <v>75</v>
      </c>
      <c r="P2468" t="s">
        <v>75</v>
      </c>
    </row>
    <row r="2469" spans="1:16" hidden="1" x14ac:dyDescent="0.25">
      <c r="A2469" t="s">
        <v>1039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41156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 hidden="1" x14ac:dyDescent="0.25">
      <c r="A2470" t="s">
        <v>1040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41163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 hidden="1" x14ac:dyDescent="0.25">
      <c r="A2471" t="s">
        <v>1041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41170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 hidden="1" x14ac:dyDescent="0.25">
      <c r="A2472" t="s">
        <v>1042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41177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 hidden="1" x14ac:dyDescent="0.25">
      <c r="A2473" t="s">
        <v>1043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41156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 hidden="1" x14ac:dyDescent="0.25">
      <c r="A2474" t="s">
        <v>1044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41163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 hidden="1" x14ac:dyDescent="0.25">
      <c r="A2475" t="s">
        <v>1045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41170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 hidden="1" x14ac:dyDescent="0.25">
      <c r="A2476" t="s">
        <v>1046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41177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 hidden="1" x14ac:dyDescent="0.25">
      <c r="A2477" t="s">
        <v>1047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41156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 hidden="1" x14ac:dyDescent="0.25">
      <c r="A2478" t="s">
        <v>1048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41163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 hidden="1" x14ac:dyDescent="0.25">
      <c r="A2479" t="s">
        <v>1049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41170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 hidden="1" x14ac:dyDescent="0.25">
      <c r="A2480" t="s">
        <v>1050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41177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 hidden="1" x14ac:dyDescent="0.25">
      <c r="A2481" t="s">
        <v>1051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41156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 hidden="1" x14ac:dyDescent="0.25">
      <c r="A2482" t="s">
        <v>1052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41163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 hidden="1" x14ac:dyDescent="0.25">
      <c r="A2483" t="s">
        <v>1053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41170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 hidden="1" x14ac:dyDescent="0.25">
      <c r="A2484" t="s">
        <v>1054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41177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 hidden="1" x14ac:dyDescent="0.25">
      <c r="A2485" t="s">
        <v>1055</v>
      </c>
      <c r="B2485" t="s">
        <v>58</v>
      </c>
      <c r="C2485" t="s">
        <v>59</v>
      </c>
      <c r="D2485" t="s">
        <v>129</v>
      </c>
      <c r="E2485" s="1" t="s">
        <v>72</v>
      </c>
      <c r="F2485">
        <v>9999</v>
      </c>
      <c r="G2485" s="1">
        <v>41156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 hidden="1" x14ac:dyDescent="0.25">
      <c r="A2486" t="s">
        <v>1056</v>
      </c>
      <c r="B2486" t="s">
        <v>58</v>
      </c>
      <c r="C2486" t="s">
        <v>59</v>
      </c>
      <c r="D2486" t="s">
        <v>129</v>
      </c>
      <c r="E2486" s="1" t="s">
        <v>72</v>
      </c>
      <c r="F2486">
        <v>9999</v>
      </c>
      <c r="G2486" s="1">
        <v>41163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 hidden="1" x14ac:dyDescent="0.25">
      <c r="A2487" t="s">
        <v>1057</v>
      </c>
      <c r="B2487" t="s">
        <v>58</v>
      </c>
      <c r="C2487" t="s">
        <v>59</v>
      </c>
      <c r="D2487" t="s">
        <v>129</v>
      </c>
      <c r="E2487" s="1" t="s">
        <v>72</v>
      </c>
      <c r="F2487">
        <v>9999</v>
      </c>
      <c r="G2487" s="1">
        <v>41170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133</v>
      </c>
      <c r="O2487" t="s">
        <v>75</v>
      </c>
      <c r="P2487" t="s">
        <v>75</v>
      </c>
    </row>
    <row r="2488" spans="1:16" hidden="1" x14ac:dyDescent="0.25">
      <c r="A2488" t="s">
        <v>1058</v>
      </c>
      <c r="B2488" t="s">
        <v>58</v>
      </c>
      <c r="C2488" t="s">
        <v>59</v>
      </c>
      <c r="D2488" t="s">
        <v>129</v>
      </c>
      <c r="E2488" s="1" t="s">
        <v>78</v>
      </c>
      <c r="F2488">
        <v>4</v>
      </c>
      <c r="G2488" s="1">
        <v>41177</v>
      </c>
      <c r="H2488">
        <v>39</v>
      </c>
      <c r="I2488">
        <v>2016</v>
      </c>
      <c r="J2488" t="s">
        <v>75</v>
      </c>
      <c r="K2488" t="s">
        <v>73</v>
      </c>
      <c r="L2488" t="s">
        <v>133</v>
      </c>
      <c r="M2488" t="s">
        <v>75</v>
      </c>
      <c r="N2488" t="s">
        <v>75</v>
      </c>
      <c r="O2488" t="s">
        <v>74</v>
      </c>
      <c r="P2488" t="s">
        <v>75</v>
      </c>
    </row>
    <row r="2489" spans="1:16" hidden="1" x14ac:dyDescent="0.25">
      <c r="A2489" t="s">
        <v>1059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41156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1060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41163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1061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41170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 hidden="1" x14ac:dyDescent="0.25">
      <c r="A2492" t="s">
        <v>1062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41177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 hidden="1" x14ac:dyDescent="0.25">
      <c r="A2493" t="s">
        <v>1063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41156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 hidden="1" x14ac:dyDescent="0.25">
      <c r="A2494" t="s">
        <v>1064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41163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 hidden="1" x14ac:dyDescent="0.25">
      <c r="A2495" t="s">
        <v>1065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41170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 hidden="1" x14ac:dyDescent="0.25">
      <c r="A2496" t="s">
        <v>1066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41177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 hidden="1" x14ac:dyDescent="0.25">
      <c r="A2497" t="s">
        <v>1067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41156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 hidden="1" x14ac:dyDescent="0.25">
      <c r="A2498" t="s">
        <v>1068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41163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 hidden="1" x14ac:dyDescent="0.25">
      <c r="A2499" t="s">
        <v>1069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41170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 hidden="1" x14ac:dyDescent="0.25">
      <c r="A2500" t="s">
        <v>1070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41177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133</v>
      </c>
      <c r="O2500" t="s">
        <v>76</v>
      </c>
      <c r="P2500" t="s">
        <v>77</v>
      </c>
    </row>
    <row r="2501" spans="1:16" hidden="1" x14ac:dyDescent="0.25">
      <c r="A2501" t="s">
        <v>1071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41156</v>
      </c>
      <c r="H2501">
        <v>36</v>
      </c>
      <c r="I2501">
        <v>2016</v>
      </c>
      <c r="J2501" t="s">
        <v>134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 hidden="1" x14ac:dyDescent="0.25">
      <c r="A2502" t="s">
        <v>1072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41163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 hidden="1" x14ac:dyDescent="0.25">
      <c r="A2503" t="s">
        <v>1073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41170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 hidden="1" x14ac:dyDescent="0.25">
      <c r="A2504" t="s">
        <v>1074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41177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 hidden="1" x14ac:dyDescent="0.25">
      <c r="A2505" t="s">
        <v>1075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41156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 hidden="1" x14ac:dyDescent="0.25">
      <c r="A2506" t="s">
        <v>1076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41163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 hidden="1" x14ac:dyDescent="0.25">
      <c r="A2507" t="s">
        <v>1077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41170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 hidden="1" x14ac:dyDescent="0.25">
      <c r="A2508" t="s">
        <v>1078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41177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1079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41156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 hidden="1" x14ac:dyDescent="0.25">
      <c r="A2510" t="s">
        <v>1080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41163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 hidden="1" x14ac:dyDescent="0.25">
      <c r="A2511" t="s">
        <v>1081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41170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 hidden="1" x14ac:dyDescent="0.25">
      <c r="A2512" t="s">
        <v>1082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41177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133</v>
      </c>
      <c r="N2512" t="s">
        <v>75</v>
      </c>
      <c r="O2512" t="s">
        <v>74</v>
      </c>
      <c r="P2512" t="s">
        <v>75</v>
      </c>
    </row>
    <row r="2513" spans="1:16" hidden="1" x14ac:dyDescent="0.25">
      <c r="A2513" t="s">
        <v>1083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41156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 hidden="1" x14ac:dyDescent="0.25">
      <c r="A2514" t="s">
        <v>1084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41163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 hidden="1" x14ac:dyDescent="0.25">
      <c r="A2515" t="s">
        <v>1085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41170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 hidden="1" x14ac:dyDescent="0.25">
      <c r="A2516" t="s">
        <v>1086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41177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133</v>
      </c>
      <c r="O2516" t="s">
        <v>74</v>
      </c>
      <c r="P2516" t="s">
        <v>75</v>
      </c>
    </row>
    <row r="2517" spans="1:16" hidden="1" x14ac:dyDescent="0.25">
      <c r="A2517" t="s">
        <v>1087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41156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 hidden="1" x14ac:dyDescent="0.25">
      <c r="A2518" t="s">
        <v>1088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41163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 hidden="1" x14ac:dyDescent="0.25">
      <c r="A2519" t="s">
        <v>1089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41170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 hidden="1" x14ac:dyDescent="0.25">
      <c r="A2520" t="s">
        <v>1090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41177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133</v>
      </c>
      <c r="P2520" t="s">
        <v>76</v>
      </c>
    </row>
    <row r="2521" spans="1:16" hidden="1" x14ac:dyDescent="0.25">
      <c r="A2521" t="s">
        <v>1091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41156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 hidden="1" x14ac:dyDescent="0.25">
      <c r="A2522" t="s">
        <v>1092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41163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 hidden="1" x14ac:dyDescent="0.25">
      <c r="A2523" t="s">
        <v>1093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41170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 hidden="1" x14ac:dyDescent="0.25">
      <c r="A2524" t="s">
        <v>1094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41177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 hidden="1" x14ac:dyDescent="0.25">
      <c r="A2525" t="s">
        <v>1095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41184</v>
      </c>
      <c r="H2525">
        <v>40</v>
      </c>
      <c r="I2525">
        <v>2016</v>
      </c>
      <c r="J2525" t="s">
        <v>73</v>
      </c>
      <c r="K2525" t="s">
        <v>74</v>
      </c>
      <c r="L2525" t="s">
        <v>74</v>
      </c>
      <c r="M2525" t="s">
        <v>74</v>
      </c>
      <c r="N2525" t="s">
        <v>76</v>
      </c>
      <c r="O2525" t="s">
        <v>77</v>
      </c>
      <c r="P2525" t="s">
        <v>73</v>
      </c>
    </row>
    <row r="2526" spans="1:16" hidden="1" x14ac:dyDescent="0.25">
      <c r="A2526" t="s">
        <v>1096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41191</v>
      </c>
      <c r="H2526">
        <v>41</v>
      </c>
      <c r="I2526">
        <v>2016</v>
      </c>
      <c r="J2526" t="s">
        <v>74</v>
      </c>
      <c r="K2526" t="s">
        <v>74</v>
      </c>
      <c r="L2526" t="s">
        <v>74</v>
      </c>
      <c r="M2526" t="s">
        <v>74</v>
      </c>
      <c r="N2526" t="s">
        <v>74</v>
      </c>
      <c r="O2526" t="s">
        <v>73</v>
      </c>
      <c r="P2526" t="s">
        <v>74</v>
      </c>
    </row>
    <row r="2527" spans="1:16" hidden="1" x14ac:dyDescent="0.25">
      <c r="A2527" t="s">
        <v>1097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41198</v>
      </c>
      <c r="H2527">
        <v>42</v>
      </c>
      <c r="I2527">
        <v>2016</v>
      </c>
      <c r="J2527" t="s">
        <v>74</v>
      </c>
      <c r="K2527" t="s">
        <v>74</v>
      </c>
      <c r="L2527" t="s">
        <v>76</v>
      </c>
      <c r="M2527" t="s">
        <v>77</v>
      </c>
      <c r="N2527" t="s">
        <v>73</v>
      </c>
      <c r="O2527" t="s">
        <v>74</v>
      </c>
      <c r="P2527" t="s">
        <v>74</v>
      </c>
    </row>
    <row r="2528" spans="1:16" hidden="1" x14ac:dyDescent="0.25">
      <c r="A2528" t="s">
        <v>1098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41205</v>
      </c>
      <c r="H2528">
        <v>43</v>
      </c>
      <c r="I2528">
        <v>2016</v>
      </c>
      <c r="J2528" t="s">
        <v>74</v>
      </c>
      <c r="K2528" t="s">
        <v>74</v>
      </c>
      <c r="L2528" t="s">
        <v>74</v>
      </c>
      <c r="M2528" t="s">
        <v>73</v>
      </c>
      <c r="N2528" t="s">
        <v>74</v>
      </c>
      <c r="O2528" t="s">
        <v>74</v>
      </c>
      <c r="P2528" t="s">
        <v>74</v>
      </c>
    </row>
    <row r="2529" spans="1:16" hidden="1" x14ac:dyDescent="0.25">
      <c r="A2529" t="s">
        <v>1099</v>
      </c>
      <c r="B2529" t="s">
        <v>3</v>
      </c>
      <c r="C2529" t="s">
        <v>4</v>
      </c>
      <c r="D2529" t="s">
        <v>90</v>
      </c>
      <c r="E2529" s="1" t="s">
        <v>1265</v>
      </c>
      <c r="F2529">
        <v>5</v>
      </c>
      <c r="G2529" s="1">
        <v>41212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74</v>
      </c>
      <c r="O2529" t="s">
        <v>74</v>
      </c>
      <c r="P2529" t="s">
        <v>76</v>
      </c>
    </row>
    <row r="2530" spans="1:16" hidden="1" x14ac:dyDescent="0.25">
      <c r="A2530" t="s">
        <v>1100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41184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 hidden="1" x14ac:dyDescent="0.25">
      <c r="A2531" t="s">
        <v>1101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41191</v>
      </c>
      <c r="H2531">
        <v>41</v>
      </c>
      <c r="I2531">
        <v>2016</v>
      </c>
      <c r="J2531" t="s">
        <v>75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 hidden="1" x14ac:dyDescent="0.25">
      <c r="A2532" t="s">
        <v>1102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41198</v>
      </c>
      <c r="H2532">
        <v>42</v>
      </c>
      <c r="I2532">
        <v>2016</v>
      </c>
      <c r="J2532" t="s">
        <v>74</v>
      </c>
      <c r="K2532" t="s">
        <v>75</v>
      </c>
      <c r="L2532" t="s">
        <v>92</v>
      </c>
      <c r="M2532" t="s">
        <v>73</v>
      </c>
      <c r="N2532" t="s">
        <v>92</v>
      </c>
      <c r="O2532" t="s">
        <v>92</v>
      </c>
      <c r="P2532" t="s">
        <v>92</v>
      </c>
    </row>
    <row r="2533" spans="1:16" hidden="1" x14ac:dyDescent="0.25">
      <c r="A2533" t="s">
        <v>1103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41205</v>
      </c>
      <c r="H2533">
        <v>43</v>
      </c>
      <c r="I2533">
        <v>2016</v>
      </c>
      <c r="J2533" t="s">
        <v>92</v>
      </c>
      <c r="K2533" t="s">
        <v>92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 hidden="1" x14ac:dyDescent="0.25">
      <c r="A2534" t="s">
        <v>1104</v>
      </c>
      <c r="B2534" t="s">
        <v>5</v>
      </c>
      <c r="C2534" t="s">
        <v>6</v>
      </c>
      <c r="D2534" t="s">
        <v>93</v>
      </c>
      <c r="E2534" s="1" t="s">
        <v>1265</v>
      </c>
      <c r="F2534">
        <v>6</v>
      </c>
      <c r="G2534" s="1">
        <v>41212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 hidden="1" x14ac:dyDescent="0.25">
      <c r="A2535" t="s">
        <v>1105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41184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75</v>
      </c>
      <c r="O2535" t="s">
        <v>92</v>
      </c>
      <c r="P2535" t="s">
        <v>73</v>
      </c>
    </row>
    <row r="2536" spans="1:16" hidden="1" x14ac:dyDescent="0.25">
      <c r="A2536" t="s">
        <v>1106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41191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74</v>
      </c>
      <c r="N2536" t="s">
        <v>75</v>
      </c>
      <c r="O2536" t="s">
        <v>73</v>
      </c>
      <c r="P2536" t="s">
        <v>74</v>
      </c>
    </row>
    <row r="2537" spans="1:16" hidden="1" x14ac:dyDescent="0.25">
      <c r="A2537" t="s">
        <v>1107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41198</v>
      </c>
      <c r="H2537">
        <v>42</v>
      </c>
      <c r="I2537">
        <v>2016</v>
      </c>
      <c r="J2537" t="s">
        <v>75</v>
      </c>
      <c r="K2537" t="s">
        <v>75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 hidden="1" x14ac:dyDescent="0.25">
      <c r="A2538" t="s">
        <v>1108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41205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 hidden="1" x14ac:dyDescent="0.25">
      <c r="A2539" t="s">
        <v>1109</v>
      </c>
      <c r="B2539" t="s">
        <v>7</v>
      </c>
      <c r="C2539" t="s">
        <v>8</v>
      </c>
      <c r="D2539" t="s">
        <v>94</v>
      </c>
      <c r="E2539" s="1" t="s">
        <v>1265</v>
      </c>
      <c r="F2539">
        <v>11</v>
      </c>
      <c r="G2539" s="1">
        <v>41212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 hidden="1" x14ac:dyDescent="0.25">
      <c r="A2540" t="s">
        <v>1110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41184</v>
      </c>
      <c r="H2540">
        <v>40</v>
      </c>
      <c r="I2540">
        <v>2016</v>
      </c>
      <c r="J2540" t="s">
        <v>75</v>
      </c>
      <c r="K2540" t="s">
        <v>92</v>
      </c>
      <c r="L2540" t="s">
        <v>75</v>
      </c>
      <c r="M2540" t="s">
        <v>76</v>
      </c>
      <c r="N2540" t="s">
        <v>77</v>
      </c>
      <c r="O2540" t="s">
        <v>73</v>
      </c>
      <c r="P2540" t="s">
        <v>92</v>
      </c>
    </row>
    <row r="2541" spans="1:16" hidden="1" x14ac:dyDescent="0.25">
      <c r="A2541" t="s">
        <v>1111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41191</v>
      </c>
      <c r="H2541">
        <v>41</v>
      </c>
      <c r="I2541">
        <v>2016</v>
      </c>
      <c r="J2541" t="s">
        <v>75</v>
      </c>
      <c r="K2541" t="s">
        <v>75</v>
      </c>
      <c r="L2541" t="s">
        <v>75</v>
      </c>
      <c r="M2541" t="s">
        <v>75</v>
      </c>
      <c r="N2541" t="s">
        <v>73</v>
      </c>
      <c r="O2541" t="s">
        <v>74</v>
      </c>
      <c r="P2541" t="s">
        <v>74</v>
      </c>
    </row>
    <row r="2542" spans="1:16" hidden="1" x14ac:dyDescent="0.25">
      <c r="A2542" t="s">
        <v>1112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41198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 hidden="1" x14ac:dyDescent="0.25">
      <c r="A2543" t="s">
        <v>1113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41205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 hidden="1" x14ac:dyDescent="0.25">
      <c r="A2544" t="s">
        <v>1114</v>
      </c>
      <c r="B2544" t="s">
        <v>9</v>
      </c>
      <c r="C2544" t="s">
        <v>10</v>
      </c>
      <c r="D2544" t="s">
        <v>96</v>
      </c>
      <c r="E2544" s="1" t="s">
        <v>1265</v>
      </c>
      <c r="F2544">
        <v>1</v>
      </c>
      <c r="G2544" s="1">
        <v>41212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 hidden="1" x14ac:dyDescent="0.25">
      <c r="A2545" t="s">
        <v>1115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41184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 hidden="1" x14ac:dyDescent="0.25">
      <c r="A2546" t="s">
        <v>1116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41191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 hidden="1" x14ac:dyDescent="0.25">
      <c r="A2547" t="s">
        <v>1117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41198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92</v>
      </c>
      <c r="O2547" t="s">
        <v>76</v>
      </c>
      <c r="P2547" t="s">
        <v>77</v>
      </c>
    </row>
    <row r="2548" spans="1:16" hidden="1" x14ac:dyDescent="0.25">
      <c r="A2548" t="s">
        <v>1118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41205</v>
      </c>
      <c r="H2548">
        <v>43</v>
      </c>
      <c r="I2548">
        <v>2016</v>
      </c>
      <c r="J2548" t="s">
        <v>73</v>
      </c>
      <c r="K2548" t="s">
        <v>92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 hidden="1" x14ac:dyDescent="0.25">
      <c r="A2549" t="s">
        <v>1119</v>
      </c>
      <c r="B2549" t="s">
        <v>11</v>
      </c>
      <c r="C2549" t="s">
        <v>12</v>
      </c>
      <c r="D2549" t="s">
        <v>97</v>
      </c>
      <c r="E2549" s="1" t="s">
        <v>1265</v>
      </c>
      <c r="F2549">
        <v>2</v>
      </c>
      <c r="G2549" s="1">
        <v>41212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74</v>
      </c>
    </row>
    <row r="2550" spans="1:16" hidden="1" x14ac:dyDescent="0.25">
      <c r="A2550" t="s">
        <v>1120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41184</v>
      </c>
      <c r="H2550">
        <v>40</v>
      </c>
      <c r="I2550">
        <v>2016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1121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41191</v>
      </c>
      <c r="H2551">
        <v>41</v>
      </c>
      <c r="I2551">
        <v>2016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1122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41198</v>
      </c>
      <c r="H2552">
        <v>42</v>
      </c>
      <c r="I2552">
        <v>2016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1123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41205</v>
      </c>
      <c r="H2553">
        <v>43</v>
      </c>
      <c r="I2553">
        <v>2016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hidden="1" x14ac:dyDescent="0.25">
      <c r="A2554" t="s">
        <v>1124</v>
      </c>
      <c r="B2554" t="s">
        <v>13</v>
      </c>
      <c r="C2554" t="s">
        <v>14</v>
      </c>
      <c r="D2554" t="s">
        <v>120</v>
      </c>
      <c r="E2554" s="1" t="s">
        <v>1303</v>
      </c>
      <c r="F2554">
        <v>1</v>
      </c>
      <c r="G2554" s="1">
        <v>41212</v>
      </c>
      <c r="H2554">
        <v>44</v>
      </c>
      <c r="I2554">
        <v>2016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A2555" t="s">
        <v>1125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41184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 hidden="1" x14ac:dyDescent="0.25">
      <c r="A2556" t="s">
        <v>1126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41191</v>
      </c>
      <c r="H2556">
        <v>41</v>
      </c>
      <c r="I2556">
        <v>2016</v>
      </c>
      <c r="J2556" t="s">
        <v>75</v>
      </c>
      <c r="K2556" t="s">
        <v>75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 hidden="1" x14ac:dyDescent="0.25">
      <c r="A2557" t="s">
        <v>1127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41198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 hidden="1" x14ac:dyDescent="0.25">
      <c r="A2558" t="s">
        <v>1128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41205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 hidden="1" x14ac:dyDescent="0.25">
      <c r="A2559" t="s">
        <v>1129</v>
      </c>
      <c r="B2559" t="s">
        <v>13</v>
      </c>
      <c r="C2559" t="s">
        <v>15</v>
      </c>
      <c r="D2559" t="s">
        <v>98</v>
      </c>
      <c r="E2559" s="1" t="s">
        <v>1266</v>
      </c>
      <c r="F2559">
        <v>3</v>
      </c>
      <c r="G2559" s="1">
        <v>41212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 hidden="1" x14ac:dyDescent="0.25">
      <c r="A2560" t="s">
        <v>1130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41184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 hidden="1" x14ac:dyDescent="0.25">
      <c r="A2561" t="s">
        <v>1131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41191</v>
      </c>
      <c r="H2561">
        <v>41</v>
      </c>
      <c r="I2561">
        <v>2016</v>
      </c>
      <c r="J2561" t="s">
        <v>74</v>
      </c>
      <c r="K2561" t="s">
        <v>75</v>
      </c>
      <c r="L2561" t="s">
        <v>75</v>
      </c>
      <c r="M2561" t="s">
        <v>73</v>
      </c>
      <c r="N2561" t="s">
        <v>75</v>
      </c>
      <c r="O2561" t="s">
        <v>74</v>
      </c>
      <c r="P2561" t="s">
        <v>75</v>
      </c>
    </row>
    <row r="2562" spans="1:16" hidden="1" x14ac:dyDescent="0.25">
      <c r="A2562" t="s">
        <v>1132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41198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 hidden="1" x14ac:dyDescent="0.25">
      <c r="A2563" t="s">
        <v>1133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41205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 hidden="1" x14ac:dyDescent="0.25">
      <c r="A2564" t="s">
        <v>1134</v>
      </c>
      <c r="B2564" t="s">
        <v>16</v>
      </c>
      <c r="C2564" t="s">
        <v>17</v>
      </c>
      <c r="D2564" t="s">
        <v>99</v>
      </c>
      <c r="E2564" s="1" t="s">
        <v>1265</v>
      </c>
      <c r="F2564">
        <v>7</v>
      </c>
      <c r="G2564" s="1">
        <v>41212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1:16" hidden="1" x14ac:dyDescent="0.25">
      <c r="A2565" t="s">
        <v>1135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41184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 hidden="1" x14ac:dyDescent="0.25">
      <c r="A2566" t="s">
        <v>1136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41191</v>
      </c>
      <c r="H2566">
        <v>41</v>
      </c>
      <c r="I2566">
        <v>2016</v>
      </c>
      <c r="J2566" t="s">
        <v>77</v>
      </c>
      <c r="K2566" t="s">
        <v>73</v>
      </c>
      <c r="L2566" t="s">
        <v>75</v>
      </c>
      <c r="M2566" t="s">
        <v>74</v>
      </c>
      <c r="N2566" t="s">
        <v>75</v>
      </c>
      <c r="O2566" t="s">
        <v>75</v>
      </c>
      <c r="P2566" t="s">
        <v>75</v>
      </c>
    </row>
    <row r="2567" spans="1:16" hidden="1" x14ac:dyDescent="0.25">
      <c r="A2567" t="s">
        <v>1137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41198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75</v>
      </c>
      <c r="N2567" t="s">
        <v>75</v>
      </c>
      <c r="O2567" t="s">
        <v>75</v>
      </c>
      <c r="P2567" t="s">
        <v>73</v>
      </c>
    </row>
    <row r="2568" spans="1:16" hidden="1" x14ac:dyDescent="0.25">
      <c r="A2568" t="s">
        <v>1138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41205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 hidden="1" x14ac:dyDescent="0.25">
      <c r="A2569" t="s">
        <v>1139</v>
      </c>
      <c r="B2569" t="s">
        <v>18</v>
      </c>
      <c r="C2569" t="s">
        <v>19</v>
      </c>
      <c r="D2569" t="s">
        <v>100</v>
      </c>
      <c r="E2569" s="1" t="s">
        <v>1265</v>
      </c>
      <c r="F2569">
        <v>9</v>
      </c>
      <c r="G2569" s="1">
        <v>41212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 hidden="1" x14ac:dyDescent="0.25">
      <c r="A2570" t="s">
        <v>1140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41184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 hidden="1" x14ac:dyDescent="0.25">
      <c r="A2571" t="s">
        <v>1141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41191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74</v>
      </c>
      <c r="O2571" t="s">
        <v>75</v>
      </c>
      <c r="P2571" t="s">
        <v>74</v>
      </c>
    </row>
    <row r="2572" spans="1:16" hidden="1" x14ac:dyDescent="0.25">
      <c r="A2572" t="s">
        <v>1142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41198</v>
      </c>
      <c r="H2572">
        <v>42</v>
      </c>
      <c r="I2572">
        <v>2016</v>
      </c>
      <c r="J2572" t="s">
        <v>75</v>
      </c>
      <c r="K2572" t="s">
        <v>73</v>
      </c>
      <c r="L2572" t="s">
        <v>74</v>
      </c>
      <c r="M2572" t="s">
        <v>74</v>
      </c>
      <c r="N2572" t="s">
        <v>75</v>
      </c>
      <c r="O2572" t="s">
        <v>92</v>
      </c>
      <c r="P2572" t="s">
        <v>92</v>
      </c>
    </row>
    <row r="2573" spans="1:16" hidden="1" x14ac:dyDescent="0.25">
      <c r="A2573" t="s">
        <v>1143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41205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 hidden="1" x14ac:dyDescent="0.25">
      <c r="A2574" t="s">
        <v>1144</v>
      </c>
      <c r="B2574" t="s">
        <v>20</v>
      </c>
      <c r="C2574" t="s">
        <v>21</v>
      </c>
      <c r="D2574" t="s">
        <v>101</v>
      </c>
      <c r="E2574" s="1" t="s">
        <v>1265</v>
      </c>
      <c r="F2574">
        <v>8</v>
      </c>
      <c r="G2574" s="1">
        <v>41212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 hidden="1" x14ac:dyDescent="0.25">
      <c r="A2575" t="s">
        <v>1145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41184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 hidden="1" x14ac:dyDescent="0.25">
      <c r="A2576" t="s">
        <v>1146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41191</v>
      </c>
      <c r="H2576">
        <v>41</v>
      </c>
      <c r="I2576">
        <v>2016</v>
      </c>
      <c r="J2576" t="s">
        <v>76</v>
      </c>
      <c r="K2576" t="s">
        <v>77</v>
      </c>
      <c r="L2576" t="s">
        <v>73</v>
      </c>
      <c r="M2576" t="s">
        <v>75</v>
      </c>
      <c r="N2576" t="s">
        <v>75</v>
      </c>
      <c r="O2576" t="s">
        <v>74</v>
      </c>
      <c r="P2576" t="s">
        <v>76</v>
      </c>
    </row>
    <row r="2577" spans="1:16" hidden="1" x14ac:dyDescent="0.25">
      <c r="A2577" t="s">
        <v>1147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41198</v>
      </c>
      <c r="H2577">
        <v>42</v>
      </c>
      <c r="I2577">
        <v>2016</v>
      </c>
      <c r="J2577" t="s">
        <v>77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 hidden="1" x14ac:dyDescent="0.25">
      <c r="A2578" t="s">
        <v>1148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41205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 hidden="1" x14ac:dyDescent="0.25">
      <c r="A2579" t="s">
        <v>1149</v>
      </c>
      <c r="B2579" t="s">
        <v>22</v>
      </c>
      <c r="C2579" t="s">
        <v>17</v>
      </c>
      <c r="D2579" t="s">
        <v>102</v>
      </c>
      <c r="E2579" s="1" t="s">
        <v>1266</v>
      </c>
      <c r="F2579">
        <v>6</v>
      </c>
      <c r="G2579" s="1">
        <v>41212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75</v>
      </c>
      <c r="N2579" t="s">
        <v>75</v>
      </c>
      <c r="O2579" t="s">
        <v>73</v>
      </c>
      <c r="P2579" t="s">
        <v>75</v>
      </c>
    </row>
    <row r="2580" spans="1:16" hidden="1" x14ac:dyDescent="0.25">
      <c r="A2580" t="s">
        <v>1150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41184</v>
      </c>
      <c r="H2580">
        <v>40</v>
      </c>
      <c r="I2580">
        <v>2016</v>
      </c>
      <c r="J2580" t="s">
        <v>75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 hidden="1" x14ac:dyDescent="0.25">
      <c r="A2581" t="s">
        <v>1151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41191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 hidden="1" x14ac:dyDescent="0.25">
      <c r="A2582" t="s">
        <v>1152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41198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74</v>
      </c>
      <c r="O2582" t="s">
        <v>75</v>
      </c>
      <c r="P2582" t="s">
        <v>73</v>
      </c>
    </row>
    <row r="2583" spans="1:16" hidden="1" x14ac:dyDescent="0.25">
      <c r="A2583" t="s">
        <v>1153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41205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133</v>
      </c>
      <c r="O2583" t="s">
        <v>73</v>
      </c>
      <c r="P2583" t="s">
        <v>75</v>
      </c>
    </row>
    <row r="2584" spans="1:16" hidden="1" x14ac:dyDescent="0.25">
      <c r="A2584" t="s">
        <v>1154</v>
      </c>
      <c r="B2584" t="s">
        <v>23</v>
      </c>
      <c r="C2584" t="s">
        <v>24</v>
      </c>
      <c r="D2584" t="s">
        <v>103</v>
      </c>
      <c r="E2584" s="1" t="s">
        <v>1266</v>
      </c>
      <c r="F2584">
        <v>1</v>
      </c>
      <c r="G2584" s="1">
        <v>41212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 hidden="1" x14ac:dyDescent="0.25">
      <c r="A2585" t="s">
        <v>1155</v>
      </c>
      <c r="B2585" t="s">
        <v>23</v>
      </c>
      <c r="C2585" t="s">
        <v>55</v>
      </c>
      <c r="D2585" t="s">
        <v>126</v>
      </c>
      <c r="E2585" s="1" t="s">
        <v>72</v>
      </c>
      <c r="F2585">
        <v>9999</v>
      </c>
      <c r="G2585" s="1">
        <v>41184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75</v>
      </c>
      <c r="P2585" t="s">
        <v>75</v>
      </c>
    </row>
    <row r="2586" spans="1:16" hidden="1" x14ac:dyDescent="0.25">
      <c r="A2586" t="s">
        <v>1156</v>
      </c>
      <c r="B2586" t="s">
        <v>23</v>
      </c>
      <c r="C2586" t="s">
        <v>55</v>
      </c>
      <c r="D2586" t="s">
        <v>126</v>
      </c>
      <c r="E2586" s="1" t="s">
        <v>72</v>
      </c>
      <c r="F2586">
        <v>9999</v>
      </c>
      <c r="G2586" s="1">
        <v>41191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 hidden="1" x14ac:dyDescent="0.25">
      <c r="A2587" t="s">
        <v>1157</v>
      </c>
      <c r="B2587" t="s">
        <v>23</v>
      </c>
      <c r="C2587" t="s">
        <v>55</v>
      </c>
      <c r="D2587" t="s">
        <v>126</v>
      </c>
      <c r="E2587" s="1" t="s">
        <v>72</v>
      </c>
      <c r="F2587">
        <v>9999</v>
      </c>
      <c r="G2587" s="1">
        <v>41198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74</v>
      </c>
      <c r="O2587" t="s">
        <v>75</v>
      </c>
      <c r="P2587" t="s">
        <v>76</v>
      </c>
    </row>
    <row r="2588" spans="1:16" hidden="1" x14ac:dyDescent="0.25">
      <c r="A2588" t="s">
        <v>1158</v>
      </c>
      <c r="B2588" t="s">
        <v>23</v>
      </c>
      <c r="C2588" t="s">
        <v>55</v>
      </c>
      <c r="D2588" t="s">
        <v>126</v>
      </c>
      <c r="E2588" s="1" t="s">
        <v>72</v>
      </c>
      <c r="F2588">
        <v>9999</v>
      </c>
      <c r="G2588" s="1">
        <v>41205</v>
      </c>
      <c r="H2588">
        <v>43</v>
      </c>
      <c r="I2588">
        <v>2016</v>
      </c>
      <c r="J2588" t="s">
        <v>77</v>
      </c>
      <c r="K2588" t="s">
        <v>73</v>
      </c>
      <c r="L2588" t="s">
        <v>75</v>
      </c>
      <c r="M2588" t="s">
        <v>74</v>
      </c>
      <c r="N2588" t="s">
        <v>75</v>
      </c>
      <c r="O2588" t="s">
        <v>74</v>
      </c>
      <c r="P2588" t="s">
        <v>74</v>
      </c>
    </row>
    <row r="2589" spans="1:16" hidden="1" x14ac:dyDescent="0.25">
      <c r="A2589" t="s">
        <v>1159</v>
      </c>
      <c r="B2589" t="s">
        <v>23</v>
      </c>
      <c r="C2589" t="s">
        <v>55</v>
      </c>
      <c r="D2589" t="s">
        <v>126</v>
      </c>
      <c r="E2589" s="1" t="s">
        <v>1265</v>
      </c>
      <c r="F2589">
        <v>7</v>
      </c>
      <c r="G2589" s="1">
        <v>41212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133</v>
      </c>
      <c r="N2589" t="s">
        <v>74</v>
      </c>
      <c r="O2589" t="s">
        <v>75</v>
      </c>
      <c r="P2589" t="s">
        <v>73</v>
      </c>
    </row>
    <row r="2590" spans="1:16" hidden="1" x14ac:dyDescent="0.25">
      <c r="A2590" t="s">
        <v>1160</v>
      </c>
      <c r="B2590" t="s">
        <v>25</v>
      </c>
      <c r="C2590" t="s">
        <v>131</v>
      </c>
      <c r="D2590" t="s">
        <v>104</v>
      </c>
      <c r="E2590" s="1" t="s">
        <v>72</v>
      </c>
      <c r="F2590">
        <v>9999</v>
      </c>
      <c r="G2590" s="1">
        <v>41184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 hidden="1" x14ac:dyDescent="0.25">
      <c r="A2591" t="s">
        <v>1161</v>
      </c>
      <c r="B2591" t="s">
        <v>25</v>
      </c>
      <c r="C2591" t="s">
        <v>131</v>
      </c>
      <c r="D2591" t="s">
        <v>104</v>
      </c>
      <c r="E2591" s="1" t="s">
        <v>72</v>
      </c>
      <c r="F2591">
        <v>9999</v>
      </c>
      <c r="G2591" s="1">
        <v>41191</v>
      </c>
      <c r="H2591">
        <v>41</v>
      </c>
      <c r="I2591">
        <v>2016</v>
      </c>
      <c r="J2591" t="s">
        <v>73</v>
      </c>
      <c r="K2591" t="s">
        <v>74</v>
      </c>
      <c r="L2591" t="s">
        <v>74</v>
      </c>
      <c r="M2591" t="s">
        <v>75</v>
      </c>
      <c r="N2591" t="s">
        <v>74</v>
      </c>
      <c r="O2591" t="s">
        <v>75</v>
      </c>
      <c r="P2591" t="s">
        <v>73</v>
      </c>
    </row>
    <row r="2592" spans="1:16" hidden="1" x14ac:dyDescent="0.25">
      <c r="A2592" t="s">
        <v>1162</v>
      </c>
      <c r="B2592" t="s">
        <v>25</v>
      </c>
      <c r="C2592" t="s">
        <v>131</v>
      </c>
      <c r="D2592" t="s">
        <v>104</v>
      </c>
      <c r="E2592" s="1" t="s">
        <v>72</v>
      </c>
      <c r="F2592">
        <v>9999</v>
      </c>
      <c r="G2592" s="1">
        <v>41198</v>
      </c>
      <c r="H2592">
        <v>42</v>
      </c>
      <c r="I2592">
        <v>2016</v>
      </c>
      <c r="J2592" t="s">
        <v>75</v>
      </c>
      <c r="K2592" t="s">
        <v>133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 hidden="1" x14ac:dyDescent="0.25">
      <c r="A2593" t="s">
        <v>1163</v>
      </c>
      <c r="B2593" t="s">
        <v>25</v>
      </c>
      <c r="C2593" t="s">
        <v>131</v>
      </c>
      <c r="D2593" t="s">
        <v>104</v>
      </c>
      <c r="E2593" s="1" t="s">
        <v>72</v>
      </c>
      <c r="F2593">
        <v>9999</v>
      </c>
      <c r="G2593" s="1">
        <v>41205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75</v>
      </c>
      <c r="P2593" t="s">
        <v>75</v>
      </c>
    </row>
    <row r="2594" spans="1:16" hidden="1" x14ac:dyDescent="0.25">
      <c r="A2594" t="s">
        <v>1164</v>
      </c>
      <c r="B2594" t="s">
        <v>25</v>
      </c>
      <c r="C2594" t="s">
        <v>131</v>
      </c>
      <c r="D2594" t="s">
        <v>104</v>
      </c>
      <c r="E2594" s="1" t="s">
        <v>1265</v>
      </c>
      <c r="F2594">
        <v>10</v>
      </c>
      <c r="G2594" s="1">
        <v>41212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 hidden="1" x14ac:dyDescent="0.25">
      <c r="A2595" t="s">
        <v>1165</v>
      </c>
      <c r="B2595" t="s">
        <v>56</v>
      </c>
      <c r="C2595" t="s">
        <v>57</v>
      </c>
      <c r="D2595" t="s">
        <v>128</v>
      </c>
      <c r="E2595" s="1" t="s">
        <v>72</v>
      </c>
      <c r="F2595">
        <v>9999</v>
      </c>
      <c r="G2595" s="1">
        <v>41184</v>
      </c>
      <c r="H2595">
        <v>40</v>
      </c>
      <c r="I2595">
        <v>2016</v>
      </c>
      <c r="J2595" t="s">
        <v>75</v>
      </c>
      <c r="K2595" t="s">
        <v>74</v>
      </c>
      <c r="L2595" t="s">
        <v>75</v>
      </c>
      <c r="M2595" t="s">
        <v>75</v>
      </c>
      <c r="N2595" t="s">
        <v>73</v>
      </c>
      <c r="O2595" t="s">
        <v>74</v>
      </c>
      <c r="P2595" t="s">
        <v>74</v>
      </c>
    </row>
    <row r="2596" spans="1:16" hidden="1" x14ac:dyDescent="0.25">
      <c r="A2596" t="s">
        <v>1166</v>
      </c>
      <c r="B2596" t="s">
        <v>56</v>
      </c>
      <c r="C2596" t="s">
        <v>57</v>
      </c>
      <c r="D2596" t="s">
        <v>128</v>
      </c>
      <c r="E2596" s="1" t="s">
        <v>72</v>
      </c>
      <c r="F2596">
        <v>9999</v>
      </c>
      <c r="G2596" s="1">
        <v>41191</v>
      </c>
      <c r="H2596">
        <v>41</v>
      </c>
      <c r="I2596">
        <v>2016</v>
      </c>
      <c r="J2596" t="s">
        <v>74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 hidden="1" x14ac:dyDescent="0.25">
      <c r="A2597" t="s">
        <v>1167</v>
      </c>
      <c r="B2597" t="s">
        <v>56</v>
      </c>
      <c r="C2597" t="s">
        <v>57</v>
      </c>
      <c r="D2597" t="s">
        <v>128</v>
      </c>
      <c r="E2597" s="1" t="s">
        <v>72</v>
      </c>
      <c r="F2597">
        <v>9999</v>
      </c>
      <c r="G2597" s="1">
        <v>41198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 hidden="1" x14ac:dyDescent="0.25">
      <c r="A2598" t="s">
        <v>1168</v>
      </c>
      <c r="B2598" t="s">
        <v>56</v>
      </c>
      <c r="C2598" t="s">
        <v>57</v>
      </c>
      <c r="D2598" t="s">
        <v>128</v>
      </c>
      <c r="E2598" s="1" t="s">
        <v>72</v>
      </c>
      <c r="F2598">
        <v>9999</v>
      </c>
      <c r="G2598" s="1">
        <v>41205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 hidden="1" x14ac:dyDescent="0.25">
      <c r="A2599" t="s">
        <v>1169</v>
      </c>
      <c r="B2599" t="s">
        <v>56</v>
      </c>
      <c r="C2599" t="s">
        <v>57</v>
      </c>
      <c r="D2599" t="s">
        <v>128</v>
      </c>
      <c r="E2599" s="1" t="s">
        <v>1265</v>
      </c>
      <c r="F2599">
        <v>2</v>
      </c>
      <c r="G2599" s="1">
        <v>41212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 hidden="1" x14ac:dyDescent="0.25">
      <c r="A2600" t="s">
        <v>1170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41184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 hidden="1" x14ac:dyDescent="0.25">
      <c r="A2601" t="s">
        <v>1171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41191</v>
      </c>
      <c r="H2601">
        <v>41</v>
      </c>
      <c r="I2601">
        <v>2016</v>
      </c>
      <c r="J2601" t="s">
        <v>74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 hidden="1" x14ac:dyDescent="0.25">
      <c r="A2602" t="s">
        <v>1172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41198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92</v>
      </c>
      <c r="O2602" t="s">
        <v>74</v>
      </c>
      <c r="P2602" t="s">
        <v>73</v>
      </c>
    </row>
    <row r="2603" spans="1:16" hidden="1" x14ac:dyDescent="0.25">
      <c r="A2603" t="s">
        <v>1173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41205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 hidden="1" x14ac:dyDescent="0.25">
      <c r="A2604" t="s">
        <v>1174</v>
      </c>
      <c r="B2604" t="s">
        <v>26</v>
      </c>
      <c r="C2604" t="s">
        <v>27</v>
      </c>
      <c r="D2604" t="s">
        <v>105</v>
      </c>
      <c r="E2604" s="1" t="s">
        <v>1265</v>
      </c>
      <c r="F2604">
        <v>3</v>
      </c>
      <c r="G2604" s="1">
        <v>41212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92</v>
      </c>
      <c r="P2604" t="s">
        <v>92</v>
      </c>
    </row>
    <row r="2605" spans="1:16" hidden="1" x14ac:dyDescent="0.25">
      <c r="A2605" t="s">
        <v>1175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41184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 hidden="1" x14ac:dyDescent="0.25">
      <c r="A2606" t="s">
        <v>1176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41191</v>
      </c>
      <c r="H2606">
        <v>41</v>
      </c>
      <c r="I2606">
        <v>2016</v>
      </c>
      <c r="J2606" t="s">
        <v>77</v>
      </c>
      <c r="K2606" t="s">
        <v>73</v>
      </c>
      <c r="L2606" t="s">
        <v>75</v>
      </c>
      <c r="M2606" t="s">
        <v>75</v>
      </c>
      <c r="N2606" t="s">
        <v>75</v>
      </c>
      <c r="O2606" t="s">
        <v>75</v>
      </c>
      <c r="P2606" t="s">
        <v>74</v>
      </c>
    </row>
    <row r="2607" spans="1:16" hidden="1" x14ac:dyDescent="0.25">
      <c r="A2607" t="s">
        <v>1177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41198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75</v>
      </c>
      <c r="O2607" t="s">
        <v>75</v>
      </c>
      <c r="P2607" t="s">
        <v>73</v>
      </c>
    </row>
    <row r="2608" spans="1:16" hidden="1" x14ac:dyDescent="0.25">
      <c r="A2608" t="s">
        <v>1178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41205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133</v>
      </c>
    </row>
    <row r="2609" spans="1:16" hidden="1" x14ac:dyDescent="0.25">
      <c r="A2609" t="s">
        <v>1179</v>
      </c>
      <c r="B2609" t="s">
        <v>28</v>
      </c>
      <c r="C2609" t="s">
        <v>29</v>
      </c>
      <c r="D2609" t="s">
        <v>106</v>
      </c>
      <c r="E2609" s="1" t="s">
        <v>1265</v>
      </c>
      <c r="F2609">
        <v>9</v>
      </c>
      <c r="G2609" s="1">
        <v>41212</v>
      </c>
      <c r="H2609">
        <v>44</v>
      </c>
      <c r="I2609">
        <v>2016</v>
      </c>
      <c r="J2609" t="s">
        <v>75</v>
      </c>
      <c r="K2609" t="s">
        <v>75</v>
      </c>
      <c r="L2609" t="s">
        <v>74</v>
      </c>
      <c r="M2609" t="s">
        <v>75</v>
      </c>
      <c r="N2609" t="s">
        <v>73</v>
      </c>
      <c r="O2609" t="s">
        <v>75</v>
      </c>
      <c r="P2609" t="s">
        <v>74</v>
      </c>
    </row>
    <row r="2610" spans="1:16" hidden="1" x14ac:dyDescent="0.25">
      <c r="A2610" t="s">
        <v>1180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41184</v>
      </c>
      <c r="H2610">
        <v>40</v>
      </c>
      <c r="I2610">
        <v>2016</v>
      </c>
      <c r="J2610" t="s">
        <v>73</v>
      </c>
      <c r="K2610" t="s">
        <v>92</v>
      </c>
      <c r="L2610" t="s">
        <v>92</v>
      </c>
      <c r="M2610" t="s">
        <v>92</v>
      </c>
      <c r="N2610" t="s">
        <v>1281</v>
      </c>
      <c r="O2610" t="s">
        <v>75</v>
      </c>
      <c r="P2610" t="s">
        <v>73</v>
      </c>
    </row>
    <row r="2611" spans="1:16" hidden="1" x14ac:dyDescent="0.25">
      <c r="A2611" t="s">
        <v>1181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41191</v>
      </c>
      <c r="H2611">
        <v>41</v>
      </c>
      <c r="I2611">
        <v>2016</v>
      </c>
      <c r="J2611" t="s">
        <v>75</v>
      </c>
      <c r="K2611" t="s">
        <v>75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 hidden="1" x14ac:dyDescent="0.25">
      <c r="A2612" t="s">
        <v>1182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41198</v>
      </c>
      <c r="H2612">
        <v>42</v>
      </c>
      <c r="I2612">
        <v>2016</v>
      </c>
      <c r="J2612" t="s">
        <v>75</v>
      </c>
      <c r="K2612" t="s">
        <v>75</v>
      </c>
      <c r="L2612" t="s">
        <v>75</v>
      </c>
      <c r="M2612" t="s">
        <v>75</v>
      </c>
      <c r="N2612" t="s">
        <v>73</v>
      </c>
      <c r="O2612" t="s">
        <v>1281</v>
      </c>
      <c r="P2612" t="s">
        <v>75</v>
      </c>
    </row>
    <row r="2613" spans="1:16" hidden="1" x14ac:dyDescent="0.25">
      <c r="A2613" t="s">
        <v>1183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41205</v>
      </c>
      <c r="H2613">
        <v>43</v>
      </c>
      <c r="I2613">
        <v>2016</v>
      </c>
      <c r="J2613" t="s">
        <v>74</v>
      </c>
      <c r="K2613" t="s">
        <v>75</v>
      </c>
      <c r="L2613" t="s">
        <v>133</v>
      </c>
      <c r="M2613" t="s">
        <v>73</v>
      </c>
      <c r="N2613" t="s">
        <v>75</v>
      </c>
      <c r="O2613" t="s">
        <v>1281</v>
      </c>
      <c r="P2613" t="s">
        <v>75</v>
      </c>
    </row>
    <row r="2614" spans="1:16" hidden="1" x14ac:dyDescent="0.25">
      <c r="A2614" t="s">
        <v>1184</v>
      </c>
      <c r="B2614" t="s">
        <v>30</v>
      </c>
      <c r="C2614" t="s">
        <v>8</v>
      </c>
      <c r="D2614" t="s">
        <v>107</v>
      </c>
      <c r="E2614" s="1" t="s">
        <v>1266</v>
      </c>
      <c r="F2614">
        <v>3</v>
      </c>
      <c r="G2614" s="1">
        <v>41212</v>
      </c>
      <c r="H2614">
        <v>44</v>
      </c>
      <c r="I2614">
        <v>2016</v>
      </c>
      <c r="J2614" t="s">
        <v>74</v>
      </c>
      <c r="K2614" t="s">
        <v>75</v>
      </c>
      <c r="L2614" t="s">
        <v>73</v>
      </c>
      <c r="M2614" t="s">
        <v>75</v>
      </c>
      <c r="N2614" t="s">
        <v>75</v>
      </c>
      <c r="O2614" t="s">
        <v>75</v>
      </c>
      <c r="P2614" t="s">
        <v>75</v>
      </c>
    </row>
    <row r="2615" spans="1:16" hidden="1" x14ac:dyDescent="0.25">
      <c r="A2615" t="s">
        <v>1185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41184</v>
      </c>
      <c r="H2615">
        <v>40</v>
      </c>
      <c r="I2615">
        <v>2016</v>
      </c>
      <c r="J2615" t="s">
        <v>75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 hidden="1" x14ac:dyDescent="0.25">
      <c r="A2616" t="s">
        <v>1186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41191</v>
      </c>
      <c r="H2616">
        <v>41</v>
      </c>
      <c r="I2616">
        <v>2016</v>
      </c>
      <c r="J2616" t="s">
        <v>75</v>
      </c>
      <c r="K2616" t="s">
        <v>75</v>
      </c>
      <c r="L2616" t="s">
        <v>76</v>
      </c>
      <c r="M2616" t="s">
        <v>77</v>
      </c>
      <c r="N2616" t="s">
        <v>73</v>
      </c>
      <c r="O2616" t="s">
        <v>75</v>
      </c>
      <c r="P2616" t="s">
        <v>75</v>
      </c>
    </row>
    <row r="2617" spans="1:16" hidden="1" x14ac:dyDescent="0.25">
      <c r="A2617" t="s">
        <v>1187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41198</v>
      </c>
      <c r="H2617">
        <v>42</v>
      </c>
      <c r="I2617">
        <v>2016</v>
      </c>
      <c r="J2617" t="s">
        <v>75</v>
      </c>
      <c r="K2617" t="s">
        <v>75</v>
      </c>
      <c r="L2617" t="s">
        <v>75</v>
      </c>
      <c r="M2617" t="s">
        <v>73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1188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41205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75</v>
      </c>
      <c r="N2618" t="s">
        <v>75</v>
      </c>
      <c r="O2618" t="s">
        <v>75</v>
      </c>
      <c r="P2618" t="s">
        <v>76</v>
      </c>
    </row>
    <row r="2619" spans="1:16" hidden="1" x14ac:dyDescent="0.25">
      <c r="A2619" t="s">
        <v>1189</v>
      </c>
      <c r="B2619" t="s">
        <v>30</v>
      </c>
      <c r="C2619" t="s">
        <v>31</v>
      </c>
      <c r="D2619" t="s">
        <v>108</v>
      </c>
      <c r="E2619" s="1" t="s">
        <v>1265</v>
      </c>
      <c r="F2619">
        <v>6</v>
      </c>
      <c r="G2619" s="1">
        <v>41212</v>
      </c>
      <c r="H2619">
        <v>44</v>
      </c>
      <c r="I2619">
        <v>2016</v>
      </c>
      <c r="J2619" t="s">
        <v>77</v>
      </c>
      <c r="K2619" t="s">
        <v>73</v>
      </c>
      <c r="L2619" t="s">
        <v>75</v>
      </c>
      <c r="M2619" t="s">
        <v>75</v>
      </c>
      <c r="N2619" t="s">
        <v>75</v>
      </c>
      <c r="O2619" t="s">
        <v>75</v>
      </c>
      <c r="P2619" t="s">
        <v>75</v>
      </c>
    </row>
    <row r="2620" spans="1:16" hidden="1" x14ac:dyDescent="0.25">
      <c r="A2620" t="s">
        <v>1190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41184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 hidden="1" x14ac:dyDescent="0.25">
      <c r="A2621" t="s">
        <v>1191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41191</v>
      </c>
      <c r="H2621">
        <v>41</v>
      </c>
      <c r="I2621">
        <v>2016</v>
      </c>
      <c r="J2621" t="s">
        <v>75</v>
      </c>
      <c r="K2621" t="s">
        <v>74</v>
      </c>
      <c r="L2621" t="s">
        <v>74</v>
      </c>
      <c r="M2621" t="s">
        <v>73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1192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41198</v>
      </c>
      <c r="H2622">
        <v>42</v>
      </c>
      <c r="I2622">
        <v>2016</v>
      </c>
      <c r="J2622" t="s">
        <v>92</v>
      </c>
      <c r="K2622" t="s">
        <v>133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 hidden="1" x14ac:dyDescent="0.25">
      <c r="A2623" t="s">
        <v>1193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41205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 hidden="1" x14ac:dyDescent="0.25">
      <c r="A2624" t="s">
        <v>1194</v>
      </c>
      <c r="B2624" t="s">
        <v>32</v>
      </c>
      <c r="C2624" t="s">
        <v>33</v>
      </c>
      <c r="D2624" t="s">
        <v>109</v>
      </c>
      <c r="E2624" s="1" t="s">
        <v>1266</v>
      </c>
      <c r="F2624">
        <v>5</v>
      </c>
      <c r="G2624" s="1">
        <v>41212</v>
      </c>
      <c r="H2624">
        <v>44</v>
      </c>
      <c r="I2624">
        <v>2016</v>
      </c>
      <c r="J2624" t="s">
        <v>73</v>
      </c>
      <c r="K2624" t="s">
        <v>75</v>
      </c>
      <c r="L2624" t="s">
        <v>74</v>
      </c>
      <c r="M2624" t="s">
        <v>74</v>
      </c>
      <c r="N2624" t="s">
        <v>75</v>
      </c>
      <c r="O2624" t="s">
        <v>74</v>
      </c>
      <c r="P2624" t="s">
        <v>73</v>
      </c>
    </row>
    <row r="2625" spans="1:16" hidden="1" x14ac:dyDescent="0.25">
      <c r="A2625" t="s">
        <v>1195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41184</v>
      </c>
      <c r="H2625">
        <v>40</v>
      </c>
      <c r="I2625">
        <v>2016</v>
      </c>
      <c r="J2625" t="s">
        <v>75</v>
      </c>
      <c r="K2625" t="s">
        <v>75</v>
      </c>
      <c r="L2625" t="s">
        <v>75</v>
      </c>
      <c r="M2625" t="s">
        <v>75</v>
      </c>
      <c r="N2625" t="s">
        <v>75</v>
      </c>
      <c r="O2625" t="s">
        <v>73</v>
      </c>
      <c r="P2625" t="s">
        <v>75</v>
      </c>
    </row>
    <row r="2626" spans="1:16" hidden="1" x14ac:dyDescent="0.25">
      <c r="A2626" t="s">
        <v>1196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41191</v>
      </c>
      <c r="H2626">
        <v>41</v>
      </c>
      <c r="I2626">
        <v>2016</v>
      </c>
      <c r="J2626" t="s">
        <v>74</v>
      </c>
      <c r="K2626" t="s">
        <v>75</v>
      </c>
      <c r="L2626" t="s">
        <v>74</v>
      </c>
      <c r="M2626" t="s">
        <v>75</v>
      </c>
      <c r="N2626" t="s">
        <v>73</v>
      </c>
      <c r="O2626" t="s">
        <v>74</v>
      </c>
      <c r="P2626" t="s">
        <v>75</v>
      </c>
    </row>
    <row r="2627" spans="1:16" hidden="1" x14ac:dyDescent="0.25">
      <c r="A2627" t="s">
        <v>1197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41198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74</v>
      </c>
      <c r="O2627" t="s">
        <v>75</v>
      </c>
      <c r="P2627" t="s">
        <v>75</v>
      </c>
    </row>
    <row r="2628" spans="1:16" hidden="1" x14ac:dyDescent="0.25">
      <c r="A2628" t="s">
        <v>1198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41205</v>
      </c>
      <c r="H2628">
        <v>43</v>
      </c>
      <c r="I2628">
        <v>2016</v>
      </c>
      <c r="J2628" t="s">
        <v>74</v>
      </c>
      <c r="K2628" t="s">
        <v>75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1199</v>
      </c>
      <c r="B2629" t="s">
        <v>32</v>
      </c>
      <c r="C2629" t="s">
        <v>34</v>
      </c>
      <c r="D2629" t="s">
        <v>122</v>
      </c>
      <c r="E2629" s="1" t="s">
        <v>1266</v>
      </c>
      <c r="F2629">
        <v>4</v>
      </c>
      <c r="G2629" s="1">
        <v>41212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75</v>
      </c>
      <c r="O2629" t="s">
        <v>75</v>
      </c>
      <c r="P2629" t="s">
        <v>75</v>
      </c>
    </row>
    <row r="2630" spans="1:16" hidden="1" x14ac:dyDescent="0.25">
      <c r="A2630" t="s">
        <v>1200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41184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 hidden="1" x14ac:dyDescent="0.25">
      <c r="A2631" t="s">
        <v>1201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41191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 hidden="1" x14ac:dyDescent="0.25">
      <c r="A2632" t="s">
        <v>1202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41198</v>
      </c>
      <c r="H2632">
        <v>42</v>
      </c>
      <c r="I2632">
        <v>2016</v>
      </c>
      <c r="J2632" t="s">
        <v>75</v>
      </c>
      <c r="K2632" t="s">
        <v>75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 hidden="1" x14ac:dyDescent="0.25">
      <c r="A2633" t="s">
        <v>1203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41205</v>
      </c>
      <c r="H2633">
        <v>43</v>
      </c>
      <c r="I2633">
        <v>2016</v>
      </c>
      <c r="J2633" t="s">
        <v>75</v>
      </c>
      <c r="K2633" t="s">
        <v>74</v>
      </c>
      <c r="L2633" t="s">
        <v>75</v>
      </c>
      <c r="M2633" t="s">
        <v>73</v>
      </c>
      <c r="N2633" t="s">
        <v>74</v>
      </c>
      <c r="O2633" t="s">
        <v>75</v>
      </c>
      <c r="P2633" t="s">
        <v>75</v>
      </c>
    </row>
    <row r="2634" spans="1:16" hidden="1" x14ac:dyDescent="0.25">
      <c r="A2634" t="s">
        <v>1204</v>
      </c>
      <c r="B2634" t="s">
        <v>35</v>
      </c>
      <c r="C2634" t="s">
        <v>36</v>
      </c>
      <c r="D2634" t="s">
        <v>110</v>
      </c>
      <c r="E2634" s="1" t="s">
        <v>1265</v>
      </c>
      <c r="F2634">
        <v>11</v>
      </c>
      <c r="G2634" s="1">
        <v>41212</v>
      </c>
      <c r="H2634">
        <v>44</v>
      </c>
      <c r="I2634">
        <v>2016</v>
      </c>
      <c r="J2634" t="s">
        <v>75</v>
      </c>
      <c r="K2634" t="s">
        <v>133</v>
      </c>
      <c r="L2634" t="s">
        <v>73</v>
      </c>
      <c r="M2634" t="s">
        <v>74</v>
      </c>
      <c r="N2634" t="s">
        <v>75</v>
      </c>
      <c r="O2634" t="s">
        <v>76</v>
      </c>
      <c r="P2634" t="s">
        <v>77</v>
      </c>
    </row>
    <row r="2635" spans="1:16" hidden="1" x14ac:dyDescent="0.25">
      <c r="A2635" t="s">
        <v>1205</v>
      </c>
      <c r="B2635" t="s">
        <v>58</v>
      </c>
      <c r="C2635" t="s">
        <v>59</v>
      </c>
      <c r="D2635" t="s">
        <v>129</v>
      </c>
      <c r="E2635" s="1" t="s">
        <v>72</v>
      </c>
      <c r="F2635">
        <v>9999</v>
      </c>
      <c r="G2635" s="1">
        <v>41184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1206</v>
      </c>
      <c r="B2636" t="s">
        <v>58</v>
      </c>
      <c r="C2636" t="s">
        <v>59</v>
      </c>
      <c r="D2636" t="s">
        <v>129</v>
      </c>
      <c r="E2636" s="1" t="s">
        <v>72</v>
      </c>
      <c r="F2636">
        <v>9999</v>
      </c>
      <c r="G2636" s="1">
        <v>41191</v>
      </c>
      <c r="H2636">
        <v>41</v>
      </c>
      <c r="I2636">
        <v>2016</v>
      </c>
      <c r="J2636" t="s">
        <v>75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75</v>
      </c>
    </row>
    <row r="2637" spans="1:16" hidden="1" x14ac:dyDescent="0.25">
      <c r="A2637" t="s">
        <v>1207</v>
      </c>
      <c r="B2637" t="s">
        <v>58</v>
      </c>
      <c r="C2637" t="s">
        <v>59</v>
      </c>
      <c r="D2637" t="s">
        <v>129</v>
      </c>
      <c r="E2637" s="1" t="s">
        <v>72</v>
      </c>
      <c r="F2637">
        <v>9999</v>
      </c>
      <c r="G2637" s="1">
        <v>41198</v>
      </c>
      <c r="H2637">
        <v>42</v>
      </c>
      <c r="I2637">
        <v>2016</v>
      </c>
      <c r="J2637" t="s">
        <v>75</v>
      </c>
      <c r="K2637" t="s">
        <v>75</v>
      </c>
      <c r="L2637" t="s">
        <v>75</v>
      </c>
      <c r="M2637" t="s">
        <v>73</v>
      </c>
      <c r="N2637" t="s">
        <v>74</v>
      </c>
      <c r="O2637" t="s">
        <v>75</v>
      </c>
      <c r="P2637" t="s">
        <v>75</v>
      </c>
    </row>
    <row r="2638" spans="1:16" hidden="1" x14ac:dyDescent="0.25">
      <c r="A2638" t="s">
        <v>1208</v>
      </c>
      <c r="B2638" t="s">
        <v>58</v>
      </c>
      <c r="C2638" t="s">
        <v>59</v>
      </c>
      <c r="D2638" t="s">
        <v>129</v>
      </c>
      <c r="E2638" s="1" t="s">
        <v>72</v>
      </c>
      <c r="F2638">
        <v>9999</v>
      </c>
      <c r="G2638" s="1">
        <v>41205</v>
      </c>
      <c r="H2638">
        <v>43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75</v>
      </c>
      <c r="O2638" t="s">
        <v>75</v>
      </c>
      <c r="P2638" t="s">
        <v>75</v>
      </c>
    </row>
    <row r="2639" spans="1:16" hidden="1" x14ac:dyDescent="0.25">
      <c r="A2639" t="s">
        <v>1209</v>
      </c>
      <c r="B2639" t="s">
        <v>58</v>
      </c>
      <c r="C2639" t="s">
        <v>59</v>
      </c>
      <c r="D2639" t="s">
        <v>129</v>
      </c>
      <c r="E2639" s="1" t="s">
        <v>1266</v>
      </c>
      <c r="F2639">
        <v>3</v>
      </c>
      <c r="G2639" s="1">
        <v>41212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133</v>
      </c>
      <c r="N2639" t="s">
        <v>75</v>
      </c>
      <c r="O2639" t="s">
        <v>75</v>
      </c>
      <c r="P2639" t="s">
        <v>75</v>
      </c>
    </row>
    <row r="2640" spans="1:16" hidden="1" x14ac:dyDescent="0.25">
      <c r="A2640" t="s">
        <v>1210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41184</v>
      </c>
      <c r="H2640">
        <v>40</v>
      </c>
      <c r="I2640">
        <v>2016</v>
      </c>
      <c r="J2640" t="s">
        <v>74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 hidden="1" x14ac:dyDescent="0.25">
      <c r="A2641" t="s">
        <v>1211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41191</v>
      </c>
      <c r="H2641">
        <v>41</v>
      </c>
      <c r="I2641">
        <v>2016</v>
      </c>
      <c r="J2641" t="s">
        <v>75</v>
      </c>
      <c r="K2641" t="s">
        <v>75</v>
      </c>
      <c r="L2641" t="s">
        <v>75</v>
      </c>
      <c r="M2641" t="s">
        <v>75</v>
      </c>
      <c r="N2641" t="s">
        <v>73</v>
      </c>
      <c r="O2641" t="s">
        <v>74</v>
      </c>
      <c r="P2641" t="s">
        <v>75</v>
      </c>
    </row>
    <row r="2642" spans="1:16" hidden="1" x14ac:dyDescent="0.25">
      <c r="A2642" t="s">
        <v>1212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41198</v>
      </c>
      <c r="H2642">
        <v>42</v>
      </c>
      <c r="I2642">
        <v>2016</v>
      </c>
      <c r="J2642" t="s">
        <v>133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 hidden="1" x14ac:dyDescent="0.25">
      <c r="A2643" t="s">
        <v>1213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41205</v>
      </c>
      <c r="H2643">
        <v>43</v>
      </c>
      <c r="I2643">
        <v>2016</v>
      </c>
      <c r="J2643" t="s">
        <v>76</v>
      </c>
      <c r="K2643" t="s">
        <v>77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 hidden="1" x14ac:dyDescent="0.25">
      <c r="A2644" t="s">
        <v>1214</v>
      </c>
      <c r="B2644" t="s">
        <v>37</v>
      </c>
      <c r="C2644" t="s">
        <v>38</v>
      </c>
      <c r="D2644" t="s">
        <v>111</v>
      </c>
      <c r="E2644" s="1" t="s">
        <v>1265</v>
      </c>
      <c r="F2644">
        <v>1</v>
      </c>
      <c r="G2644" s="1">
        <v>41212</v>
      </c>
      <c r="H2644">
        <v>44</v>
      </c>
      <c r="I2644">
        <v>2016</v>
      </c>
      <c r="J2644" t="s">
        <v>73</v>
      </c>
      <c r="K2644" t="s">
        <v>75</v>
      </c>
      <c r="L2644" t="s">
        <v>74</v>
      </c>
      <c r="M2644" t="s">
        <v>75</v>
      </c>
      <c r="N2644" t="s">
        <v>76</v>
      </c>
      <c r="O2644" t="s">
        <v>77</v>
      </c>
      <c r="P2644" t="s">
        <v>73</v>
      </c>
    </row>
    <row r="2645" spans="1:16" hidden="1" x14ac:dyDescent="0.25">
      <c r="A2645" t="s">
        <v>1215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41184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1216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41191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1217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41198</v>
      </c>
      <c r="H2647">
        <v>42</v>
      </c>
      <c r="I2647">
        <v>2016</v>
      </c>
      <c r="J2647" t="s">
        <v>74</v>
      </c>
      <c r="K2647" t="s">
        <v>75</v>
      </c>
      <c r="L2647" t="s">
        <v>74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1218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41205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1219</v>
      </c>
      <c r="B2649" t="s">
        <v>39</v>
      </c>
      <c r="C2649" t="s">
        <v>40</v>
      </c>
      <c r="D2649" t="s">
        <v>112</v>
      </c>
      <c r="E2649" s="1" t="s">
        <v>1266</v>
      </c>
      <c r="F2649">
        <v>2</v>
      </c>
      <c r="G2649" s="1">
        <v>41212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75</v>
      </c>
      <c r="P2649" t="s">
        <v>75</v>
      </c>
    </row>
    <row r="2650" spans="1:16" hidden="1" x14ac:dyDescent="0.25">
      <c r="A2650" t="s">
        <v>1220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41184</v>
      </c>
      <c r="H2650">
        <v>40</v>
      </c>
      <c r="I2650">
        <v>2016</v>
      </c>
      <c r="J2650" t="s">
        <v>73</v>
      </c>
      <c r="K2650" t="s">
        <v>74</v>
      </c>
      <c r="L2650" t="s">
        <v>74</v>
      </c>
      <c r="M2650" t="s">
        <v>74</v>
      </c>
      <c r="N2650" t="s">
        <v>76</v>
      </c>
      <c r="O2650" t="s">
        <v>77</v>
      </c>
      <c r="P2650" t="s">
        <v>73</v>
      </c>
    </row>
    <row r="2651" spans="1:16" hidden="1" x14ac:dyDescent="0.25">
      <c r="A2651" t="s">
        <v>1221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41191</v>
      </c>
      <c r="H2651">
        <v>41</v>
      </c>
      <c r="I2651">
        <v>2016</v>
      </c>
      <c r="J2651" t="s">
        <v>74</v>
      </c>
      <c r="K2651" t="s">
        <v>92</v>
      </c>
      <c r="L2651" t="s">
        <v>74</v>
      </c>
      <c r="M2651" t="s">
        <v>74</v>
      </c>
      <c r="N2651" t="s">
        <v>74</v>
      </c>
      <c r="O2651" t="s">
        <v>73</v>
      </c>
      <c r="P2651" t="s">
        <v>74</v>
      </c>
    </row>
    <row r="2652" spans="1:16" hidden="1" x14ac:dyDescent="0.25">
      <c r="A2652" t="s">
        <v>1222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41198</v>
      </c>
      <c r="H2652">
        <v>42</v>
      </c>
      <c r="I2652">
        <v>2016</v>
      </c>
      <c r="J2652" t="s">
        <v>74</v>
      </c>
      <c r="K2652" t="s">
        <v>74</v>
      </c>
      <c r="L2652" t="s">
        <v>76</v>
      </c>
      <c r="M2652" t="s">
        <v>77</v>
      </c>
      <c r="N2652" t="s">
        <v>73</v>
      </c>
      <c r="O2652" t="s">
        <v>74</v>
      </c>
      <c r="P2652" t="s">
        <v>74</v>
      </c>
    </row>
    <row r="2653" spans="1:16" hidden="1" x14ac:dyDescent="0.25">
      <c r="A2653" t="s">
        <v>1223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41205</v>
      </c>
      <c r="H2653">
        <v>43</v>
      </c>
      <c r="I2653">
        <v>2016</v>
      </c>
      <c r="J2653" t="s">
        <v>74</v>
      </c>
      <c r="K2653" t="s">
        <v>74</v>
      </c>
      <c r="L2653" t="s">
        <v>74</v>
      </c>
      <c r="M2653" t="s">
        <v>73</v>
      </c>
      <c r="N2653" t="s">
        <v>74</v>
      </c>
      <c r="O2653" t="s">
        <v>74</v>
      </c>
      <c r="P2653" t="s">
        <v>74</v>
      </c>
    </row>
    <row r="2654" spans="1:16" hidden="1" x14ac:dyDescent="0.25">
      <c r="A2654" t="s">
        <v>1224</v>
      </c>
      <c r="B2654" t="s">
        <v>41</v>
      </c>
      <c r="C2654" t="s">
        <v>42</v>
      </c>
      <c r="D2654" t="s">
        <v>113</v>
      </c>
      <c r="E2654" s="1" t="s">
        <v>1265</v>
      </c>
      <c r="F2654">
        <v>5</v>
      </c>
      <c r="G2654" s="1">
        <v>41212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74</v>
      </c>
      <c r="O2654" t="s">
        <v>75</v>
      </c>
      <c r="P2654" t="s">
        <v>76</v>
      </c>
    </row>
    <row r="2655" spans="1:16" hidden="1" x14ac:dyDescent="0.25">
      <c r="A2655" t="s">
        <v>1225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41184</v>
      </c>
      <c r="H2655">
        <v>40</v>
      </c>
      <c r="I2655">
        <v>2016</v>
      </c>
      <c r="J2655" t="s">
        <v>74</v>
      </c>
      <c r="K2655" t="s">
        <v>75</v>
      </c>
      <c r="L2655" t="s">
        <v>75</v>
      </c>
      <c r="M2655" t="s">
        <v>73</v>
      </c>
      <c r="N2655" t="s">
        <v>74</v>
      </c>
      <c r="O2655" t="s">
        <v>74</v>
      </c>
      <c r="P2655" t="s">
        <v>75</v>
      </c>
    </row>
    <row r="2656" spans="1:16" hidden="1" x14ac:dyDescent="0.25">
      <c r="A2656" t="s">
        <v>1226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41191</v>
      </c>
      <c r="H2656">
        <v>41</v>
      </c>
      <c r="I2656">
        <v>2016</v>
      </c>
      <c r="J2656" t="s">
        <v>74</v>
      </c>
      <c r="K2656" t="s">
        <v>75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 hidden="1" x14ac:dyDescent="0.25">
      <c r="A2657" t="s">
        <v>1227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41198</v>
      </c>
      <c r="H2657">
        <v>42</v>
      </c>
      <c r="I2657">
        <v>2016</v>
      </c>
      <c r="J2657" t="s">
        <v>77</v>
      </c>
      <c r="K2657" t="s">
        <v>73</v>
      </c>
      <c r="L2657" t="s">
        <v>133</v>
      </c>
      <c r="M2657" t="s">
        <v>74</v>
      </c>
      <c r="N2657" t="s">
        <v>75</v>
      </c>
      <c r="O2657" t="s">
        <v>75</v>
      </c>
      <c r="P2657" t="s">
        <v>75</v>
      </c>
    </row>
    <row r="2658" spans="1:16" hidden="1" x14ac:dyDescent="0.25">
      <c r="A2658" t="s">
        <v>1228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41205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75</v>
      </c>
      <c r="N2658" t="s">
        <v>74</v>
      </c>
      <c r="O2658" t="s">
        <v>75</v>
      </c>
      <c r="P2658" t="s">
        <v>73</v>
      </c>
    </row>
    <row r="2659" spans="1:16" hidden="1" x14ac:dyDescent="0.25">
      <c r="A2659" t="s">
        <v>1229</v>
      </c>
      <c r="B2659" t="s">
        <v>43</v>
      </c>
      <c r="C2659" t="s">
        <v>44</v>
      </c>
      <c r="D2659" t="s">
        <v>114</v>
      </c>
      <c r="E2659" s="1" t="s">
        <v>1265</v>
      </c>
      <c r="F2659">
        <v>8</v>
      </c>
      <c r="G2659" s="1">
        <v>41212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 hidden="1" x14ac:dyDescent="0.25">
      <c r="A2660" t="s">
        <v>1230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41184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 hidden="1" x14ac:dyDescent="0.25">
      <c r="A2661" t="s">
        <v>1231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41191</v>
      </c>
      <c r="H2661">
        <v>41</v>
      </c>
      <c r="I2661">
        <v>2016</v>
      </c>
      <c r="J2661" t="s">
        <v>73</v>
      </c>
      <c r="K2661" t="s">
        <v>74</v>
      </c>
      <c r="L2661" t="s">
        <v>74</v>
      </c>
      <c r="M2661" t="s">
        <v>75</v>
      </c>
      <c r="N2661" t="s">
        <v>76</v>
      </c>
      <c r="O2661" t="s">
        <v>77</v>
      </c>
      <c r="P2661" t="s">
        <v>73</v>
      </c>
    </row>
    <row r="2662" spans="1:16" hidden="1" x14ac:dyDescent="0.25">
      <c r="A2662" t="s">
        <v>1232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41198</v>
      </c>
      <c r="H2662">
        <v>42</v>
      </c>
      <c r="I2662">
        <v>2016</v>
      </c>
      <c r="J2662" t="s">
        <v>74</v>
      </c>
      <c r="K2662" t="s">
        <v>75</v>
      </c>
      <c r="L2662" t="s">
        <v>74</v>
      </c>
      <c r="M2662" t="s">
        <v>75</v>
      </c>
      <c r="N2662" t="s">
        <v>75</v>
      </c>
      <c r="O2662" t="s">
        <v>73</v>
      </c>
      <c r="P2662" t="s">
        <v>75</v>
      </c>
    </row>
    <row r="2663" spans="1:16" hidden="1" x14ac:dyDescent="0.25">
      <c r="A2663" t="s">
        <v>1233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41205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 hidden="1" x14ac:dyDescent="0.25">
      <c r="A2664" t="s">
        <v>1234</v>
      </c>
      <c r="B2664" t="s">
        <v>45</v>
      </c>
      <c r="C2664" t="s">
        <v>46</v>
      </c>
      <c r="D2664" t="s">
        <v>115</v>
      </c>
      <c r="E2664" s="1" t="s">
        <v>1265</v>
      </c>
      <c r="F2664">
        <v>4</v>
      </c>
      <c r="G2664" s="1">
        <v>41212</v>
      </c>
      <c r="H2664">
        <v>44</v>
      </c>
      <c r="I2664">
        <v>2016</v>
      </c>
      <c r="J2664" t="s">
        <v>74</v>
      </c>
      <c r="K2664" t="s">
        <v>75</v>
      </c>
      <c r="L2664" t="s">
        <v>75</v>
      </c>
      <c r="M2664" t="s">
        <v>73</v>
      </c>
      <c r="N2664" t="s">
        <v>74</v>
      </c>
      <c r="O2664" t="s">
        <v>75</v>
      </c>
      <c r="P2664" t="s">
        <v>75</v>
      </c>
    </row>
    <row r="2665" spans="1:16" hidden="1" x14ac:dyDescent="0.25">
      <c r="A2665" t="s">
        <v>1235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41184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 hidden="1" x14ac:dyDescent="0.25">
      <c r="A2666" t="s">
        <v>1236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41191</v>
      </c>
      <c r="H2666">
        <v>41</v>
      </c>
      <c r="I2666">
        <v>2016</v>
      </c>
      <c r="J2666" t="s">
        <v>73</v>
      </c>
      <c r="K2666" t="s">
        <v>74</v>
      </c>
      <c r="L2666" t="s">
        <v>75</v>
      </c>
      <c r="M2666" t="s">
        <v>75</v>
      </c>
      <c r="N2666" t="s">
        <v>75</v>
      </c>
      <c r="O2666" t="s">
        <v>75</v>
      </c>
      <c r="P2666" t="s">
        <v>73</v>
      </c>
    </row>
    <row r="2667" spans="1:16" hidden="1" x14ac:dyDescent="0.25">
      <c r="A2667" t="s">
        <v>1237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41198</v>
      </c>
      <c r="H2667">
        <v>42</v>
      </c>
      <c r="I2667">
        <v>2016</v>
      </c>
      <c r="J2667" t="s">
        <v>74</v>
      </c>
      <c r="K2667" t="s">
        <v>74</v>
      </c>
      <c r="L2667" t="s">
        <v>75</v>
      </c>
      <c r="M2667" t="s">
        <v>133</v>
      </c>
      <c r="N2667" t="s">
        <v>75</v>
      </c>
      <c r="O2667" t="s">
        <v>73</v>
      </c>
      <c r="P2667" t="s">
        <v>74</v>
      </c>
    </row>
    <row r="2668" spans="1:16" hidden="1" x14ac:dyDescent="0.25">
      <c r="A2668" t="s">
        <v>1238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41205</v>
      </c>
      <c r="H2668">
        <v>43</v>
      </c>
      <c r="I2668">
        <v>2016</v>
      </c>
      <c r="J2668" t="s">
        <v>75</v>
      </c>
      <c r="K2668" t="s">
        <v>75</v>
      </c>
      <c r="L2668" t="s">
        <v>74</v>
      </c>
      <c r="M2668" t="s">
        <v>75</v>
      </c>
      <c r="N2668" t="s">
        <v>73</v>
      </c>
      <c r="O2668" t="s">
        <v>74</v>
      </c>
      <c r="P2668" t="s">
        <v>75</v>
      </c>
    </row>
    <row r="2669" spans="1:16" hidden="1" x14ac:dyDescent="0.25">
      <c r="A2669" t="s">
        <v>1239</v>
      </c>
      <c r="B2669" t="s">
        <v>47</v>
      </c>
      <c r="C2669" t="s">
        <v>48</v>
      </c>
      <c r="D2669" t="s">
        <v>116</v>
      </c>
      <c r="E2669" s="1" t="s">
        <v>1265</v>
      </c>
      <c r="F2669">
        <v>4</v>
      </c>
      <c r="G2669" s="1">
        <v>41212</v>
      </c>
      <c r="H2669">
        <v>44</v>
      </c>
      <c r="I2669">
        <v>2016</v>
      </c>
      <c r="J2669" t="s">
        <v>133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 hidden="1" x14ac:dyDescent="0.25">
      <c r="A2670" t="s">
        <v>1240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41184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74</v>
      </c>
    </row>
    <row r="2671" spans="1:16" hidden="1" x14ac:dyDescent="0.25">
      <c r="A2671" t="s">
        <v>1241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41191</v>
      </c>
      <c r="H2671">
        <v>41</v>
      </c>
      <c r="I2671">
        <v>2016</v>
      </c>
      <c r="J2671" t="s">
        <v>149</v>
      </c>
      <c r="K2671" t="s">
        <v>149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 hidden="1" x14ac:dyDescent="0.25">
      <c r="A2672" t="s">
        <v>1242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41198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 hidden="1" x14ac:dyDescent="0.25">
      <c r="A2673" t="s">
        <v>1243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41205</v>
      </c>
      <c r="H2673">
        <v>43</v>
      </c>
      <c r="I2673">
        <v>2016</v>
      </c>
      <c r="J2673" t="s">
        <v>74</v>
      </c>
      <c r="K2673" t="s">
        <v>133</v>
      </c>
      <c r="L2673" t="s">
        <v>75</v>
      </c>
      <c r="M2673" t="s">
        <v>74</v>
      </c>
      <c r="N2673" t="s">
        <v>75</v>
      </c>
      <c r="O2673" t="s">
        <v>73</v>
      </c>
      <c r="P2673" t="s">
        <v>75</v>
      </c>
    </row>
    <row r="2674" spans="1:16" hidden="1" x14ac:dyDescent="0.25">
      <c r="A2674" t="s">
        <v>1244</v>
      </c>
      <c r="B2674" t="s">
        <v>49</v>
      </c>
      <c r="C2674" t="s">
        <v>50</v>
      </c>
      <c r="D2674" t="s">
        <v>117</v>
      </c>
      <c r="E2674" s="1" t="s">
        <v>1265</v>
      </c>
      <c r="F2674">
        <v>3</v>
      </c>
      <c r="G2674" s="1">
        <v>41212</v>
      </c>
      <c r="H2674">
        <v>44</v>
      </c>
      <c r="I2674">
        <v>2016</v>
      </c>
      <c r="J2674" t="s">
        <v>75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 hidden="1" x14ac:dyDescent="0.25">
      <c r="A2675" t="s">
        <v>1245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41184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 hidden="1" x14ac:dyDescent="0.25">
      <c r="A2676" t="s">
        <v>1246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41191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hidden="1" x14ac:dyDescent="0.25">
      <c r="A2677" t="s">
        <v>1247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41198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 hidden="1" x14ac:dyDescent="0.25">
      <c r="A2678" t="s">
        <v>1248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41205</v>
      </c>
      <c r="H2678">
        <v>43</v>
      </c>
      <c r="I2678">
        <v>2016</v>
      </c>
      <c r="J2678" t="s">
        <v>75</v>
      </c>
      <c r="K2678" t="s">
        <v>75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 hidden="1" x14ac:dyDescent="0.25">
      <c r="A2679" t="s">
        <v>1249</v>
      </c>
      <c r="B2679" t="s">
        <v>51</v>
      </c>
      <c r="C2679" t="s">
        <v>52</v>
      </c>
      <c r="D2679" t="s">
        <v>118</v>
      </c>
      <c r="E2679" s="1" t="s">
        <v>1265</v>
      </c>
      <c r="F2679">
        <v>10</v>
      </c>
      <c r="G2679" s="1">
        <v>41212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75</v>
      </c>
    </row>
    <row r="2680" spans="1:16" hidden="1" x14ac:dyDescent="0.25">
      <c r="A2680" t="s">
        <v>1250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41184</v>
      </c>
      <c r="H2680">
        <v>40</v>
      </c>
      <c r="I2680">
        <v>2016</v>
      </c>
      <c r="J2680" t="s">
        <v>75</v>
      </c>
      <c r="K2680" t="s">
        <v>75</v>
      </c>
      <c r="L2680" t="s">
        <v>73</v>
      </c>
      <c r="M2680" t="s">
        <v>74</v>
      </c>
      <c r="N2680" t="s">
        <v>75</v>
      </c>
      <c r="O2680" t="s">
        <v>74</v>
      </c>
      <c r="P2680" t="s">
        <v>75</v>
      </c>
    </row>
    <row r="2681" spans="1:16" hidden="1" x14ac:dyDescent="0.25">
      <c r="A2681" t="s">
        <v>1251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41191</v>
      </c>
      <c r="H2681">
        <v>41</v>
      </c>
      <c r="I2681">
        <v>2016</v>
      </c>
      <c r="J2681" t="s">
        <v>75</v>
      </c>
      <c r="K2681" t="s">
        <v>73</v>
      </c>
      <c r="L2681" t="s">
        <v>92</v>
      </c>
      <c r="M2681" t="s">
        <v>75</v>
      </c>
      <c r="N2681" t="s">
        <v>75</v>
      </c>
      <c r="O2681" t="s">
        <v>74</v>
      </c>
      <c r="P2681" t="s">
        <v>75</v>
      </c>
    </row>
    <row r="2682" spans="1:16" hidden="1" x14ac:dyDescent="0.25">
      <c r="A2682" t="s">
        <v>1252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41198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76</v>
      </c>
      <c r="O2682" t="s">
        <v>77</v>
      </c>
      <c r="P2682" t="s">
        <v>73</v>
      </c>
    </row>
    <row r="2683" spans="1:16" hidden="1" x14ac:dyDescent="0.25">
      <c r="A2683" t="s">
        <v>1253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41205</v>
      </c>
      <c r="H2683">
        <v>43</v>
      </c>
      <c r="I2683">
        <v>2016</v>
      </c>
      <c r="J2683" t="s">
        <v>75</v>
      </c>
      <c r="K2683" t="s">
        <v>75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1254</v>
      </c>
      <c r="B2684" t="s">
        <v>53</v>
      </c>
      <c r="C2684" t="s">
        <v>54</v>
      </c>
      <c r="D2684" t="s">
        <v>119</v>
      </c>
      <c r="E2684" t="s">
        <v>1266</v>
      </c>
      <c r="F2684">
        <v>1</v>
      </c>
      <c r="G2684" s="1">
        <v>41212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75</v>
      </c>
    </row>
    <row r="2685" spans="1:16" hidden="1" x14ac:dyDescent="0.25">
      <c r="A2685" t="s">
        <v>1282</v>
      </c>
      <c r="B2685" t="s">
        <v>1272</v>
      </c>
      <c r="C2685" t="s">
        <v>131</v>
      </c>
      <c r="D2685" t="s">
        <v>1275</v>
      </c>
      <c r="E2685" t="s">
        <v>72</v>
      </c>
      <c r="F2685">
        <v>9999</v>
      </c>
      <c r="G2685" s="1">
        <v>41184</v>
      </c>
      <c r="H2685">
        <v>40</v>
      </c>
      <c r="I2685">
        <v>2016</v>
      </c>
      <c r="J2685" t="s">
        <v>125</v>
      </c>
      <c r="K2685" t="s">
        <v>125</v>
      </c>
      <c r="L2685" t="s">
        <v>125</v>
      </c>
      <c r="M2685" t="s">
        <v>75</v>
      </c>
      <c r="N2685" t="s">
        <v>74</v>
      </c>
      <c r="O2685" t="s">
        <v>75</v>
      </c>
      <c r="P2685" t="s">
        <v>75</v>
      </c>
    </row>
    <row r="2686" spans="1:16" hidden="1" x14ac:dyDescent="0.25">
      <c r="A2686" t="s">
        <v>1283</v>
      </c>
      <c r="B2686" t="s">
        <v>1272</v>
      </c>
      <c r="C2686" t="s">
        <v>131</v>
      </c>
      <c r="D2686" t="s">
        <v>1275</v>
      </c>
      <c r="E2686" t="s">
        <v>72</v>
      </c>
      <c r="F2686">
        <v>9999</v>
      </c>
      <c r="G2686" s="1">
        <v>41191</v>
      </c>
      <c r="H2686">
        <v>41</v>
      </c>
      <c r="I2686">
        <v>2016</v>
      </c>
      <c r="J2686" t="s">
        <v>75</v>
      </c>
      <c r="K2686" t="s">
        <v>73</v>
      </c>
      <c r="L2686" t="s">
        <v>74</v>
      </c>
      <c r="M2686" t="s">
        <v>74</v>
      </c>
      <c r="N2686" t="s">
        <v>75</v>
      </c>
      <c r="O2686" t="s">
        <v>75</v>
      </c>
      <c r="P2686" t="s">
        <v>73</v>
      </c>
    </row>
    <row r="2687" spans="1:16" hidden="1" x14ac:dyDescent="0.25">
      <c r="A2687" t="s">
        <v>1284</v>
      </c>
      <c r="B2687" t="s">
        <v>1272</v>
      </c>
      <c r="C2687" t="s">
        <v>131</v>
      </c>
      <c r="D2687" t="s">
        <v>1275</v>
      </c>
      <c r="E2687" t="s">
        <v>72</v>
      </c>
      <c r="F2687">
        <v>9999</v>
      </c>
      <c r="G2687" s="1">
        <v>41198</v>
      </c>
      <c r="H2687">
        <v>42</v>
      </c>
      <c r="I2687">
        <v>2016</v>
      </c>
      <c r="J2687" t="s">
        <v>74</v>
      </c>
      <c r="K2687" t="s">
        <v>75</v>
      </c>
      <c r="L2687" t="s">
        <v>75</v>
      </c>
      <c r="M2687" t="s">
        <v>74</v>
      </c>
      <c r="N2687" t="s">
        <v>75</v>
      </c>
      <c r="O2687" t="s">
        <v>73</v>
      </c>
      <c r="P2687" t="s">
        <v>75</v>
      </c>
    </row>
    <row r="2688" spans="1:16" hidden="1" x14ac:dyDescent="0.25">
      <c r="A2688" t="s">
        <v>1285</v>
      </c>
      <c r="B2688" t="s">
        <v>1272</v>
      </c>
      <c r="C2688" t="s">
        <v>131</v>
      </c>
      <c r="D2688" t="s">
        <v>1275</v>
      </c>
      <c r="E2688" t="s">
        <v>72</v>
      </c>
      <c r="F2688">
        <v>9999</v>
      </c>
      <c r="G2688" s="1">
        <v>41205</v>
      </c>
      <c r="H2688">
        <v>43</v>
      </c>
      <c r="I2688">
        <v>2016</v>
      </c>
      <c r="J2688" t="s">
        <v>75</v>
      </c>
      <c r="K2688" t="s">
        <v>74</v>
      </c>
      <c r="L2688" t="s">
        <v>75</v>
      </c>
      <c r="M2688" t="s">
        <v>75</v>
      </c>
      <c r="N2688" t="s">
        <v>73</v>
      </c>
      <c r="O2688" t="s">
        <v>75</v>
      </c>
      <c r="P2688" t="s">
        <v>75</v>
      </c>
    </row>
    <row r="2689" spans="1:16" hidden="1" x14ac:dyDescent="0.25">
      <c r="A2689" t="s">
        <v>1286</v>
      </c>
      <c r="B2689" t="s">
        <v>1272</v>
      </c>
      <c r="C2689" t="s">
        <v>131</v>
      </c>
      <c r="D2689" t="s">
        <v>1275</v>
      </c>
      <c r="E2689" t="s">
        <v>1266</v>
      </c>
      <c r="F2689">
        <v>3</v>
      </c>
      <c r="G2689" s="1">
        <v>41212</v>
      </c>
      <c r="H2689">
        <v>44</v>
      </c>
      <c r="I2689">
        <v>2016</v>
      </c>
      <c r="J2689" t="s">
        <v>74</v>
      </c>
      <c r="K2689" t="s">
        <v>75</v>
      </c>
      <c r="L2689" t="s">
        <v>73</v>
      </c>
      <c r="M2689" t="s">
        <v>74</v>
      </c>
      <c r="N2689" t="s">
        <v>75</v>
      </c>
      <c r="O2689" t="s">
        <v>75</v>
      </c>
      <c r="P2689" t="s">
        <v>75</v>
      </c>
    </row>
    <row r="2690" spans="1:16" hidden="1" x14ac:dyDescent="0.25">
      <c r="A2690" t="s">
        <v>1287</v>
      </c>
      <c r="B2690" t="s">
        <v>1273</v>
      </c>
      <c r="C2690" t="s">
        <v>131</v>
      </c>
      <c r="D2690" t="s">
        <v>1277</v>
      </c>
      <c r="E2690" t="s">
        <v>72</v>
      </c>
      <c r="F2690">
        <v>9999</v>
      </c>
      <c r="G2690" s="1">
        <v>41184</v>
      </c>
      <c r="H2690">
        <v>40</v>
      </c>
      <c r="I2690">
        <v>2016</v>
      </c>
      <c r="J2690" t="s">
        <v>125</v>
      </c>
      <c r="K2690" t="s">
        <v>125</v>
      </c>
      <c r="L2690" t="s">
        <v>125</v>
      </c>
      <c r="M2690" t="s">
        <v>75</v>
      </c>
      <c r="N2690" t="s">
        <v>75</v>
      </c>
      <c r="O2690" t="s">
        <v>73</v>
      </c>
      <c r="P2690" t="s">
        <v>74</v>
      </c>
    </row>
    <row r="2691" spans="1:16" hidden="1" x14ac:dyDescent="0.25">
      <c r="A2691" t="s">
        <v>1288</v>
      </c>
      <c r="B2691" t="s">
        <v>1273</v>
      </c>
      <c r="C2691" t="s">
        <v>131</v>
      </c>
      <c r="D2691" t="s">
        <v>1277</v>
      </c>
      <c r="E2691" t="s">
        <v>72</v>
      </c>
      <c r="F2691">
        <v>9999</v>
      </c>
      <c r="G2691" s="1">
        <v>41191</v>
      </c>
      <c r="H2691">
        <v>41</v>
      </c>
      <c r="I2691">
        <v>2016</v>
      </c>
      <c r="J2691" t="s">
        <v>75</v>
      </c>
      <c r="K2691" t="s">
        <v>74</v>
      </c>
      <c r="L2691" t="s">
        <v>75</v>
      </c>
      <c r="M2691" t="s">
        <v>75</v>
      </c>
      <c r="N2691" t="s">
        <v>73</v>
      </c>
      <c r="O2691" t="s">
        <v>74</v>
      </c>
      <c r="P2691" t="s">
        <v>75</v>
      </c>
    </row>
    <row r="2692" spans="1:16" hidden="1" x14ac:dyDescent="0.25">
      <c r="A2692" t="s">
        <v>1289</v>
      </c>
      <c r="B2692" t="s">
        <v>1273</v>
      </c>
      <c r="C2692" t="s">
        <v>131</v>
      </c>
      <c r="D2692" t="s">
        <v>1277</v>
      </c>
      <c r="E2692" t="s">
        <v>72</v>
      </c>
      <c r="F2692">
        <v>9999</v>
      </c>
      <c r="G2692" s="1">
        <v>41198</v>
      </c>
      <c r="H2692">
        <v>42</v>
      </c>
      <c r="I2692">
        <v>2016</v>
      </c>
      <c r="J2692" t="s">
        <v>75</v>
      </c>
      <c r="K2692" t="s">
        <v>73</v>
      </c>
      <c r="L2692" t="s">
        <v>74</v>
      </c>
      <c r="M2692" t="s">
        <v>75</v>
      </c>
      <c r="N2692" t="s">
        <v>75</v>
      </c>
      <c r="O2692" t="s">
        <v>75</v>
      </c>
      <c r="P2692" t="s">
        <v>74</v>
      </c>
    </row>
    <row r="2693" spans="1:16" hidden="1" x14ac:dyDescent="0.25">
      <c r="A2693" t="s">
        <v>1290</v>
      </c>
      <c r="B2693" t="s">
        <v>1273</v>
      </c>
      <c r="C2693" t="s">
        <v>131</v>
      </c>
      <c r="D2693" t="s">
        <v>1277</v>
      </c>
      <c r="E2693" t="s">
        <v>72</v>
      </c>
      <c r="F2693">
        <v>9999</v>
      </c>
      <c r="G2693" s="1">
        <v>41205</v>
      </c>
      <c r="H2693">
        <v>43</v>
      </c>
      <c r="I2693">
        <v>2016</v>
      </c>
      <c r="J2693" t="s">
        <v>73</v>
      </c>
      <c r="K2693" t="s">
        <v>75</v>
      </c>
      <c r="L2693" t="s">
        <v>74</v>
      </c>
      <c r="M2693" t="s">
        <v>75</v>
      </c>
      <c r="N2693" t="s">
        <v>74</v>
      </c>
      <c r="O2693" t="s">
        <v>75</v>
      </c>
      <c r="P2693" t="s">
        <v>73</v>
      </c>
    </row>
    <row r="2694" spans="1:16" hidden="1" x14ac:dyDescent="0.25">
      <c r="A2694" t="s">
        <v>1291</v>
      </c>
      <c r="B2694" t="s">
        <v>1273</v>
      </c>
      <c r="C2694" t="s">
        <v>131</v>
      </c>
      <c r="D2694" t="s">
        <v>1277</v>
      </c>
      <c r="E2694" t="s">
        <v>1266</v>
      </c>
      <c r="F2694">
        <v>6</v>
      </c>
      <c r="G2694" s="1">
        <v>41212</v>
      </c>
      <c r="H2694">
        <v>44</v>
      </c>
      <c r="I2694">
        <v>2016</v>
      </c>
      <c r="J2694" t="s">
        <v>75</v>
      </c>
      <c r="K2694" t="s">
        <v>75</v>
      </c>
      <c r="L2694" t="s">
        <v>74</v>
      </c>
      <c r="M2694" t="s">
        <v>75</v>
      </c>
      <c r="N2694" t="s">
        <v>75</v>
      </c>
      <c r="O2694" t="s">
        <v>73</v>
      </c>
      <c r="P2694" t="s">
        <v>74</v>
      </c>
    </row>
    <row r="2695" spans="1:16" hidden="1" x14ac:dyDescent="0.25">
      <c r="A2695" t="s">
        <v>1292</v>
      </c>
      <c r="B2695" t="s">
        <v>1279</v>
      </c>
      <c r="C2695" t="s">
        <v>1280</v>
      </c>
      <c r="D2695" t="s">
        <v>1276</v>
      </c>
      <c r="E2695" t="s">
        <v>72</v>
      </c>
      <c r="F2695">
        <v>9999</v>
      </c>
      <c r="G2695" s="1">
        <v>41184</v>
      </c>
      <c r="H2695">
        <v>40</v>
      </c>
      <c r="I2695">
        <v>2016</v>
      </c>
      <c r="J2695" t="s">
        <v>125</v>
      </c>
      <c r="K2695" t="s">
        <v>125</v>
      </c>
      <c r="L2695" t="s">
        <v>125</v>
      </c>
      <c r="M2695" t="s">
        <v>75</v>
      </c>
      <c r="N2695" t="s">
        <v>75</v>
      </c>
      <c r="O2695" t="s">
        <v>74</v>
      </c>
      <c r="P2695" t="s">
        <v>75</v>
      </c>
    </row>
    <row r="2696" spans="1:16" hidden="1" x14ac:dyDescent="0.25">
      <c r="A2696" t="s">
        <v>1293</v>
      </c>
      <c r="B2696" t="s">
        <v>1279</v>
      </c>
      <c r="C2696" t="s">
        <v>1280</v>
      </c>
      <c r="D2696" t="s">
        <v>1276</v>
      </c>
      <c r="E2696" t="s">
        <v>72</v>
      </c>
      <c r="F2696">
        <v>9999</v>
      </c>
      <c r="G2696" s="1">
        <v>41191</v>
      </c>
      <c r="H2696">
        <v>41</v>
      </c>
      <c r="I2696">
        <v>2016</v>
      </c>
      <c r="J2696" t="s">
        <v>73</v>
      </c>
      <c r="K2696" t="s">
        <v>74</v>
      </c>
      <c r="L2696" t="s">
        <v>75</v>
      </c>
      <c r="M2696" t="s">
        <v>1294</v>
      </c>
      <c r="N2696" t="s">
        <v>1294</v>
      </c>
      <c r="O2696" t="s">
        <v>1294</v>
      </c>
      <c r="P2696" t="s">
        <v>73</v>
      </c>
    </row>
    <row r="2697" spans="1:16" hidden="1" x14ac:dyDescent="0.25">
      <c r="A2697" t="s">
        <v>1295</v>
      </c>
      <c r="B2697" t="s">
        <v>1279</v>
      </c>
      <c r="C2697" t="s">
        <v>1280</v>
      </c>
      <c r="D2697" t="s">
        <v>1276</v>
      </c>
      <c r="E2697" t="s">
        <v>72</v>
      </c>
      <c r="F2697">
        <v>9999</v>
      </c>
      <c r="G2697" s="1">
        <v>41198</v>
      </c>
      <c r="H2697">
        <v>42</v>
      </c>
      <c r="I2697">
        <v>2016</v>
      </c>
      <c r="J2697" t="s">
        <v>75</v>
      </c>
      <c r="K2697" t="s">
        <v>75</v>
      </c>
      <c r="L2697" t="s">
        <v>75</v>
      </c>
      <c r="M2697" t="s">
        <v>75</v>
      </c>
      <c r="N2697" t="s">
        <v>73</v>
      </c>
      <c r="O2697" t="s">
        <v>74</v>
      </c>
      <c r="P2697" t="s">
        <v>75</v>
      </c>
    </row>
    <row r="2698" spans="1:16" hidden="1" x14ac:dyDescent="0.25">
      <c r="A2698" t="s">
        <v>1296</v>
      </c>
      <c r="B2698" t="s">
        <v>1279</v>
      </c>
      <c r="C2698" t="s">
        <v>1280</v>
      </c>
      <c r="D2698" t="s">
        <v>1276</v>
      </c>
      <c r="E2698" t="s">
        <v>72</v>
      </c>
      <c r="F2698">
        <v>9999</v>
      </c>
      <c r="G2698" s="1">
        <v>41205</v>
      </c>
      <c r="H2698">
        <v>43</v>
      </c>
      <c r="I2698">
        <v>2016</v>
      </c>
      <c r="J2698" t="s">
        <v>75</v>
      </c>
      <c r="K2698" t="s">
        <v>75</v>
      </c>
      <c r="L2698" t="s">
        <v>75</v>
      </c>
      <c r="M2698" t="s">
        <v>73</v>
      </c>
      <c r="N2698" t="s">
        <v>75</v>
      </c>
      <c r="O2698" t="s">
        <v>75</v>
      </c>
      <c r="P2698" t="s">
        <v>74</v>
      </c>
    </row>
    <row r="2699" spans="1:16" hidden="1" x14ac:dyDescent="0.25">
      <c r="A2699" t="s">
        <v>1297</v>
      </c>
      <c r="B2699" t="s">
        <v>1279</v>
      </c>
      <c r="C2699" t="s">
        <v>1280</v>
      </c>
      <c r="D2699" t="s">
        <v>1276</v>
      </c>
      <c r="E2699" t="s">
        <v>1266</v>
      </c>
      <c r="F2699">
        <v>4</v>
      </c>
      <c r="G2699" s="1">
        <v>41212</v>
      </c>
      <c r="H2699">
        <v>44</v>
      </c>
      <c r="I2699">
        <v>2016</v>
      </c>
      <c r="J2699" t="s">
        <v>75</v>
      </c>
      <c r="K2699" t="s">
        <v>73</v>
      </c>
      <c r="L2699" t="s">
        <v>75</v>
      </c>
      <c r="M2699" t="s">
        <v>75</v>
      </c>
      <c r="N2699" t="s">
        <v>75</v>
      </c>
      <c r="O2699" t="s">
        <v>74</v>
      </c>
      <c r="P2699" t="s">
        <v>75</v>
      </c>
    </row>
    <row r="2700" spans="1:16" hidden="1" x14ac:dyDescent="0.25">
      <c r="A2700" t="s">
        <v>1298</v>
      </c>
      <c r="B2700" t="s">
        <v>1274</v>
      </c>
      <c r="C2700" t="s">
        <v>131</v>
      </c>
      <c r="D2700" t="s">
        <v>1278</v>
      </c>
      <c r="E2700" t="s">
        <v>72</v>
      </c>
      <c r="F2700">
        <v>9999</v>
      </c>
      <c r="G2700" s="1">
        <v>41184</v>
      </c>
      <c r="H2700">
        <v>40</v>
      </c>
      <c r="I2700">
        <v>2016</v>
      </c>
      <c r="J2700" t="s">
        <v>125</v>
      </c>
      <c r="K2700" t="s">
        <v>125</v>
      </c>
      <c r="L2700" t="s">
        <v>125</v>
      </c>
      <c r="M2700" t="s">
        <v>74</v>
      </c>
      <c r="N2700" t="s">
        <v>75</v>
      </c>
      <c r="O2700" t="s">
        <v>75</v>
      </c>
      <c r="P2700" t="s">
        <v>73</v>
      </c>
    </row>
    <row r="2701" spans="1:16" hidden="1" x14ac:dyDescent="0.25">
      <c r="A2701" t="s">
        <v>1299</v>
      </c>
      <c r="B2701" t="s">
        <v>1274</v>
      </c>
      <c r="C2701" t="s">
        <v>131</v>
      </c>
      <c r="D2701" t="s">
        <v>1278</v>
      </c>
      <c r="E2701" t="s">
        <v>72</v>
      </c>
      <c r="F2701">
        <v>9999</v>
      </c>
      <c r="G2701" s="1">
        <v>41191</v>
      </c>
      <c r="H2701">
        <v>41</v>
      </c>
      <c r="I2701">
        <v>2016</v>
      </c>
      <c r="J2701" t="s">
        <v>74</v>
      </c>
      <c r="K2701" t="s">
        <v>75</v>
      </c>
      <c r="L2701" t="s">
        <v>1280</v>
      </c>
      <c r="M2701" t="s">
        <v>75</v>
      </c>
      <c r="N2701" t="s">
        <v>73</v>
      </c>
      <c r="O2701" t="s">
        <v>75</v>
      </c>
      <c r="P2701" t="s">
        <v>74</v>
      </c>
    </row>
    <row r="2702" spans="1:16" hidden="1" x14ac:dyDescent="0.25">
      <c r="A2702" t="s">
        <v>1300</v>
      </c>
      <c r="B2702" t="s">
        <v>1274</v>
      </c>
      <c r="C2702" t="s">
        <v>131</v>
      </c>
      <c r="D2702" t="s">
        <v>1278</v>
      </c>
      <c r="E2702" t="s">
        <v>72</v>
      </c>
      <c r="F2702">
        <v>9999</v>
      </c>
      <c r="G2702" s="1">
        <v>41198</v>
      </c>
      <c r="H2702">
        <v>42</v>
      </c>
      <c r="I2702">
        <v>2016</v>
      </c>
      <c r="J2702" t="s">
        <v>75</v>
      </c>
      <c r="K2702" t="s">
        <v>74</v>
      </c>
      <c r="L2702" t="s">
        <v>75</v>
      </c>
      <c r="M2702" t="s">
        <v>73</v>
      </c>
      <c r="N2702" t="s">
        <v>74</v>
      </c>
      <c r="O2702" t="s">
        <v>75</v>
      </c>
      <c r="P2702" t="s">
        <v>75</v>
      </c>
    </row>
    <row r="2703" spans="1:16" hidden="1" x14ac:dyDescent="0.25">
      <c r="A2703" t="s">
        <v>1301</v>
      </c>
      <c r="B2703" t="s">
        <v>1274</v>
      </c>
      <c r="C2703" t="s">
        <v>131</v>
      </c>
      <c r="D2703" t="s">
        <v>1278</v>
      </c>
      <c r="E2703" t="s">
        <v>72</v>
      </c>
      <c r="F2703">
        <v>9999</v>
      </c>
      <c r="G2703" s="1">
        <v>41205</v>
      </c>
      <c r="H2703">
        <v>43</v>
      </c>
      <c r="I2703">
        <v>2016</v>
      </c>
      <c r="J2703" t="s">
        <v>74</v>
      </c>
      <c r="K2703" t="s">
        <v>75</v>
      </c>
      <c r="L2703" t="s">
        <v>73</v>
      </c>
      <c r="M2703" t="s">
        <v>75</v>
      </c>
      <c r="N2703" t="s">
        <v>75</v>
      </c>
      <c r="O2703" t="s">
        <v>74</v>
      </c>
      <c r="P2703" t="s">
        <v>75</v>
      </c>
    </row>
    <row r="2704" spans="1:16" hidden="1" x14ac:dyDescent="0.25">
      <c r="A2704" t="s">
        <v>1302</v>
      </c>
      <c r="B2704" t="s">
        <v>1274</v>
      </c>
      <c r="C2704" t="s">
        <v>131</v>
      </c>
      <c r="D2704" t="s">
        <v>1278</v>
      </c>
      <c r="E2704" t="s">
        <v>1266</v>
      </c>
      <c r="F2704">
        <v>5</v>
      </c>
      <c r="G2704" s="1">
        <v>41212</v>
      </c>
      <c r="H2704">
        <v>44</v>
      </c>
      <c r="I2704">
        <v>2016</v>
      </c>
      <c r="J2704" t="s">
        <v>73</v>
      </c>
      <c r="K2704" t="s">
        <v>74</v>
      </c>
      <c r="L2704" t="s">
        <v>75</v>
      </c>
      <c r="M2704" t="s">
        <v>75</v>
      </c>
      <c r="N2704" t="s">
        <v>74</v>
      </c>
      <c r="O2704" t="s">
        <v>75</v>
      </c>
      <c r="P2704" t="s">
        <v>73</v>
      </c>
    </row>
    <row r="2705" spans="1:16" hidden="1" x14ac:dyDescent="0.25">
      <c r="A2705" t="s">
        <v>1686</v>
      </c>
      <c r="B2705" t="s">
        <v>3</v>
      </c>
      <c r="C2705" t="s">
        <v>4</v>
      </c>
      <c r="D2705" t="s">
        <v>90</v>
      </c>
      <c r="E2705" t="s">
        <v>1265</v>
      </c>
      <c r="F2705">
        <v>3</v>
      </c>
      <c r="G2705" s="6">
        <v>41275</v>
      </c>
      <c r="H2705">
        <v>1</v>
      </c>
      <c r="I2705">
        <v>2017</v>
      </c>
      <c r="J2705" t="s">
        <v>74</v>
      </c>
      <c r="K2705" t="s">
        <v>75</v>
      </c>
      <c r="L2705" t="s">
        <v>76</v>
      </c>
      <c r="M2705" t="s">
        <v>77</v>
      </c>
      <c r="N2705" t="s">
        <v>73</v>
      </c>
      <c r="O2705" t="s">
        <v>74</v>
      </c>
      <c r="P2705" t="s">
        <v>75</v>
      </c>
    </row>
    <row r="2706" spans="1:16" hidden="1" x14ac:dyDescent="0.25">
      <c r="A2706" t="s">
        <v>1687</v>
      </c>
      <c r="B2706" t="s">
        <v>5</v>
      </c>
      <c r="C2706" t="s">
        <v>6</v>
      </c>
      <c r="D2706" t="s">
        <v>93</v>
      </c>
      <c r="E2706" t="s">
        <v>1265</v>
      </c>
      <c r="F2706">
        <v>4</v>
      </c>
      <c r="G2706" s="6">
        <v>41275</v>
      </c>
      <c r="H2706">
        <v>1</v>
      </c>
      <c r="I2706">
        <v>2017</v>
      </c>
      <c r="J2706" t="s">
        <v>74</v>
      </c>
      <c r="K2706" t="s">
        <v>75</v>
      </c>
      <c r="L2706" t="s">
        <v>74</v>
      </c>
      <c r="M2706" t="s">
        <v>73</v>
      </c>
      <c r="N2706" t="s">
        <v>74</v>
      </c>
      <c r="O2706" t="s">
        <v>74</v>
      </c>
      <c r="P2706" t="s">
        <v>75</v>
      </c>
    </row>
    <row r="2707" spans="1:16" hidden="1" x14ac:dyDescent="0.25">
      <c r="A2707" t="s">
        <v>1688</v>
      </c>
      <c r="B2707" t="s">
        <v>7</v>
      </c>
      <c r="C2707" t="s">
        <v>8</v>
      </c>
      <c r="D2707" t="s">
        <v>94</v>
      </c>
      <c r="E2707" t="s">
        <v>1265</v>
      </c>
      <c r="F2707">
        <v>9</v>
      </c>
      <c r="G2707" s="6">
        <v>41275</v>
      </c>
      <c r="H2707">
        <v>1</v>
      </c>
      <c r="I2707">
        <v>2017</v>
      </c>
      <c r="J2707" t="s">
        <v>75</v>
      </c>
      <c r="K2707" t="s">
        <v>74</v>
      </c>
      <c r="L2707" t="s">
        <v>74</v>
      </c>
      <c r="M2707" t="s">
        <v>75</v>
      </c>
      <c r="N2707" t="s">
        <v>73</v>
      </c>
      <c r="O2707" t="s">
        <v>74</v>
      </c>
      <c r="P2707" t="s">
        <v>74</v>
      </c>
    </row>
    <row r="2708" spans="1:16" hidden="1" x14ac:dyDescent="0.25">
      <c r="A2708" t="s">
        <v>1689</v>
      </c>
      <c r="B2708" t="s">
        <v>9</v>
      </c>
      <c r="C2708" t="s">
        <v>10</v>
      </c>
      <c r="D2708" t="s">
        <v>96</v>
      </c>
      <c r="E2708" t="s">
        <v>1265</v>
      </c>
      <c r="F2708">
        <v>10</v>
      </c>
      <c r="G2708" s="6">
        <v>41275</v>
      </c>
      <c r="H2708">
        <v>1</v>
      </c>
      <c r="I2708">
        <v>2017</v>
      </c>
      <c r="J2708" t="s">
        <v>75</v>
      </c>
      <c r="K2708" t="s">
        <v>76</v>
      </c>
      <c r="L2708" t="s">
        <v>77</v>
      </c>
      <c r="M2708" t="s">
        <v>73</v>
      </c>
      <c r="N2708" t="s">
        <v>74</v>
      </c>
      <c r="O2708" t="s">
        <v>75</v>
      </c>
      <c r="P2708" t="s">
        <v>75</v>
      </c>
    </row>
    <row r="2709" spans="1:16" hidden="1" x14ac:dyDescent="0.25">
      <c r="A2709" t="s">
        <v>1690</v>
      </c>
      <c r="B2709" t="s">
        <v>11</v>
      </c>
      <c r="C2709" t="s">
        <v>12</v>
      </c>
      <c r="D2709" t="s">
        <v>97</v>
      </c>
      <c r="E2709" t="s">
        <v>1265</v>
      </c>
      <c r="F2709">
        <v>11</v>
      </c>
      <c r="G2709" s="6">
        <v>41275</v>
      </c>
      <c r="H2709">
        <v>1</v>
      </c>
      <c r="I2709">
        <v>2017</v>
      </c>
      <c r="J2709" t="s">
        <v>75</v>
      </c>
      <c r="K2709" t="s">
        <v>75</v>
      </c>
      <c r="L2709" t="s">
        <v>73</v>
      </c>
      <c r="M2709" t="s">
        <v>75</v>
      </c>
      <c r="N2709" t="s">
        <v>75</v>
      </c>
      <c r="O2709" t="s">
        <v>76</v>
      </c>
      <c r="P2709" t="s">
        <v>77</v>
      </c>
    </row>
    <row r="2710" spans="1:16" hidden="1" x14ac:dyDescent="0.25">
      <c r="A2710" t="s">
        <v>1691</v>
      </c>
      <c r="B2710" t="s">
        <v>13</v>
      </c>
      <c r="C2710" t="s">
        <v>14</v>
      </c>
      <c r="D2710" t="s">
        <v>120</v>
      </c>
      <c r="E2710" t="s">
        <v>1303</v>
      </c>
      <c r="F2710">
        <v>1</v>
      </c>
      <c r="G2710" s="6">
        <v>41275</v>
      </c>
      <c r="H2710">
        <v>1</v>
      </c>
      <c r="I2710">
        <v>2017</v>
      </c>
      <c r="J2710" t="s">
        <v>125</v>
      </c>
      <c r="K2710" t="s">
        <v>125</v>
      </c>
      <c r="L2710" t="s">
        <v>125</v>
      </c>
      <c r="M2710" t="s">
        <v>125</v>
      </c>
      <c r="N2710" t="s">
        <v>125</v>
      </c>
      <c r="O2710" t="s">
        <v>125</v>
      </c>
      <c r="P2710" t="s">
        <v>125</v>
      </c>
    </row>
    <row r="2711" spans="1:16" hidden="1" x14ac:dyDescent="0.25">
      <c r="A2711" t="s">
        <v>1692</v>
      </c>
      <c r="B2711" t="s">
        <v>13</v>
      </c>
      <c r="C2711" t="s">
        <v>15</v>
      </c>
      <c r="D2711" t="s">
        <v>98</v>
      </c>
      <c r="E2711" t="s">
        <v>1266</v>
      </c>
      <c r="F2711">
        <v>6</v>
      </c>
      <c r="G2711" s="6">
        <v>41275</v>
      </c>
      <c r="H2711">
        <v>1</v>
      </c>
      <c r="I2711">
        <v>2017</v>
      </c>
      <c r="J2711" t="s">
        <v>75</v>
      </c>
      <c r="K2711" t="s">
        <v>74</v>
      </c>
      <c r="L2711" t="s">
        <v>75</v>
      </c>
      <c r="M2711" t="s">
        <v>74</v>
      </c>
      <c r="N2711" t="s">
        <v>75</v>
      </c>
      <c r="O2711" t="s">
        <v>73</v>
      </c>
      <c r="P2711" t="s">
        <v>75</v>
      </c>
    </row>
    <row r="2712" spans="1:16" hidden="1" x14ac:dyDescent="0.25">
      <c r="A2712" t="s">
        <v>1693</v>
      </c>
      <c r="B2712" t="s">
        <v>16</v>
      </c>
      <c r="C2712" t="s">
        <v>17</v>
      </c>
      <c r="D2712" t="s">
        <v>99</v>
      </c>
      <c r="E2712" t="s">
        <v>1265</v>
      </c>
      <c r="F2712">
        <v>5</v>
      </c>
      <c r="G2712" s="6">
        <v>41275</v>
      </c>
      <c r="H2712">
        <v>1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1694</v>
      </c>
      <c r="B2713" t="s">
        <v>18</v>
      </c>
      <c r="C2713" t="s">
        <v>19</v>
      </c>
      <c r="D2713" t="s">
        <v>100</v>
      </c>
      <c r="E2713" t="s">
        <v>1265</v>
      </c>
      <c r="F2713">
        <v>7</v>
      </c>
      <c r="G2713" s="6">
        <v>41275</v>
      </c>
      <c r="H2713">
        <v>1</v>
      </c>
      <c r="I2713">
        <v>2017</v>
      </c>
      <c r="J2713" t="s">
        <v>73</v>
      </c>
      <c r="K2713" t="s">
        <v>74</v>
      </c>
      <c r="L2713" t="s">
        <v>75</v>
      </c>
      <c r="M2713" t="s">
        <v>74</v>
      </c>
      <c r="N2713" t="s">
        <v>74</v>
      </c>
      <c r="O2713" t="s">
        <v>75</v>
      </c>
      <c r="P2713" t="s">
        <v>73</v>
      </c>
    </row>
    <row r="2714" spans="1:16" hidden="1" x14ac:dyDescent="0.25">
      <c r="A2714" t="s">
        <v>1695</v>
      </c>
      <c r="B2714" t="s">
        <v>20</v>
      </c>
      <c r="C2714" t="s">
        <v>21</v>
      </c>
      <c r="D2714" t="s">
        <v>101</v>
      </c>
      <c r="E2714" t="s">
        <v>1265</v>
      </c>
      <c r="F2714">
        <v>6</v>
      </c>
      <c r="G2714" s="6">
        <v>41275</v>
      </c>
      <c r="H2714">
        <v>1</v>
      </c>
      <c r="I2714">
        <v>2017</v>
      </c>
      <c r="J2714" t="s">
        <v>77</v>
      </c>
      <c r="K2714" t="s">
        <v>73</v>
      </c>
      <c r="L2714" t="s">
        <v>74</v>
      </c>
      <c r="M2714" t="s">
        <v>74</v>
      </c>
      <c r="N2714" t="s">
        <v>75</v>
      </c>
      <c r="O2714" t="s">
        <v>75</v>
      </c>
      <c r="P2714" t="s">
        <v>74</v>
      </c>
    </row>
    <row r="2715" spans="1:16" hidden="1" x14ac:dyDescent="0.25">
      <c r="A2715" t="s">
        <v>1696</v>
      </c>
      <c r="B2715" t="s">
        <v>22</v>
      </c>
      <c r="C2715" t="s">
        <v>17</v>
      </c>
      <c r="D2715" t="s">
        <v>102</v>
      </c>
      <c r="E2715" t="s">
        <v>1266</v>
      </c>
      <c r="F2715">
        <v>3</v>
      </c>
      <c r="G2715" s="6">
        <v>41275</v>
      </c>
      <c r="H2715">
        <v>1</v>
      </c>
      <c r="I2715">
        <v>2017</v>
      </c>
      <c r="J2715" t="s">
        <v>74</v>
      </c>
      <c r="K2715" t="s">
        <v>74</v>
      </c>
      <c r="L2715" t="s">
        <v>73</v>
      </c>
      <c r="M2715" t="s">
        <v>75</v>
      </c>
      <c r="N2715" t="s">
        <v>75</v>
      </c>
      <c r="O2715" t="s">
        <v>74</v>
      </c>
      <c r="P2715" t="s">
        <v>75</v>
      </c>
    </row>
    <row r="2716" spans="1:16" hidden="1" x14ac:dyDescent="0.25">
      <c r="A2716" t="s">
        <v>1697</v>
      </c>
      <c r="B2716" t="s">
        <v>23</v>
      </c>
      <c r="C2716" t="s">
        <v>24</v>
      </c>
      <c r="D2716" t="s">
        <v>103</v>
      </c>
      <c r="E2716" t="s">
        <v>1266</v>
      </c>
      <c r="F2716">
        <v>4</v>
      </c>
      <c r="G2716" s="6">
        <v>41275</v>
      </c>
      <c r="H2716">
        <v>1</v>
      </c>
      <c r="I2716">
        <v>2017</v>
      </c>
      <c r="J2716" t="s">
        <v>75</v>
      </c>
      <c r="K2716" t="s">
        <v>73</v>
      </c>
      <c r="L2716" t="s">
        <v>74</v>
      </c>
      <c r="M2716" t="s">
        <v>75</v>
      </c>
      <c r="N2716" t="s">
        <v>74</v>
      </c>
      <c r="O2716" t="s">
        <v>75</v>
      </c>
      <c r="P2716" t="s">
        <v>75</v>
      </c>
    </row>
    <row r="2717" spans="1:16" hidden="1" x14ac:dyDescent="0.25">
      <c r="A2717" t="s">
        <v>1698</v>
      </c>
      <c r="B2717" t="s">
        <v>23</v>
      </c>
      <c r="C2717" t="s">
        <v>55</v>
      </c>
      <c r="D2717" t="s">
        <v>126</v>
      </c>
      <c r="E2717" t="s">
        <v>1265</v>
      </c>
      <c r="F2717">
        <v>5</v>
      </c>
      <c r="G2717" s="6">
        <v>41275</v>
      </c>
      <c r="H2717">
        <v>1</v>
      </c>
      <c r="I2717">
        <v>2017</v>
      </c>
      <c r="J2717" t="s">
        <v>76</v>
      </c>
      <c r="K2717" t="s">
        <v>77</v>
      </c>
      <c r="L2717" t="s">
        <v>73</v>
      </c>
      <c r="M2717" t="s">
        <v>74</v>
      </c>
      <c r="N2717" t="s">
        <v>75</v>
      </c>
      <c r="O2717" t="s">
        <v>75</v>
      </c>
      <c r="P2717" t="s">
        <v>76</v>
      </c>
    </row>
    <row r="2718" spans="1:16" hidden="1" x14ac:dyDescent="0.25">
      <c r="A2718" t="s">
        <v>1699</v>
      </c>
      <c r="B2718" t="s">
        <v>25</v>
      </c>
      <c r="C2718" t="s">
        <v>131</v>
      </c>
      <c r="D2718" t="s">
        <v>104</v>
      </c>
      <c r="E2718" t="s">
        <v>1265</v>
      </c>
      <c r="F2718">
        <v>8</v>
      </c>
      <c r="G2718" s="6">
        <v>41275</v>
      </c>
      <c r="H2718">
        <v>1</v>
      </c>
      <c r="I2718">
        <v>2017</v>
      </c>
      <c r="J2718" t="s">
        <v>75</v>
      </c>
      <c r="K2718" t="s">
        <v>75</v>
      </c>
      <c r="L2718" t="s">
        <v>75</v>
      </c>
      <c r="M2718" t="s">
        <v>76</v>
      </c>
      <c r="N2718" t="s">
        <v>77</v>
      </c>
      <c r="O2718" t="s">
        <v>73</v>
      </c>
      <c r="P2718" t="s">
        <v>74</v>
      </c>
    </row>
    <row r="2719" spans="1:16" hidden="1" x14ac:dyDescent="0.25">
      <c r="A2719" t="s">
        <v>1700</v>
      </c>
      <c r="B2719" t="s">
        <v>56</v>
      </c>
      <c r="C2719" t="s">
        <v>57</v>
      </c>
      <c r="D2719" t="s">
        <v>128</v>
      </c>
      <c r="E2719" t="s">
        <v>1265</v>
      </c>
      <c r="F2719">
        <v>11</v>
      </c>
      <c r="G2719" s="6">
        <v>41275</v>
      </c>
      <c r="H2719">
        <v>1</v>
      </c>
      <c r="I2719">
        <v>2017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1701</v>
      </c>
      <c r="B2720" t="s">
        <v>26</v>
      </c>
      <c r="C2720" t="s">
        <v>27</v>
      </c>
      <c r="D2720" t="s">
        <v>105</v>
      </c>
      <c r="E2720" t="s">
        <v>1265</v>
      </c>
      <c r="F2720">
        <v>1</v>
      </c>
      <c r="G2720" s="6">
        <v>41275</v>
      </c>
      <c r="H2720">
        <v>1</v>
      </c>
      <c r="I2720">
        <v>2017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1702</v>
      </c>
      <c r="B2721" t="s">
        <v>28</v>
      </c>
      <c r="C2721" t="s">
        <v>29</v>
      </c>
      <c r="D2721" t="s">
        <v>106</v>
      </c>
      <c r="E2721" t="s">
        <v>1265</v>
      </c>
      <c r="F2721">
        <v>7</v>
      </c>
      <c r="G2721" s="6">
        <v>41275</v>
      </c>
      <c r="H2721">
        <v>1</v>
      </c>
      <c r="I2721">
        <v>2017</v>
      </c>
      <c r="J2721" t="s">
        <v>73</v>
      </c>
      <c r="K2721" t="s">
        <v>74</v>
      </c>
      <c r="L2721" t="s">
        <v>75</v>
      </c>
      <c r="M2721" t="s">
        <v>74</v>
      </c>
      <c r="N2721" t="s">
        <v>74</v>
      </c>
      <c r="O2721" t="s">
        <v>75</v>
      </c>
      <c r="P2721" t="s">
        <v>73</v>
      </c>
    </row>
    <row r="2722" spans="1:16" hidden="1" x14ac:dyDescent="0.25">
      <c r="A2722" t="s">
        <v>1703</v>
      </c>
      <c r="B2722" t="s">
        <v>30</v>
      </c>
      <c r="C2722" t="s">
        <v>8</v>
      </c>
      <c r="D2722" t="s">
        <v>107</v>
      </c>
      <c r="E2722" t="s">
        <v>1266</v>
      </c>
      <c r="F2722">
        <v>6</v>
      </c>
      <c r="G2722" s="6">
        <v>41275</v>
      </c>
      <c r="H2722">
        <v>1</v>
      </c>
      <c r="I2722">
        <v>2017</v>
      </c>
      <c r="J2722" t="s">
        <v>75</v>
      </c>
      <c r="K2722" t="s">
        <v>74</v>
      </c>
      <c r="L2722" t="s">
        <v>75</v>
      </c>
      <c r="M2722" t="s">
        <v>74</v>
      </c>
      <c r="N2722" t="s">
        <v>75</v>
      </c>
      <c r="O2722" t="s">
        <v>73</v>
      </c>
      <c r="P2722" t="s">
        <v>75</v>
      </c>
    </row>
    <row r="2723" spans="1:16" hidden="1" x14ac:dyDescent="0.25">
      <c r="A2723" t="s">
        <v>1704</v>
      </c>
      <c r="B2723" t="s">
        <v>30</v>
      </c>
      <c r="C2723" t="s">
        <v>31</v>
      </c>
      <c r="D2723" t="s">
        <v>108</v>
      </c>
      <c r="E2723" t="s">
        <v>1265</v>
      </c>
      <c r="F2723">
        <v>4</v>
      </c>
      <c r="G2723" s="6">
        <v>41275</v>
      </c>
      <c r="H2723">
        <v>1</v>
      </c>
      <c r="I2723">
        <v>2017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1705</v>
      </c>
      <c r="B2724" t="s">
        <v>32</v>
      </c>
      <c r="C2724" t="s">
        <v>33</v>
      </c>
      <c r="D2724" t="s">
        <v>109</v>
      </c>
      <c r="E2724" t="s">
        <v>1266</v>
      </c>
      <c r="F2724">
        <v>2</v>
      </c>
      <c r="G2724" s="6">
        <v>41275</v>
      </c>
      <c r="H2724">
        <v>1</v>
      </c>
      <c r="I2724">
        <v>2017</v>
      </c>
      <c r="J2724" t="s">
        <v>74</v>
      </c>
      <c r="K2724" t="s">
        <v>75</v>
      </c>
      <c r="L2724" t="s">
        <v>74</v>
      </c>
      <c r="M2724" t="s">
        <v>73</v>
      </c>
      <c r="N2724" t="s">
        <v>74</v>
      </c>
      <c r="O2724" t="s">
        <v>75</v>
      </c>
      <c r="P2724" t="s">
        <v>74</v>
      </c>
    </row>
    <row r="2725" spans="1:16" hidden="1" x14ac:dyDescent="0.25">
      <c r="A2725" t="s">
        <v>1706</v>
      </c>
      <c r="B2725" t="s">
        <v>32</v>
      </c>
      <c r="C2725" t="s">
        <v>34</v>
      </c>
      <c r="D2725" t="s">
        <v>122</v>
      </c>
      <c r="E2725" t="s">
        <v>1266</v>
      </c>
      <c r="F2725">
        <v>1</v>
      </c>
      <c r="G2725" s="6">
        <v>41275</v>
      </c>
      <c r="H2725">
        <v>1</v>
      </c>
      <c r="I2725">
        <v>2017</v>
      </c>
      <c r="J2725" t="s">
        <v>75</v>
      </c>
      <c r="K2725" t="s">
        <v>74</v>
      </c>
      <c r="L2725" t="s">
        <v>75</v>
      </c>
      <c r="M2725" t="s">
        <v>75</v>
      </c>
      <c r="N2725" t="s">
        <v>73</v>
      </c>
      <c r="O2725" t="s">
        <v>74</v>
      </c>
      <c r="P2725" t="s">
        <v>74</v>
      </c>
    </row>
    <row r="2726" spans="1:16" hidden="1" x14ac:dyDescent="0.25">
      <c r="A2726" t="s">
        <v>1707</v>
      </c>
      <c r="B2726" t="s">
        <v>35</v>
      </c>
      <c r="C2726" t="s">
        <v>36</v>
      </c>
      <c r="D2726" t="s">
        <v>110</v>
      </c>
      <c r="E2726" t="s">
        <v>1265</v>
      </c>
      <c r="F2726">
        <v>9</v>
      </c>
      <c r="G2726" s="6">
        <v>41275</v>
      </c>
      <c r="H2726">
        <v>1</v>
      </c>
      <c r="I2726">
        <v>2017</v>
      </c>
      <c r="J2726" t="s">
        <v>75</v>
      </c>
      <c r="K2726" t="s">
        <v>74</v>
      </c>
      <c r="L2726" t="s">
        <v>74</v>
      </c>
      <c r="M2726" t="s">
        <v>75</v>
      </c>
      <c r="N2726" t="s">
        <v>73</v>
      </c>
      <c r="O2726" t="s">
        <v>74</v>
      </c>
      <c r="P2726" t="s">
        <v>74</v>
      </c>
    </row>
    <row r="2727" spans="1:16" hidden="1" x14ac:dyDescent="0.25">
      <c r="A2727" t="s">
        <v>1708</v>
      </c>
      <c r="B2727" t="s">
        <v>58</v>
      </c>
      <c r="C2727" t="s">
        <v>59</v>
      </c>
      <c r="D2727" t="s">
        <v>129</v>
      </c>
      <c r="E2727" t="s">
        <v>1266</v>
      </c>
      <c r="F2727">
        <v>6</v>
      </c>
      <c r="G2727" s="6">
        <v>41275</v>
      </c>
      <c r="H2727">
        <v>1</v>
      </c>
      <c r="I2727">
        <v>2017</v>
      </c>
      <c r="J2727" t="s">
        <v>75</v>
      </c>
      <c r="K2727" t="s">
        <v>74</v>
      </c>
      <c r="L2727" t="s">
        <v>75</v>
      </c>
      <c r="M2727" t="s">
        <v>74</v>
      </c>
      <c r="N2727" t="s">
        <v>75</v>
      </c>
      <c r="O2727" t="s">
        <v>73</v>
      </c>
      <c r="P2727" t="s">
        <v>75</v>
      </c>
    </row>
    <row r="2728" spans="1:16" hidden="1" x14ac:dyDescent="0.25">
      <c r="A2728" t="s">
        <v>1709</v>
      </c>
      <c r="B2728" t="s">
        <v>37</v>
      </c>
      <c r="C2728" t="s">
        <v>38</v>
      </c>
      <c r="D2728" t="s">
        <v>111</v>
      </c>
      <c r="E2728" t="s">
        <v>1265</v>
      </c>
      <c r="F2728">
        <v>10</v>
      </c>
      <c r="G2728" s="6">
        <v>41275</v>
      </c>
      <c r="H2728">
        <v>1</v>
      </c>
      <c r="I2728">
        <v>2017</v>
      </c>
      <c r="J2728" t="s">
        <v>75</v>
      </c>
      <c r="K2728" t="s">
        <v>76</v>
      </c>
      <c r="L2728" t="s">
        <v>77</v>
      </c>
      <c r="M2728" t="s">
        <v>73</v>
      </c>
      <c r="N2728" t="s">
        <v>74</v>
      </c>
      <c r="O2728" t="s">
        <v>75</v>
      </c>
      <c r="P2728" t="s">
        <v>75</v>
      </c>
    </row>
    <row r="2729" spans="1:16" hidden="1" x14ac:dyDescent="0.25">
      <c r="A2729" t="s">
        <v>1710</v>
      </c>
      <c r="B2729" t="s">
        <v>39</v>
      </c>
      <c r="C2729" t="s">
        <v>40</v>
      </c>
      <c r="D2729" t="s">
        <v>112</v>
      </c>
      <c r="E2729" t="s">
        <v>1266</v>
      </c>
      <c r="F2729">
        <v>5</v>
      </c>
      <c r="G2729" s="6">
        <v>41275</v>
      </c>
      <c r="H2729">
        <v>1</v>
      </c>
      <c r="I2729">
        <v>2017</v>
      </c>
      <c r="J2729" t="s">
        <v>73</v>
      </c>
      <c r="K2729" t="s">
        <v>75</v>
      </c>
      <c r="L2729" t="s">
        <v>75</v>
      </c>
      <c r="M2729" t="s">
        <v>74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1711</v>
      </c>
      <c r="B2730" t="s">
        <v>41</v>
      </c>
      <c r="C2730" t="s">
        <v>42</v>
      </c>
      <c r="D2730" t="s">
        <v>113</v>
      </c>
      <c r="E2730" t="s">
        <v>1265</v>
      </c>
      <c r="F2730">
        <v>3</v>
      </c>
      <c r="G2730" s="6">
        <v>41275</v>
      </c>
      <c r="H2730">
        <v>1</v>
      </c>
      <c r="I2730">
        <v>2017</v>
      </c>
      <c r="J2730" t="s">
        <v>74</v>
      </c>
      <c r="K2730" t="s">
        <v>75</v>
      </c>
      <c r="L2730" t="s">
        <v>76</v>
      </c>
      <c r="M2730" t="s">
        <v>77</v>
      </c>
      <c r="N2730" t="s">
        <v>73</v>
      </c>
      <c r="O2730" t="s">
        <v>74</v>
      </c>
      <c r="P2730" t="s">
        <v>75</v>
      </c>
    </row>
    <row r="2731" spans="1:16" hidden="1" x14ac:dyDescent="0.25">
      <c r="A2731" t="s">
        <v>1712</v>
      </c>
      <c r="B2731" t="s">
        <v>43</v>
      </c>
      <c r="C2731" t="s">
        <v>44</v>
      </c>
      <c r="D2731" t="s">
        <v>114</v>
      </c>
      <c r="E2731" t="s">
        <v>1265</v>
      </c>
      <c r="F2731">
        <v>6</v>
      </c>
      <c r="G2731" s="6">
        <v>41275</v>
      </c>
      <c r="H2731">
        <v>1</v>
      </c>
      <c r="I2731">
        <v>2017</v>
      </c>
      <c r="J2731" t="s">
        <v>77</v>
      </c>
      <c r="K2731" t="s">
        <v>73</v>
      </c>
      <c r="L2731" t="s">
        <v>74</v>
      </c>
      <c r="M2731" t="s">
        <v>74</v>
      </c>
      <c r="N2731" t="s">
        <v>75</v>
      </c>
      <c r="O2731" t="s">
        <v>75</v>
      </c>
      <c r="P2731" t="s">
        <v>74</v>
      </c>
    </row>
    <row r="2732" spans="1:16" hidden="1" x14ac:dyDescent="0.25">
      <c r="A2732" t="s">
        <v>1713</v>
      </c>
      <c r="B2732" t="s">
        <v>45</v>
      </c>
      <c r="C2732" t="s">
        <v>46</v>
      </c>
      <c r="D2732" t="s">
        <v>115</v>
      </c>
      <c r="E2732" t="s">
        <v>1265</v>
      </c>
      <c r="F2732">
        <v>2</v>
      </c>
      <c r="G2732" s="6">
        <v>41275</v>
      </c>
      <c r="H2732">
        <v>1</v>
      </c>
      <c r="I2732">
        <v>2017</v>
      </c>
      <c r="J2732" t="s">
        <v>74</v>
      </c>
      <c r="K2732" t="s">
        <v>75</v>
      </c>
      <c r="L2732" t="s">
        <v>75</v>
      </c>
      <c r="M2732" t="s">
        <v>75</v>
      </c>
      <c r="N2732" t="s">
        <v>75</v>
      </c>
      <c r="O2732" t="s">
        <v>73</v>
      </c>
      <c r="P2732" t="s">
        <v>75</v>
      </c>
    </row>
    <row r="2733" spans="1:16" hidden="1" x14ac:dyDescent="0.25">
      <c r="A2733" t="s">
        <v>1714</v>
      </c>
      <c r="B2733" t="s">
        <v>47</v>
      </c>
      <c r="C2733" t="s">
        <v>48</v>
      </c>
      <c r="D2733" t="s">
        <v>116</v>
      </c>
      <c r="E2733" t="s">
        <v>1265</v>
      </c>
      <c r="F2733">
        <v>2</v>
      </c>
      <c r="G2733" s="6">
        <v>41275</v>
      </c>
      <c r="H2733">
        <v>1</v>
      </c>
      <c r="I2733">
        <v>2017</v>
      </c>
      <c r="J2733" t="s">
        <v>74</v>
      </c>
      <c r="K2733" t="s">
        <v>75</v>
      </c>
      <c r="L2733" t="s">
        <v>75</v>
      </c>
      <c r="M2733" t="s">
        <v>75</v>
      </c>
      <c r="N2733" t="s">
        <v>75</v>
      </c>
      <c r="O2733" t="s">
        <v>73</v>
      </c>
      <c r="P2733" t="s">
        <v>75</v>
      </c>
    </row>
    <row r="2734" spans="1:16" hidden="1" x14ac:dyDescent="0.25">
      <c r="A2734" t="s">
        <v>1715</v>
      </c>
      <c r="B2734" t="s">
        <v>49</v>
      </c>
      <c r="C2734" t="s">
        <v>50</v>
      </c>
      <c r="D2734" t="s">
        <v>117</v>
      </c>
      <c r="E2734" t="s">
        <v>1265</v>
      </c>
      <c r="F2734">
        <v>1</v>
      </c>
      <c r="G2734" s="6">
        <v>41275</v>
      </c>
      <c r="H2734">
        <v>1</v>
      </c>
      <c r="I2734">
        <v>2017</v>
      </c>
      <c r="J2734" t="s">
        <v>73</v>
      </c>
      <c r="K2734" t="s">
        <v>74</v>
      </c>
      <c r="L2734" t="s">
        <v>75</v>
      </c>
      <c r="M2734" t="s">
        <v>75</v>
      </c>
      <c r="N2734" t="s">
        <v>76</v>
      </c>
      <c r="O2734" t="s">
        <v>77</v>
      </c>
      <c r="P2734" t="s">
        <v>73</v>
      </c>
    </row>
    <row r="2735" spans="1:16" hidden="1" x14ac:dyDescent="0.25">
      <c r="A2735" t="s">
        <v>1716</v>
      </c>
      <c r="B2735" t="s">
        <v>51</v>
      </c>
      <c r="C2735" t="s">
        <v>52</v>
      </c>
      <c r="D2735" t="s">
        <v>118</v>
      </c>
      <c r="E2735" t="s">
        <v>1265</v>
      </c>
      <c r="F2735">
        <v>8</v>
      </c>
      <c r="G2735" s="6">
        <v>41275</v>
      </c>
      <c r="H2735">
        <v>1</v>
      </c>
      <c r="I2735">
        <v>2017</v>
      </c>
      <c r="J2735" t="s">
        <v>75</v>
      </c>
      <c r="K2735" t="s">
        <v>75</v>
      </c>
      <c r="L2735" t="s">
        <v>75</v>
      </c>
      <c r="M2735" t="s">
        <v>76</v>
      </c>
      <c r="N2735" t="s">
        <v>77</v>
      </c>
      <c r="O2735" t="s">
        <v>73</v>
      </c>
      <c r="P2735" t="s">
        <v>74</v>
      </c>
    </row>
    <row r="2736" spans="1:16" hidden="1" x14ac:dyDescent="0.25">
      <c r="A2736" t="s">
        <v>1717</v>
      </c>
      <c r="B2736" t="s">
        <v>53</v>
      </c>
      <c r="C2736" t="s">
        <v>54</v>
      </c>
      <c r="D2736" t="s">
        <v>119</v>
      </c>
      <c r="E2736" t="s">
        <v>1266</v>
      </c>
      <c r="F2736">
        <v>4</v>
      </c>
      <c r="G2736" s="6">
        <v>41275</v>
      </c>
      <c r="H2736">
        <v>1</v>
      </c>
      <c r="I2736">
        <v>2017</v>
      </c>
      <c r="J2736" t="s">
        <v>75</v>
      </c>
      <c r="K2736" t="s">
        <v>73</v>
      </c>
      <c r="L2736" t="s">
        <v>74</v>
      </c>
      <c r="M2736" t="s">
        <v>75</v>
      </c>
      <c r="N2736" t="s">
        <v>74</v>
      </c>
      <c r="O2736" t="s">
        <v>75</v>
      </c>
      <c r="P2736" t="s">
        <v>75</v>
      </c>
    </row>
    <row r="2737" spans="1:16" hidden="1" x14ac:dyDescent="0.25">
      <c r="A2737" t="s">
        <v>1718</v>
      </c>
      <c r="B2737" t="s">
        <v>1272</v>
      </c>
      <c r="C2737" t="s">
        <v>131</v>
      </c>
      <c r="D2737" t="s">
        <v>1275</v>
      </c>
      <c r="E2737" t="s">
        <v>1266</v>
      </c>
      <c r="F2737">
        <v>6</v>
      </c>
      <c r="G2737" s="6">
        <v>41275</v>
      </c>
      <c r="H2737">
        <v>1</v>
      </c>
      <c r="I2737">
        <v>2017</v>
      </c>
      <c r="J2737" t="s">
        <v>75</v>
      </c>
      <c r="K2737" t="s">
        <v>74</v>
      </c>
      <c r="L2737" t="s">
        <v>75</v>
      </c>
      <c r="M2737" t="s">
        <v>74</v>
      </c>
      <c r="N2737" t="s">
        <v>75</v>
      </c>
      <c r="O2737" t="s">
        <v>73</v>
      </c>
      <c r="P2737" t="s">
        <v>75</v>
      </c>
    </row>
    <row r="2738" spans="1:16" hidden="1" x14ac:dyDescent="0.25">
      <c r="A2738" t="s">
        <v>1719</v>
      </c>
      <c r="B2738" t="s">
        <v>1273</v>
      </c>
      <c r="C2738" t="s">
        <v>131</v>
      </c>
      <c r="D2738" t="s">
        <v>1277</v>
      </c>
      <c r="E2738" t="s">
        <v>1266</v>
      </c>
      <c r="F2738">
        <v>3</v>
      </c>
      <c r="G2738" s="6">
        <v>41275</v>
      </c>
      <c r="H2738">
        <v>1</v>
      </c>
      <c r="I2738">
        <v>2017</v>
      </c>
      <c r="J2738" t="s">
        <v>74</v>
      </c>
      <c r="K2738" t="s">
        <v>74</v>
      </c>
      <c r="L2738" t="s">
        <v>73</v>
      </c>
      <c r="M2738" t="s">
        <v>75</v>
      </c>
      <c r="N2738" t="s">
        <v>75</v>
      </c>
      <c r="O2738" t="s">
        <v>74</v>
      </c>
      <c r="P2738" t="s">
        <v>75</v>
      </c>
    </row>
    <row r="2739" spans="1:16" hidden="1" x14ac:dyDescent="0.25">
      <c r="A2739" t="s">
        <v>1720</v>
      </c>
      <c r="B2739" t="s">
        <v>1274</v>
      </c>
      <c r="C2739" t="s">
        <v>131</v>
      </c>
      <c r="D2739" t="s">
        <v>1278</v>
      </c>
      <c r="E2739" t="s">
        <v>1266</v>
      </c>
      <c r="F2739">
        <v>1</v>
      </c>
      <c r="G2739" s="6">
        <v>41275</v>
      </c>
      <c r="H2739">
        <v>1</v>
      </c>
      <c r="I2739">
        <v>2017</v>
      </c>
      <c r="J2739" t="s">
        <v>75</v>
      </c>
      <c r="K2739" t="s">
        <v>74</v>
      </c>
      <c r="L2739" t="s">
        <v>75</v>
      </c>
      <c r="M2739" t="s">
        <v>75</v>
      </c>
      <c r="N2739" t="s">
        <v>73</v>
      </c>
      <c r="O2739" t="s">
        <v>74</v>
      </c>
      <c r="P2739" t="s">
        <v>74</v>
      </c>
    </row>
    <row r="2740" spans="1:16" hidden="1" x14ac:dyDescent="0.25">
      <c r="A2740" t="s">
        <v>1721</v>
      </c>
      <c r="B2740" t="s">
        <v>1279</v>
      </c>
      <c r="C2740" t="s">
        <v>1280</v>
      </c>
      <c r="D2740" t="s">
        <v>1276</v>
      </c>
      <c r="E2740" t="s">
        <v>1266</v>
      </c>
      <c r="F2740">
        <v>2</v>
      </c>
      <c r="G2740" s="6">
        <v>41275</v>
      </c>
      <c r="H2740">
        <v>1</v>
      </c>
      <c r="I2740">
        <v>2017</v>
      </c>
      <c r="J2740" t="s">
        <v>74</v>
      </c>
      <c r="K2740" t="s">
        <v>75</v>
      </c>
      <c r="L2740" t="s">
        <v>74</v>
      </c>
      <c r="M2740" t="s">
        <v>73</v>
      </c>
      <c r="N2740" t="s">
        <v>74</v>
      </c>
      <c r="O2740" t="s">
        <v>75</v>
      </c>
      <c r="P2740" t="s">
        <v>74</v>
      </c>
    </row>
    <row r="2741" spans="1:16" hidden="1" x14ac:dyDescent="0.25">
      <c r="A2741" t="s">
        <v>1395</v>
      </c>
      <c r="B2741" t="s">
        <v>3</v>
      </c>
      <c r="C2741" t="s">
        <v>4</v>
      </c>
      <c r="D2741" t="s">
        <v>90</v>
      </c>
      <c r="E2741" t="s">
        <v>1265</v>
      </c>
      <c r="F2741">
        <v>6</v>
      </c>
      <c r="G2741" s="6">
        <v>41219</v>
      </c>
      <c r="H2741">
        <v>45</v>
      </c>
      <c r="I2741">
        <v>2016</v>
      </c>
      <c r="J2741" t="s">
        <v>77</v>
      </c>
      <c r="K2741" t="s">
        <v>73</v>
      </c>
      <c r="L2741" t="s">
        <v>74</v>
      </c>
      <c r="M2741" t="s">
        <v>74</v>
      </c>
      <c r="N2741" t="s">
        <v>75</v>
      </c>
      <c r="O2741" t="s">
        <v>75</v>
      </c>
      <c r="P2741" t="s">
        <v>74</v>
      </c>
    </row>
    <row r="2742" spans="1:16" hidden="1" x14ac:dyDescent="0.25">
      <c r="A2742" t="s">
        <v>1396</v>
      </c>
      <c r="B2742" t="s">
        <v>5</v>
      </c>
      <c r="C2742" t="s">
        <v>6</v>
      </c>
      <c r="D2742" t="s">
        <v>93</v>
      </c>
      <c r="E2742" t="s">
        <v>1265</v>
      </c>
      <c r="F2742">
        <v>7</v>
      </c>
      <c r="G2742" s="6">
        <v>41219</v>
      </c>
      <c r="H2742">
        <v>45</v>
      </c>
      <c r="I2742">
        <v>2016</v>
      </c>
      <c r="J2742" t="s">
        <v>73</v>
      </c>
      <c r="K2742" t="s">
        <v>74</v>
      </c>
      <c r="L2742" t="s">
        <v>75</v>
      </c>
      <c r="M2742" t="s">
        <v>74</v>
      </c>
      <c r="N2742" t="s">
        <v>75</v>
      </c>
      <c r="O2742" t="s">
        <v>75</v>
      </c>
      <c r="P2742" t="s">
        <v>73</v>
      </c>
    </row>
    <row r="2743" spans="1:16" hidden="1" x14ac:dyDescent="0.25">
      <c r="A2743" t="s">
        <v>1397</v>
      </c>
      <c r="B2743" t="s">
        <v>7</v>
      </c>
      <c r="C2743" t="s">
        <v>8</v>
      </c>
      <c r="D2743" t="s">
        <v>94</v>
      </c>
      <c r="E2743" t="s">
        <v>1265</v>
      </c>
      <c r="F2743">
        <v>1</v>
      </c>
      <c r="G2743" s="6">
        <v>41219</v>
      </c>
      <c r="H2743">
        <v>45</v>
      </c>
      <c r="I2743">
        <v>2016</v>
      </c>
      <c r="J2743" t="s">
        <v>73</v>
      </c>
      <c r="K2743" t="s">
        <v>74</v>
      </c>
      <c r="L2743" t="s">
        <v>75</v>
      </c>
      <c r="M2743" t="s">
        <v>75</v>
      </c>
      <c r="N2743" t="s">
        <v>76</v>
      </c>
      <c r="O2743" t="s">
        <v>77</v>
      </c>
      <c r="P2743" t="s">
        <v>73</v>
      </c>
    </row>
    <row r="2744" spans="1:16" hidden="1" x14ac:dyDescent="0.25">
      <c r="A2744" t="s">
        <v>1398</v>
      </c>
      <c r="B2744" t="s">
        <v>9</v>
      </c>
      <c r="C2744" t="s">
        <v>10</v>
      </c>
      <c r="D2744" t="s">
        <v>96</v>
      </c>
      <c r="E2744" t="s">
        <v>1265</v>
      </c>
      <c r="F2744">
        <v>2</v>
      </c>
      <c r="G2744" s="6">
        <v>41219</v>
      </c>
      <c r="H2744">
        <v>45</v>
      </c>
      <c r="I2744">
        <v>2016</v>
      </c>
      <c r="J2744" t="s">
        <v>74</v>
      </c>
      <c r="K2744" t="s">
        <v>75</v>
      </c>
      <c r="L2744" t="s">
        <v>75</v>
      </c>
      <c r="M2744" t="s">
        <v>75</v>
      </c>
      <c r="N2744" t="s">
        <v>75</v>
      </c>
      <c r="O2744" t="s">
        <v>73</v>
      </c>
      <c r="P2744" t="s">
        <v>75</v>
      </c>
    </row>
    <row r="2745" spans="1:16" hidden="1" x14ac:dyDescent="0.25">
      <c r="A2745" t="s">
        <v>1399</v>
      </c>
      <c r="B2745" t="s">
        <v>11</v>
      </c>
      <c r="C2745" t="s">
        <v>12</v>
      </c>
      <c r="D2745" t="s">
        <v>97</v>
      </c>
      <c r="E2745" t="s">
        <v>1265</v>
      </c>
      <c r="F2745">
        <v>3</v>
      </c>
      <c r="G2745" s="6">
        <v>41219</v>
      </c>
      <c r="H2745">
        <v>45</v>
      </c>
      <c r="I2745">
        <v>2016</v>
      </c>
      <c r="J2745" t="s">
        <v>74</v>
      </c>
      <c r="K2745" t="s">
        <v>75</v>
      </c>
      <c r="L2745" t="s">
        <v>76</v>
      </c>
      <c r="M2745" t="s">
        <v>77</v>
      </c>
      <c r="N2745" t="s">
        <v>73</v>
      </c>
      <c r="O2745" t="s">
        <v>74</v>
      </c>
      <c r="P2745" t="s">
        <v>75</v>
      </c>
    </row>
    <row r="2746" spans="1:16" hidden="1" x14ac:dyDescent="0.25">
      <c r="A2746" t="s">
        <v>1400</v>
      </c>
      <c r="B2746" t="s">
        <v>13</v>
      </c>
      <c r="C2746" t="s">
        <v>14</v>
      </c>
      <c r="D2746" t="s">
        <v>120</v>
      </c>
      <c r="E2746" t="s">
        <v>1303</v>
      </c>
      <c r="F2746">
        <v>1</v>
      </c>
      <c r="G2746" s="6">
        <v>41219</v>
      </c>
      <c r="H2746">
        <v>45</v>
      </c>
      <c r="I2746">
        <v>2016</v>
      </c>
      <c r="J2746" t="s">
        <v>125</v>
      </c>
      <c r="K2746" t="s">
        <v>125</v>
      </c>
      <c r="L2746" t="s">
        <v>125</v>
      </c>
      <c r="M2746" t="s">
        <v>125</v>
      </c>
      <c r="N2746" t="s">
        <v>125</v>
      </c>
      <c r="O2746" t="s">
        <v>125</v>
      </c>
      <c r="P2746" t="s">
        <v>125</v>
      </c>
    </row>
    <row r="2747" spans="1:16" hidden="1" x14ac:dyDescent="0.25">
      <c r="A2747" t="s">
        <v>1401</v>
      </c>
      <c r="B2747" t="s">
        <v>13</v>
      </c>
      <c r="C2747" t="s">
        <v>15</v>
      </c>
      <c r="D2747" t="s">
        <v>98</v>
      </c>
      <c r="E2747" t="s">
        <v>1266</v>
      </c>
      <c r="F2747">
        <v>4</v>
      </c>
      <c r="G2747" s="6">
        <v>41219</v>
      </c>
      <c r="H2747">
        <v>45</v>
      </c>
      <c r="I2747">
        <v>2016</v>
      </c>
      <c r="J2747" t="s">
        <v>133</v>
      </c>
      <c r="K2747" t="s">
        <v>73</v>
      </c>
      <c r="L2747" t="s">
        <v>133</v>
      </c>
      <c r="M2747" t="s">
        <v>75</v>
      </c>
      <c r="N2747" t="s">
        <v>74</v>
      </c>
      <c r="O2747" t="s">
        <v>75</v>
      </c>
      <c r="P2747" t="s">
        <v>75</v>
      </c>
    </row>
    <row r="2748" spans="1:16" hidden="1" x14ac:dyDescent="0.25">
      <c r="A2748" t="s">
        <v>1402</v>
      </c>
      <c r="B2748" t="s">
        <v>16</v>
      </c>
      <c r="C2748" t="s">
        <v>17</v>
      </c>
      <c r="D2748" t="s">
        <v>99</v>
      </c>
      <c r="E2748" t="s">
        <v>1265</v>
      </c>
      <c r="F2748">
        <v>8</v>
      </c>
      <c r="G2748" s="6">
        <v>41219</v>
      </c>
      <c r="H2748">
        <v>45</v>
      </c>
      <c r="I2748">
        <v>2016</v>
      </c>
      <c r="J2748" t="s">
        <v>75</v>
      </c>
      <c r="K2748" t="s">
        <v>75</v>
      </c>
      <c r="L2748" t="s">
        <v>75</v>
      </c>
      <c r="M2748" t="s">
        <v>76</v>
      </c>
      <c r="N2748" t="s">
        <v>77</v>
      </c>
      <c r="O2748" t="s">
        <v>73</v>
      </c>
      <c r="P2748" t="s">
        <v>74</v>
      </c>
    </row>
    <row r="2749" spans="1:16" hidden="1" x14ac:dyDescent="0.25">
      <c r="A2749" t="s">
        <v>1403</v>
      </c>
      <c r="B2749" t="s">
        <v>18</v>
      </c>
      <c r="C2749" t="s">
        <v>19</v>
      </c>
      <c r="D2749" t="s">
        <v>100</v>
      </c>
      <c r="E2749" t="s">
        <v>1265</v>
      </c>
      <c r="F2749">
        <v>10</v>
      </c>
      <c r="G2749" s="6">
        <v>41219</v>
      </c>
      <c r="H2749">
        <v>45</v>
      </c>
      <c r="I2749">
        <v>2016</v>
      </c>
      <c r="J2749" t="s">
        <v>75</v>
      </c>
      <c r="K2749" t="s">
        <v>76</v>
      </c>
      <c r="L2749" t="s">
        <v>77</v>
      </c>
      <c r="M2749" t="s">
        <v>73</v>
      </c>
      <c r="N2749" t="s">
        <v>74</v>
      </c>
      <c r="O2749" t="s">
        <v>75</v>
      </c>
      <c r="P2749" t="s">
        <v>75</v>
      </c>
    </row>
    <row r="2750" spans="1:16" hidden="1" x14ac:dyDescent="0.25">
      <c r="A2750" t="s">
        <v>1404</v>
      </c>
      <c r="B2750" t="s">
        <v>20</v>
      </c>
      <c r="C2750" t="s">
        <v>21</v>
      </c>
      <c r="D2750" t="s">
        <v>101</v>
      </c>
      <c r="E2750" t="s">
        <v>1265</v>
      </c>
      <c r="F2750">
        <v>9</v>
      </c>
      <c r="G2750" s="6">
        <v>41219</v>
      </c>
      <c r="H2750">
        <v>45</v>
      </c>
      <c r="I2750">
        <v>2016</v>
      </c>
      <c r="J2750" t="s">
        <v>75</v>
      </c>
      <c r="K2750" t="s">
        <v>133</v>
      </c>
      <c r="L2750" t="s">
        <v>74</v>
      </c>
      <c r="M2750" t="s">
        <v>75</v>
      </c>
      <c r="N2750" t="s">
        <v>73</v>
      </c>
      <c r="O2750" t="s">
        <v>74</v>
      </c>
      <c r="P2750" t="s">
        <v>74</v>
      </c>
    </row>
    <row r="2751" spans="1:16" hidden="1" x14ac:dyDescent="0.25">
      <c r="A2751" t="s">
        <v>1405</v>
      </c>
      <c r="B2751" t="s">
        <v>22</v>
      </c>
      <c r="C2751" t="s">
        <v>17</v>
      </c>
      <c r="D2751" t="s">
        <v>102</v>
      </c>
      <c r="E2751" t="s">
        <v>1266</v>
      </c>
      <c r="F2751">
        <v>1</v>
      </c>
      <c r="G2751" s="6">
        <v>41219</v>
      </c>
      <c r="H2751">
        <v>45</v>
      </c>
      <c r="I2751">
        <v>2016</v>
      </c>
      <c r="J2751" t="s">
        <v>75</v>
      </c>
      <c r="K2751" t="s">
        <v>74</v>
      </c>
      <c r="L2751" t="s">
        <v>75</v>
      </c>
      <c r="M2751" t="s">
        <v>75</v>
      </c>
      <c r="N2751" t="s">
        <v>73</v>
      </c>
      <c r="O2751" t="s">
        <v>74</v>
      </c>
      <c r="P2751" t="s">
        <v>74</v>
      </c>
    </row>
    <row r="2752" spans="1:16" hidden="1" x14ac:dyDescent="0.25">
      <c r="A2752" t="s">
        <v>1406</v>
      </c>
      <c r="B2752" t="s">
        <v>23</v>
      </c>
      <c r="C2752" t="s">
        <v>24</v>
      </c>
      <c r="D2752" t="s">
        <v>103</v>
      </c>
      <c r="E2752" t="s">
        <v>1266</v>
      </c>
      <c r="F2752">
        <v>2</v>
      </c>
      <c r="G2752" s="6">
        <v>41219</v>
      </c>
      <c r="H2752">
        <v>45</v>
      </c>
      <c r="I2752">
        <v>2016</v>
      </c>
      <c r="J2752" t="s">
        <v>74</v>
      </c>
      <c r="K2752" t="s">
        <v>75</v>
      </c>
      <c r="L2752" t="s">
        <v>133</v>
      </c>
      <c r="M2752" t="s">
        <v>73</v>
      </c>
      <c r="N2752" t="s">
        <v>133</v>
      </c>
      <c r="O2752" t="s">
        <v>75</v>
      </c>
      <c r="P2752" t="s">
        <v>74</v>
      </c>
    </row>
    <row r="2753" spans="1:16" hidden="1" x14ac:dyDescent="0.25">
      <c r="A2753" t="s">
        <v>1407</v>
      </c>
      <c r="B2753" t="s">
        <v>23</v>
      </c>
      <c r="C2753" t="s">
        <v>55</v>
      </c>
      <c r="D2753" t="s">
        <v>126</v>
      </c>
      <c r="E2753" t="s">
        <v>1265</v>
      </c>
      <c r="F2753">
        <v>8</v>
      </c>
      <c r="G2753" s="6">
        <v>41219</v>
      </c>
      <c r="H2753">
        <v>45</v>
      </c>
      <c r="I2753">
        <v>2016</v>
      </c>
      <c r="J2753" t="s">
        <v>75</v>
      </c>
      <c r="K2753" t="s">
        <v>75</v>
      </c>
      <c r="L2753" t="s">
        <v>75</v>
      </c>
      <c r="M2753" t="s">
        <v>76</v>
      </c>
      <c r="N2753" t="s">
        <v>77</v>
      </c>
      <c r="O2753" t="s">
        <v>73</v>
      </c>
      <c r="P2753" t="s">
        <v>74</v>
      </c>
    </row>
    <row r="2754" spans="1:16" hidden="1" x14ac:dyDescent="0.25">
      <c r="A2754" t="s">
        <v>1408</v>
      </c>
      <c r="B2754" t="s">
        <v>25</v>
      </c>
      <c r="C2754" t="s">
        <v>131</v>
      </c>
      <c r="D2754" t="s">
        <v>104</v>
      </c>
      <c r="E2754" t="s">
        <v>1265</v>
      </c>
      <c r="F2754">
        <v>11</v>
      </c>
      <c r="G2754" s="6">
        <v>41219</v>
      </c>
      <c r="H2754">
        <v>45</v>
      </c>
      <c r="I2754">
        <v>2016</v>
      </c>
      <c r="J2754" t="s">
        <v>75</v>
      </c>
      <c r="K2754" t="s">
        <v>75</v>
      </c>
      <c r="L2754" t="s">
        <v>73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1409</v>
      </c>
      <c r="B2755" t="s">
        <v>56</v>
      </c>
      <c r="C2755" t="s">
        <v>57</v>
      </c>
      <c r="D2755" t="s">
        <v>128</v>
      </c>
      <c r="E2755" t="s">
        <v>1265</v>
      </c>
      <c r="F2755">
        <v>3</v>
      </c>
      <c r="G2755" s="6">
        <v>41219</v>
      </c>
      <c r="H2755">
        <v>45</v>
      </c>
      <c r="I2755">
        <v>2016</v>
      </c>
      <c r="J2755" t="s">
        <v>74</v>
      </c>
      <c r="K2755" t="s">
        <v>75</v>
      </c>
      <c r="L2755" t="s">
        <v>76</v>
      </c>
      <c r="M2755" t="s">
        <v>77</v>
      </c>
      <c r="N2755" t="s">
        <v>73</v>
      </c>
      <c r="O2755" t="s">
        <v>74</v>
      </c>
      <c r="P2755" t="s">
        <v>75</v>
      </c>
    </row>
    <row r="2756" spans="1:16" hidden="1" x14ac:dyDescent="0.25">
      <c r="A2756" t="s">
        <v>1410</v>
      </c>
      <c r="B2756" t="s">
        <v>26</v>
      </c>
      <c r="C2756" t="s">
        <v>27</v>
      </c>
      <c r="D2756" t="s">
        <v>105</v>
      </c>
      <c r="E2756" t="s">
        <v>1265</v>
      </c>
      <c r="F2756">
        <v>4</v>
      </c>
      <c r="G2756" s="6">
        <v>41219</v>
      </c>
      <c r="H2756">
        <v>45</v>
      </c>
      <c r="I2756">
        <v>2016</v>
      </c>
      <c r="J2756" t="s">
        <v>74</v>
      </c>
      <c r="K2756" t="s">
        <v>75</v>
      </c>
      <c r="L2756" t="s">
        <v>74</v>
      </c>
      <c r="M2756" t="s">
        <v>73</v>
      </c>
      <c r="N2756" t="s">
        <v>74</v>
      </c>
      <c r="O2756" t="s">
        <v>74</v>
      </c>
      <c r="P2756" t="s">
        <v>75</v>
      </c>
    </row>
    <row r="2757" spans="1:16" hidden="1" x14ac:dyDescent="0.25">
      <c r="A2757" t="s">
        <v>1411</v>
      </c>
      <c r="B2757" t="s">
        <v>28</v>
      </c>
      <c r="C2757" t="s">
        <v>29</v>
      </c>
      <c r="D2757" t="s">
        <v>106</v>
      </c>
      <c r="E2757" t="s">
        <v>1265</v>
      </c>
      <c r="F2757">
        <v>10</v>
      </c>
      <c r="G2757" s="6">
        <v>41219</v>
      </c>
      <c r="H2757">
        <v>45</v>
      </c>
      <c r="I2757">
        <v>2016</v>
      </c>
      <c r="J2757" t="s">
        <v>75</v>
      </c>
      <c r="K2757" t="s">
        <v>76</v>
      </c>
      <c r="L2757" t="s">
        <v>77</v>
      </c>
      <c r="M2757" t="s">
        <v>73</v>
      </c>
      <c r="N2757" t="s">
        <v>74</v>
      </c>
      <c r="O2757" t="s">
        <v>75</v>
      </c>
      <c r="P2757" t="s">
        <v>75</v>
      </c>
    </row>
    <row r="2758" spans="1:16" hidden="1" x14ac:dyDescent="0.25">
      <c r="A2758" t="s">
        <v>1412</v>
      </c>
      <c r="B2758" t="s">
        <v>30</v>
      </c>
      <c r="C2758" t="s">
        <v>8</v>
      </c>
      <c r="D2758" t="s">
        <v>107</v>
      </c>
      <c r="E2758" t="s">
        <v>1266</v>
      </c>
      <c r="F2758">
        <v>4</v>
      </c>
      <c r="G2758" s="6">
        <v>41219</v>
      </c>
      <c r="H2758">
        <v>45</v>
      </c>
      <c r="I2758">
        <v>2016</v>
      </c>
      <c r="J2758" t="s">
        <v>75</v>
      </c>
      <c r="K2758" t="s">
        <v>73</v>
      </c>
      <c r="L2758" t="s">
        <v>74</v>
      </c>
      <c r="M2758" t="s">
        <v>74</v>
      </c>
      <c r="N2758" t="s">
        <v>74</v>
      </c>
      <c r="O2758" t="s">
        <v>1281</v>
      </c>
      <c r="P2758" t="s">
        <v>75</v>
      </c>
    </row>
    <row r="2759" spans="1:16" hidden="1" x14ac:dyDescent="0.25">
      <c r="A2759" t="s">
        <v>1413</v>
      </c>
      <c r="B2759" t="s">
        <v>30</v>
      </c>
      <c r="C2759" t="s">
        <v>31</v>
      </c>
      <c r="D2759" t="s">
        <v>108</v>
      </c>
      <c r="E2759" t="s">
        <v>1265</v>
      </c>
      <c r="F2759">
        <v>7</v>
      </c>
      <c r="G2759" s="6">
        <v>41219</v>
      </c>
      <c r="H2759">
        <v>45</v>
      </c>
      <c r="I2759">
        <v>2016</v>
      </c>
      <c r="J2759" t="s">
        <v>73</v>
      </c>
      <c r="K2759" t="s">
        <v>75</v>
      </c>
      <c r="L2759" t="s">
        <v>75</v>
      </c>
      <c r="M2759" t="s">
        <v>74</v>
      </c>
      <c r="N2759" t="s">
        <v>74</v>
      </c>
      <c r="O2759" t="s">
        <v>75</v>
      </c>
      <c r="P2759" t="s">
        <v>73</v>
      </c>
    </row>
    <row r="2760" spans="1:16" hidden="1" x14ac:dyDescent="0.25">
      <c r="A2760" t="s">
        <v>1414</v>
      </c>
      <c r="B2760" t="s">
        <v>32</v>
      </c>
      <c r="C2760" t="s">
        <v>33</v>
      </c>
      <c r="D2760" t="s">
        <v>109</v>
      </c>
      <c r="E2760" t="s">
        <v>1266</v>
      </c>
      <c r="F2760">
        <v>6</v>
      </c>
      <c r="G2760" s="6">
        <v>41219</v>
      </c>
      <c r="H2760">
        <v>45</v>
      </c>
      <c r="I2760">
        <v>2016</v>
      </c>
      <c r="J2760" t="s">
        <v>75</v>
      </c>
      <c r="K2760" t="s">
        <v>74</v>
      </c>
      <c r="L2760" t="s">
        <v>75</v>
      </c>
      <c r="M2760" t="s">
        <v>74</v>
      </c>
      <c r="N2760" t="s">
        <v>133</v>
      </c>
      <c r="O2760" t="s">
        <v>73</v>
      </c>
      <c r="P2760" t="s">
        <v>75</v>
      </c>
    </row>
    <row r="2761" spans="1:16" hidden="1" x14ac:dyDescent="0.25">
      <c r="A2761" t="s">
        <v>1415</v>
      </c>
      <c r="B2761" t="s">
        <v>32</v>
      </c>
      <c r="C2761" t="s">
        <v>34</v>
      </c>
      <c r="D2761" t="s">
        <v>122</v>
      </c>
      <c r="E2761" t="s">
        <v>1303</v>
      </c>
      <c r="F2761">
        <v>1</v>
      </c>
      <c r="G2761" s="6">
        <v>41219</v>
      </c>
      <c r="H2761">
        <v>45</v>
      </c>
      <c r="I2761">
        <v>2016</v>
      </c>
      <c r="J2761" t="s">
        <v>125</v>
      </c>
      <c r="K2761" t="s">
        <v>125</v>
      </c>
      <c r="L2761" t="s">
        <v>125</v>
      </c>
      <c r="M2761" t="s">
        <v>125</v>
      </c>
      <c r="N2761" t="s">
        <v>125</v>
      </c>
      <c r="O2761" t="s">
        <v>125</v>
      </c>
      <c r="P2761" t="s">
        <v>125</v>
      </c>
    </row>
    <row r="2762" spans="1:16" hidden="1" x14ac:dyDescent="0.25">
      <c r="A2762" t="s">
        <v>1416</v>
      </c>
      <c r="B2762" t="s">
        <v>35</v>
      </c>
      <c r="C2762" t="s">
        <v>36</v>
      </c>
      <c r="D2762" t="s">
        <v>110</v>
      </c>
      <c r="E2762" t="s">
        <v>1265</v>
      </c>
      <c r="F2762">
        <v>1</v>
      </c>
      <c r="G2762" s="6">
        <v>41219</v>
      </c>
      <c r="H2762">
        <v>45</v>
      </c>
      <c r="I2762">
        <v>2016</v>
      </c>
      <c r="J2762" t="s">
        <v>73</v>
      </c>
      <c r="K2762" t="s">
        <v>74</v>
      </c>
      <c r="L2762" t="s">
        <v>75</v>
      </c>
      <c r="M2762" t="s">
        <v>75</v>
      </c>
      <c r="N2762" t="s">
        <v>76</v>
      </c>
      <c r="O2762" t="s">
        <v>77</v>
      </c>
      <c r="P2762" t="s">
        <v>73</v>
      </c>
    </row>
    <row r="2763" spans="1:16" hidden="1" x14ac:dyDescent="0.25">
      <c r="A2763" t="s">
        <v>1417</v>
      </c>
      <c r="B2763" t="s">
        <v>58</v>
      </c>
      <c r="C2763" t="s">
        <v>59</v>
      </c>
      <c r="D2763" t="s">
        <v>129</v>
      </c>
      <c r="E2763" t="s">
        <v>1266</v>
      </c>
      <c r="F2763">
        <v>4</v>
      </c>
      <c r="G2763" s="6">
        <v>41219</v>
      </c>
      <c r="H2763">
        <v>45</v>
      </c>
      <c r="I2763">
        <v>2016</v>
      </c>
      <c r="J2763" t="s">
        <v>75</v>
      </c>
      <c r="K2763" t="s">
        <v>73</v>
      </c>
      <c r="L2763" t="s">
        <v>133</v>
      </c>
      <c r="M2763" t="s">
        <v>75</v>
      </c>
      <c r="N2763" t="s">
        <v>74</v>
      </c>
      <c r="O2763" t="s">
        <v>75</v>
      </c>
      <c r="P2763" t="s">
        <v>75</v>
      </c>
    </row>
    <row r="2764" spans="1:16" hidden="1" x14ac:dyDescent="0.25">
      <c r="A2764" t="s">
        <v>1418</v>
      </c>
      <c r="B2764" t="s">
        <v>37</v>
      </c>
      <c r="C2764" t="s">
        <v>38</v>
      </c>
      <c r="D2764" t="s">
        <v>111</v>
      </c>
      <c r="E2764" t="s">
        <v>1265</v>
      </c>
      <c r="F2764">
        <v>2</v>
      </c>
      <c r="G2764" s="6">
        <v>41219</v>
      </c>
      <c r="H2764">
        <v>45</v>
      </c>
      <c r="I2764">
        <v>2016</v>
      </c>
      <c r="J2764" t="s">
        <v>74</v>
      </c>
      <c r="K2764" t="s">
        <v>75</v>
      </c>
      <c r="L2764" t="s">
        <v>75</v>
      </c>
      <c r="M2764" t="s">
        <v>75</v>
      </c>
      <c r="N2764" t="s">
        <v>75</v>
      </c>
      <c r="O2764" t="s">
        <v>73</v>
      </c>
      <c r="P2764" t="s">
        <v>75</v>
      </c>
    </row>
    <row r="2765" spans="1:16" hidden="1" x14ac:dyDescent="0.25">
      <c r="A2765" t="s">
        <v>1419</v>
      </c>
      <c r="B2765" t="s">
        <v>39</v>
      </c>
      <c r="C2765" t="s">
        <v>40</v>
      </c>
      <c r="D2765" t="s">
        <v>112</v>
      </c>
      <c r="E2765" t="s">
        <v>1266</v>
      </c>
      <c r="F2765">
        <v>3</v>
      </c>
      <c r="G2765" s="6">
        <v>41219</v>
      </c>
      <c r="H2765">
        <v>45</v>
      </c>
      <c r="I2765">
        <v>2016</v>
      </c>
      <c r="J2765" t="s">
        <v>74</v>
      </c>
      <c r="K2765" t="s">
        <v>74</v>
      </c>
      <c r="L2765" t="s">
        <v>73</v>
      </c>
      <c r="M2765" t="s">
        <v>75</v>
      </c>
      <c r="N2765" t="s">
        <v>75</v>
      </c>
      <c r="O2765" t="s">
        <v>74</v>
      </c>
      <c r="P2765" t="s">
        <v>75</v>
      </c>
    </row>
    <row r="2766" spans="1:16" hidden="1" x14ac:dyDescent="0.25">
      <c r="A2766" t="s">
        <v>1420</v>
      </c>
      <c r="B2766" t="s">
        <v>41</v>
      </c>
      <c r="C2766" t="s">
        <v>42</v>
      </c>
      <c r="D2766" t="s">
        <v>113</v>
      </c>
      <c r="E2766" t="s">
        <v>1265</v>
      </c>
      <c r="F2766">
        <v>6</v>
      </c>
      <c r="G2766" s="6">
        <v>41219</v>
      </c>
      <c r="H2766">
        <v>45</v>
      </c>
      <c r="I2766">
        <v>2016</v>
      </c>
      <c r="J2766" t="s">
        <v>77</v>
      </c>
      <c r="K2766" t="s">
        <v>73</v>
      </c>
      <c r="L2766" t="s">
        <v>74</v>
      </c>
      <c r="M2766" t="s">
        <v>74</v>
      </c>
      <c r="N2766" t="s">
        <v>75</v>
      </c>
      <c r="O2766" t="s">
        <v>75</v>
      </c>
      <c r="P2766" t="s">
        <v>74</v>
      </c>
    </row>
    <row r="2767" spans="1:16" hidden="1" x14ac:dyDescent="0.25">
      <c r="A2767" t="s">
        <v>1421</v>
      </c>
      <c r="B2767" t="s">
        <v>43</v>
      </c>
      <c r="C2767" t="s">
        <v>44</v>
      </c>
      <c r="D2767" t="s">
        <v>114</v>
      </c>
      <c r="E2767" t="s">
        <v>1265</v>
      </c>
      <c r="F2767">
        <v>9</v>
      </c>
      <c r="G2767" s="6">
        <v>41219</v>
      </c>
      <c r="H2767">
        <v>45</v>
      </c>
      <c r="I2767">
        <v>2016</v>
      </c>
      <c r="J2767" t="s">
        <v>75</v>
      </c>
      <c r="K2767" t="s">
        <v>74</v>
      </c>
      <c r="L2767" t="s">
        <v>74</v>
      </c>
      <c r="M2767" t="s">
        <v>75</v>
      </c>
      <c r="N2767" t="s">
        <v>73</v>
      </c>
      <c r="O2767" t="s">
        <v>74</v>
      </c>
      <c r="P2767" t="s">
        <v>74</v>
      </c>
    </row>
    <row r="2768" spans="1:16" hidden="1" x14ac:dyDescent="0.25">
      <c r="A2768" t="s">
        <v>1422</v>
      </c>
      <c r="B2768" t="s">
        <v>45</v>
      </c>
      <c r="C2768" t="s">
        <v>46</v>
      </c>
      <c r="D2768" t="s">
        <v>115</v>
      </c>
      <c r="E2768" t="s">
        <v>1265</v>
      </c>
      <c r="F2768">
        <v>5</v>
      </c>
      <c r="G2768" s="6">
        <v>41219</v>
      </c>
      <c r="H2768">
        <v>45</v>
      </c>
      <c r="I2768">
        <v>2016</v>
      </c>
      <c r="J2768" t="s">
        <v>76</v>
      </c>
      <c r="K2768" t="s">
        <v>77</v>
      </c>
      <c r="L2768" t="s">
        <v>73</v>
      </c>
      <c r="M2768" t="s">
        <v>74</v>
      </c>
      <c r="N2768" t="s">
        <v>75</v>
      </c>
      <c r="O2768" t="s">
        <v>75</v>
      </c>
      <c r="P2768" t="s">
        <v>76</v>
      </c>
    </row>
    <row r="2769" spans="1:16" hidden="1" x14ac:dyDescent="0.25">
      <c r="A2769" t="s">
        <v>1423</v>
      </c>
      <c r="B2769" t="s">
        <v>47</v>
      </c>
      <c r="C2769" t="s">
        <v>48</v>
      </c>
      <c r="D2769" t="s">
        <v>116</v>
      </c>
      <c r="E2769" t="s">
        <v>1265</v>
      </c>
      <c r="F2769">
        <v>5</v>
      </c>
      <c r="G2769" s="6">
        <v>41219</v>
      </c>
      <c r="H2769">
        <v>45</v>
      </c>
      <c r="I2769">
        <v>2016</v>
      </c>
      <c r="J2769" t="s">
        <v>76</v>
      </c>
      <c r="K2769" t="s">
        <v>77</v>
      </c>
      <c r="L2769" t="s">
        <v>73</v>
      </c>
      <c r="M2769" t="s">
        <v>133</v>
      </c>
      <c r="N2769" t="s">
        <v>75</v>
      </c>
      <c r="O2769" t="s">
        <v>75</v>
      </c>
      <c r="P2769" t="s">
        <v>76</v>
      </c>
    </row>
    <row r="2770" spans="1:16" hidden="1" x14ac:dyDescent="0.25">
      <c r="A2770" t="s">
        <v>1424</v>
      </c>
      <c r="B2770" t="s">
        <v>49</v>
      </c>
      <c r="C2770" t="s">
        <v>50</v>
      </c>
      <c r="D2770" t="s">
        <v>117</v>
      </c>
      <c r="E2770" t="s">
        <v>1265</v>
      </c>
      <c r="F2770">
        <v>4</v>
      </c>
      <c r="G2770" s="6">
        <v>41219</v>
      </c>
      <c r="H2770">
        <v>45</v>
      </c>
      <c r="I2770">
        <v>2016</v>
      </c>
      <c r="J2770" t="s">
        <v>74</v>
      </c>
      <c r="K2770" t="s">
        <v>75</v>
      </c>
      <c r="L2770" t="s">
        <v>74</v>
      </c>
      <c r="M2770" t="s">
        <v>73</v>
      </c>
      <c r="N2770" t="s">
        <v>74</v>
      </c>
      <c r="O2770" t="s">
        <v>74</v>
      </c>
      <c r="P2770" t="s">
        <v>75</v>
      </c>
    </row>
    <row r="2771" spans="1:16" hidden="1" x14ac:dyDescent="0.25">
      <c r="A2771" t="s">
        <v>1425</v>
      </c>
      <c r="B2771" t="s">
        <v>51</v>
      </c>
      <c r="C2771" t="s">
        <v>52</v>
      </c>
      <c r="D2771" t="s">
        <v>118</v>
      </c>
      <c r="E2771" t="s">
        <v>1265</v>
      </c>
      <c r="F2771">
        <v>11</v>
      </c>
      <c r="G2771" s="6">
        <v>41219</v>
      </c>
      <c r="H2771">
        <v>45</v>
      </c>
      <c r="I2771">
        <v>2016</v>
      </c>
      <c r="J2771" t="s">
        <v>75</v>
      </c>
      <c r="K2771" t="s">
        <v>75</v>
      </c>
      <c r="L2771" t="s">
        <v>73</v>
      </c>
      <c r="M2771" t="s">
        <v>75</v>
      </c>
      <c r="N2771" t="s">
        <v>75</v>
      </c>
      <c r="O2771" t="s">
        <v>76</v>
      </c>
      <c r="P2771" t="s">
        <v>77</v>
      </c>
    </row>
    <row r="2772" spans="1:16" hidden="1" x14ac:dyDescent="0.25">
      <c r="A2772" t="s">
        <v>1426</v>
      </c>
      <c r="B2772" t="s">
        <v>53</v>
      </c>
      <c r="C2772" t="s">
        <v>54</v>
      </c>
      <c r="D2772" t="s">
        <v>119</v>
      </c>
      <c r="E2772" t="s">
        <v>1266</v>
      </c>
      <c r="F2772">
        <v>2</v>
      </c>
      <c r="G2772" s="6">
        <v>41219</v>
      </c>
      <c r="H2772">
        <v>45</v>
      </c>
      <c r="I2772">
        <v>2016</v>
      </c>
      <c r="J2772" t="s">
        <v>74</v>
      </c>
      <c r="K2772" t="s">
        <v>75</v>
      </c>
      <c r="L2772" t="s">
        <v>74</v>
      </c>
      <c r="M2772" t="s">
        <v>73</v>
      </c>
      <c r="N2772" t="s">
        <v>133</v>
      </c>
      <c r="O2772" t="s">
        <v>75</v>
      </c>
      <c r="P2772" t="s">
        <v>74</v>
      </c>
    </row>
    <row r="2773" spans="1:16" hidden="1" x14ac:dyDescent="0.25">
      <c r="A2773" t="s">
        <v>1427</v>
      </c>
      <c r="B2773" t="s">
        <v>1272</v>
      </c>
      <c r="C2773" t="s">
        <v>131</v>
      </c>
      <c r="D2773" t="s">
        <v>1275</v>
      </c>
      <c r="E2773" t="s">
        <v>1266</v>
      </c>
      <c r="F2773">
        <v>4</v>
      </c>
      <c r="G2773" s="6">
        <v>41219</v>
      </c>
      <c r="H2773">
        <v>45</v>
      </c>
      <c r="I2773">
        <v>2016</v>
      </c>
      <c r="J2773" t="s">
        <v>75</v>
      </c>
      <c r="K2773" t="s">
        <v>73</v>
      </c>
      <c r="L2773" t="s">
        <v>74</v>
      </c>
      <c r="M2773" t="s">
        <v>75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1428</v>
      </c>
      <c r="B2774" t="s">
        <v>1273</v>
      </c>
      <c r="C2774" t="s">
        <v>131</v>
      </c>
      <c r="D2774" t="s">
        <v>1277</v>
      </c>
      <c r="E2774" t="s">
        <v>1266</v>
      </c>
      <c r="F2774">
        <v>1</v>
      </c>
      <c r="G2774" s="6">
        <v>41219</v>
      </c>
      <c r="H2774">
        <v>45</v>
      </c>
      <c r="I2774">
        <v>2016</v>
      </c>
      <c r="J2774" t="s">
        <v>75</v>
      </c>
      <c r="K2774" t="s">
        <v>74</v>
      </c>
      <c r="L2774" t="s">
        <v>75</v>
      </c>
      <c r="M2774" t="s">
        <v>75</v>
      </c>
      <c r="N2774" t="s">
        <v>73</v>
      </c>
      <c r="O2774" t="s">
        <v>74</v>
      </c>
      <c r="P2774" t="s">
        <v>92</v>
      </c>
    </row>
    <row r="2775" spans="1:16" hidden="1" x14ac:dyDescent="0.25">
      <c r="A2775" t="s">
        <v>1429</v>
      </c>
      <c r="B2775" t="s">
        <v>1274</v>
      </c>
      <c r="C2775" t="s">
        <v>131</v>
      </c>
      <c r="D2775" t="s">
        <v>1278</v>
      </c>
      <c r="E2775" t="s">
        <v>1266</v>
      </c>
      <c r="F2775">
        <v>5</v>
      </c>
      <c r="G2775" s="6">
        <v>41219</v>
      </c>
      <c r="H2775">
        <v>45</v>
      </c>
      <c r="I2775">
        <v>2016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1430</v>
      </c>
      <c r="B2776" t="s">
        <v>1279</v>
      </c>
      <c r="C2776" t="s">
        <v>1280</v>
      </c>
      <c r="D2776" t="s">
        <v>1276</v>
      </c>
      <c r="E2776" t="s">
        <v>1266</v>
      </c>
      <c r="F2776">
        <v>6</v>
      </c>
      <c r="G2776" s="6">
        <v>41219</v>
      </c>
      <c r="H2776">
        <v>45</v>
      </c>
      <c r="I2776">
        <v>2016</v>
      </c>
      <c r="J2776" t="s">
        <v>75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hidden="1" x14ac:dyDescent="0.25">
      <c r="A2777" t="s">
        <v>1431</v>
      </c>
      <c r="B2777" t="s">
        <v>3</v>
      </c>
      <c r="C2777" t="s">
        <v>4</v>
      </c>
      <c r="D2777" t="s">
        <v>90</v>
      </c>
      <c r="E2777" t="s">
        <v>1265</v>
      </c>
      <c r="F2777">
        <v>7</v>
      </c>
      <c r="G2777" s="6">
        <v>41226</v>
      </c>
      <c r="H2777">
        <v>46</v>
      </c>
      <c r="I2777">
        <v>2016</v>
      </c>
      <c r="J2777" t="s">
        <v>73</v>
      </c>
      <c r="K2777" t="s">
        <v>74</v>
      </c>
      <c r="L2777" t="s">
        <v>74</v>
      </c>
      <c r="M2777" t="s">
        <v>74</v>
      </c>
      <c r="N2777" t="s">
        <v>74</v>
      </c>
      <c r="O2777" t="s">
        <v>75</v>
      </c>
      <c r="P2777" t="s">
        <v>73</v>
      </c>
    </row>
    <row r="2778" spans="1:16" hidden="1" x14ac:dyDescent="0.25">
      <c r="A2778" t="s">
        <v>1432</v>
      </c>
      <c r="B2778" t="s">
        <v>5</v>
      </c>
      <c r="C2778" t="s">
        <v>6</v>
      </c>
      <c r="D2778" t="s">
        <v>93</v>
      </c>
      <c r="E2778" t="s">
        <v>1265</v>
      </c>
      <c r="F2778">
        <v>8</v>
      </c>
      <c r="G2778" s="6">
        <v>41226</v>
      </c>
      <c r="H2778">
        <v>46</v>
      </c>
      <c r="I2778">
        <v>2016</v>
      </c>
      <c r="J2778" t="s">
        <v>75</v>
      </c>
      <c r="K2778" t="s">
        <v>75</v>
      </c>
      <c r="L2778" t="s">
        <v>75</v>
      </c>
      <c r="M2778" t="s">
        <v>76</v>
      </c>
      <c r="N2778" t="s">
        <v>77</v>
      </c>
      <c r="O2778" t="s">
        <v>73</v>
      </c>
      <c r="P2778" t="s">
        <v>74</v>
      </c>
    </row>
    <row r="2779" spans="1:16" hidden="1" x14ac:dyDescent="0.25">
      <c r="A2779" t="s">
        <v>1433</v>
      </c>
      <c r="B2779" t="s">
        <v>7</v>
      </c>
      <c r="C2779" t="s">
        <v>8</v>
      </c>
      <c r="D2779" t="s">
        <v>94</v>
      </c>
      <c r="E2779" t="s">
        <v>1265</v>
      </c>
      <c r="F2779">
        <v>2</v>
      </c>
      <c r="G2779" s="6">
        <v>41226</v>
      </c>
      <c r="H2779">
        <v>46</v>
      </c>
      <c r="I2779">
        <v>2016</v>
      </c>
      <c r="J2779" t="s">
        <v>75</v>
      </c>
      <c r="K2779" t="s">
        <v>75</v>
      </c>
      <c r="L2779" t="s">
        <v>75</v>
      </c>
      <c r="M2779" t="s">
        <v>75</v>
      </c>
      <c r="N2779" t="s">
        <v>75</v>
      </c>
      <c r="O2779" t="s">
        <v>73</v>
      </c>
      <c r="P2779" t="s">
        <v>75</v>
      </c>
    </row>
    <row r="2780" spans="1:16" hidden="1" x14ac:dyDescent="0.25">
      <c r="A2780" t="s">
        <v>1434</v>
      </c>
      <c r="B2780" t="s">
        <v>9</v>
      </c>
      <c r="C2780" t="s">
        <v>10</v>
      </c>
      <c r="D2780" t="s">
        <v>96</v>
      </c>
      <c r="E2780" t="s">
        <v>1265</v>
      </c>
      <c r="F2780">
        <v>3</v>
      </c>
      <c r="G2780" s="6">
        <v>41226</v>
      </c>
      <c r="H2780">
        <v>46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75</v>
      </c>
    </row>
    <row r="2781" spans="1:16" hidden="1" x14ac:dyDescent="0.25">
      <c r="A2781" t="s">
        <v>1435</v>
      </c>
      <c r="B2781" t="s">
        <v>11</v>
      </c>
      <c r="C2781" t="s">
        <v>12</v>
      </c>
      <c r="D2781" t="s">
        <v>97</v>
      </c>
      <c r="E2781" t="s">
        <v>1265</v>
      </c>
      <c r="F2781">
        <v>4</v>
      </c>
      <c r="G2781" s="6">
        <v>41226</v>
      </c>
      <c r="H2781">
        <v>46</v>
      </c>
      <c r="I2781">
        <v>2016</v>
      </c>
      <c r="J2781" t="s">
        <v>74</v>
      </c>
      <c r="K2781" t="s">
        <v>75</v>
      </c>
      <c r="L2781" t="s">
        <v>74</v>
      </c>
      <c r="M2781" t="s">
        <v>73</v>
      </c>
      <c r="N2781" t="s">
        <v>74</v>
      </c>
      <c r="O2781" t="s">
        <v>74</v>
      </c>
      <c r="P2781" t="s">
        <v>75</v>
      </c>
    </row>
    <row r="2782" spans="1:16" hidden="1" x14ac:dyDescent="0.25">
      <c r="A2782" t="s">
        <v>1436</v>
      </c>
      <c r="B2782" t="s">
        <v>13</v>
      </c>
      <c r="C2782" t="s">
        <v>14</v>
      </c>
      <c r="D2782" t="s">
        <v>120</v>
      </c>
      <c r="E2782" t="s">
        <v>1303</v>
      </c>
      <c r="F2782">
        <v>1</v>
      </c>
      <c r="G2782" s="6">
        <v>41226</v>
      </c>
      <c r="H2782">
        <v>46</v>
      </c>
      <c r="I2782">
        <v>2016</v>
      </c>
      <c r="J2782" t="s">
        <v>125</v>
      </c>
      <c r="K2782" t="s">
        <v>125</v>
      </c>
      <c r="L2782" t="s">
        <v>125</v>
      </c>
      <c r="M2782" t="s">
        <v>125</v>
      </c>
      <c r="N2782" t="s">
        <v>125</v>
      </c>
      <c r="O2782" t="s">
        <v>125</v>
      </c>
      <c r="P2782" t="s">
        <v>125</v>
      </c>
    </row>
    <row r="2783" spans="1:16" hidden="1" x14ac:dyDescent="0.25">
      <c r="A2783" t="s">
        <v>1437</v>
      </c>
      <c r="B2783" t="s">
        <v>13</v>
      </c>
      <c r="C2783" t="s">
        <v>15</v>
      </c>
      <c r="D2783" t="s">
        <v>98</v>
      </c>
      <c r="E2783" t="s">
        <v>1266</v>
      </c>
      <c r="F2783">
        <v>5</v>
      </c>
      <c r="G2783" s="6">
        <v>41226</v>
      </c>
      <c r="H2783">
        <v>46</v>
      </c>
      <c r="I2783">
        <v>2016</v>
      </c>
      <c r="J2783" t="s">
        <v>73</v>
      </c>
      <c r="K2783" t="s">
        <v>75</v>
      </c>
      <c r="L2783" t="s">
        <v>75</v>
      </c>
      <c r="M2783" t="s">
        <v>74</v>
      </c>
      <c r="N2783" t="s">
        <v>75</v>
      </c>
      <c r="O2783" t="s">
        <v>75</v>
      </c>
      <c r="P2783" t="s">
        <v>73</v>
      </c>
    </row>
    <row r="2784" spans="1:16" hidden="1" x14ac:dyDescent="0.25">
      <c r="A2784" t="s">
        <v>1438</v>
      </c>
      <c r="B2784" t="s">
        <v>16</v>
      </c>
      <c r="C2784" t="s">
        <v>17</v>
      </c>
      <c r="D2784" t="s">
        <v>99</v>
      </c>
      <c r="E2784" t="s">
        <v>1265</v>
      </c>
      <c r="F2784">
        <v>9</v>
      </c>
      <c r="G2784" s="6">
        <v>41226</v>
      </c>
      <c r="H2784">
        <v>46</v>
      </c>
      <c r="I2784">
        <v>2016</v>
      </c>
      <c r="J2784" t="s">
        <v>75</v>
      </c>
      <c r="K2784" t="s">
        <v>74</v>
      </c>
      <c r="L2784" t="s">
        <v>74</v>
      </c>
      <c r="M2784" t="s">
        <v>75</v>
      </c>
      <c r="N2784" t="s">
        <v>73</v>
      </c>
      <c r="O2784" t="s">
        <v>74</v>
      </c>
      <c r="P2784" t="s">
        <v>75</v>
      </c>
    </row>
    <row r="2785" spans="1:16" hidden="1" x14ac:dyDescent="0.25">
      <c r="A2785" t="s">
        <v>1439</v>
      </c>
      <c r="B2785" t="s">
        <v>18</v>
      </c>
      <c r="C2785" t="s">
        <v>19</v>
      </c>
      <c r="D2785" t="s">
        <v>100</v>
      </c>
      <c r="E2785" t="s">
        <v>1265</v>
      </c>
      <c r="F2785">
        <v>11</v>
      </c>
      <c r="G2785" s="6">
        <v>41226</v>
      </c>
      <c r="H2785">
        <v>46</v>
      </c>
      <c r="I2785">
        <v>2016</v>
      </c>
      <c r="J2785" t="s">
        <v>75</v>
      </c>
      <c r="K2785" t="s">
        <v>75</v>
      </c>
      <c r="L2785" t="s">
        <v>73</v>
      </c>
      <c r="M2785" t="s">
        <v>75</v>
      </c>
      <c r="N2785" t="s">
        <v>75</v>
      </c>
      <c r="O2785" t="s">
        <v>76</v>
      </c>
      <c r="P2785" t="s">
        <v>77</v>
      </c>
    </row>
    <row r="2786" spans="1:16" hidden="1" x14ac:dyDescent="0.25">
      <c r="A2786" t="s">
        <v>1440</v>
      </c>
      <c r="B2786" t="s">
        <v>20</v>
      </c>
      <c r="C2786" t="s">
        <v>21</v>
      </c>
      <c r="D2786" t="s">
        <v>101</v>
      </c>
      <c r="E2786" t="s">
        <v>1265</v>
      </c>
      <c r="F2786">
        <v>10</v>
      </c>
      <c r="G2786" s="6">
        <v>41226</v>
      </c>
      <c r="H2786">
        <v>46</v>
      </c>
      <c r="I2786">
        <v>2016</v>
      </c>
      <c r="J2786" t="s">
        <v>75</v>
      </c>
      <c r="K2786" t="s">
        <v>76</v>
      </c>
      <c r="L2786" t="s">
        <v>77</v>
      </c>
      <c r="M2786" t="s">
        <v>73</v>
      </c>
      <c r="N2786" t="s">
        <v>74</v>
      </c>
      <c r="O2786" t="s">
        <v>75</v>
      </c>
      <c r="P2786" t="s">
        <v>75</v>
      </c>
    </row>
    <row r="2787" spans="1:16" hidden="1" x14ac:dyDescent="0.25">
      <c r="A2787" t="s">
        <v>1441</v>
      </c>
      <c r="B2787" t="s">
        <v>22</v>
      </c>
      <c r="C2787" t="s">
        <v>17</v>
      </c>
      <c r="D2787" t="s">
        <v>102</v>
      </c>
      <c r="E2787" t="s">
        <v>1266</v>
      </c>
      <c r="F2787">
        <v>2</v>
      </c>
      <c r="G2787" s="6">
        <v>41226</v>
      </c>
      <c r="H2787">
        <v>46</v>
      </c>
      <c r="I2787">
        <v>2016</v>
      </c>
      <c r="J2787" t="s">
        <v>74</v>
      </c>
      <c r="K2787" t="s">
        <v>76</v>
      </c>
      <c r="L2787" t="s">
        <v>77</v>
      </c>
      <c r="M2787" t="s">
        <v>73</v>
      </c>
      <c r="N2787" t="s">
        <v>74</v>
      </c>
      <c r="O2787" t="s">
        <v>75</v>
      </c>
      <c r="P2787" t="s">
        <v>74</v>
      </c>
    </row>
    <row r="2788" spans="1:16" hidden="1" x14ac:dyDescent="0.25">
      <c r="A2788" t="s">
        <v>1442</v>
      </c>
      <c r="B2788" t="s">
        <v>23</v>
      </c>
      <c r="C2788" t="s">
        <v>24</v>
      </c>
      <c r="D2788" t="s">
        <v>103</v>
      </c>
      <c r="E2788" t="s">
        <v>1266</v>
      </c>
      <c r="F2788">
        <v>3</v>
      </c>
      <c r="G2788" s="6">
        <v>41226</v>
      </c>
      <c r="H2788">
        <v>46</v>
      </c>
      <c r="I2788">
        <v>2016</v>
      </c>
      <c r="J2788" t="s">
        <v>74</v>
      </c>
      <c r="K2788" t="s">
        <v>74</v>
      </c>
      <c r="L2788" t="s">
        <v>73</v>
      </c>
      <c r="M2788" t="s">
        <v>75</v>
      </c>
      <c r="N2788" t="s">
        <v>75</v>
      </c>
      <c r="O2788" t="s">
        <v>74</v>
      </c>
      <c r="P2788" t="s">
        <v>75</v>
      </c>
    </row>
    <row r="2789" spans="1:16" hidden="1" x14ac:dyDescent="0.25">
      <c r="A2789" t="s">
        <v>1443</v>
      </c>
      <c r="B2789" t="s">
        <v>23</v>
      </c>
      <c r="C2789" t="s">
        <v>55</v>
      </c>
      <c r="D2789" t="s">
        <v>126</v>
      </c>
      <c r="E2789" t="s">
        <v>1265</v>
      </c>
      <c r="F2789">
        <v>9</v>
      </c>
      <c r="G2789" s="6">
        <v>41226</v>
      </c>
      <c r="H2789">
        <v>46</v>
      </c>
      <c r="I2789">
        <v>2016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1444</v>
      </c>
      <c r="B2790" t="s">
        <v>25</v>
      </c>
      <c r="C2790" t="s">
        <v>131</v>
      </c>
      <c r="D2790" t="s">
        <v>104</v>
      </c>
      <c r="E2790" t="s">
        <v>1265</v>
      </c>
      <c r="F2790">
        <v>1</v>
      </c>
      <c r="G2790" s="6">
        <v>41226</v>
      </c>
      <c r="H2790">
        <v>46</v>
      </c>
      <c r="I2790">
        <v>2016</v>
      </c>
      <c r="J2790" t="s">
        <v>73</v>
      </c>
      <c r="K2790" t="s">
        <v>74</v>
      </c>
      <c r="L2790" t="s">
        <v>75</v>
      </c>
      <c r="M2790" t="s">
        <v>75</v>
      </c>
      <c r="N2790" t="s">
        <v>76</v>
      </c>
      <c r="O2790" t="s">
        <v>77</v>
      </c>
      <c r="P2790" t="s">
        <v>73</v>
      </c>
    </row>
    <row r="2791" spans="1:16" hidden="1" x14ac:dyDescent="0.25">
      <c r="A2791" t="s">
        <v>1445</v>
      </c>
      <c r="B2791" t="s">
        <v>56</v>
      </c>
      <c r="C2791" t="s">
        <v>57</v>
      </c>
      <c r="D2791" t="s">
        <v>128</v>
      </c>
      <c r="E2791" t="s">
        <v>1265</v>
      </c>
      <c r="F2791">
        <v>4</v>
      </c>
      <c r="G2791" s="6">
        <v>41226</v>
      </c>
      <c r="H2791">
        <v>46</v>
      </c>
      <c r="I2791">
        <v>2016</v>
      </c>
      <c r="J2791" t="s">
        <v>74</v>
      </c>
      <c r="K2791" t="s">
        <v>75</v>
      </c>
      <c r="L2791" t="s">
        <v>74</v>
      </c>
      <c r="M2791" t="s">
        <v>73</v>
      </c>
      <c r="N2791" t="s">
        <v>74</v>
      </c>
      <c r="O2791" t="s">
        <v>74</v>
      </c>
      <c r="P2791" t="s">
        <v>75</v>
      </c>
    </row>
    <row r="2792" spans="1:16" hidden="1" x14ac:dyDescent="0.25">
      <c r="A2792" t="s">
        <v>1446</v>
      </c>
      <c r="B2792" t="s">
        <v>26</v>
      </c>
      <c r="C2792" t="s">
        <v>27</v>
      </c>
      <c r="D2792" t="s">
        <v>105</v>
      </c>
      <c r="E2792" t="s">
        <v>1265</v>
      </c>
      <c r="F2792">
        <v>5</v>
      </c>
      <c r="G2792" s="6">
        <v>41226</v>
      </c>
      <c r="H2792">
        <v>46</v>
      </c>
      <c r="I2792">
        <v>2016</v>
      </c>
      <c r="J2792" t="s">
        <v>76</v>
      </c>
      <c r="K2792" t="s">
        <v>77</v>
      </c>
      <c r="L2792" t="s">
        <v>73</v>
      </c>
      <c r="M2792" t="s">
        <v>74</v>
      </c>
      <c r="N2792" t="s">
        <v>75</v>
      </c>
      <c r="O2792" t="s">
        <v>75</v>
      </c>
      <c r="P2792" t="s">
        <v>76</v>
      </c>
    </row>
    <row r="2793" spans="1:16" hidden="1" x14ac:dyDescent="0.25">
      <c r="A2793" t="s">
        <v>1447</v>
      </c>
      <c r="B2793" t="s">
        <v>28</v>
      </c>
      <c r="C2793" t="s">
        <v>29</v>
      </c>
      <c r="D2793" t="s">
        <v>106</v>
      </c>
      <c r="E2793" t="s">
        <v>1265</v>
      </c>
      <c r="F2793">
        <v>11</v>
      </c>
      <c r="G2793" s="6">
        <v>41226</v>
      </c>
      <c r="H2793">
        <v>46</v>
      </c>
      <c r="I2793">
        <v>2016</v>
      </c>
      <c r="J2793" t="s">
        <v>75</v>
      </c>
      <c r="K2793" t="s">
        <v>75</v>
      </c>
      <c r="L2793" t="s">
        <v>73</v>
      </c>
      <c r="M2793" t="s">
        <v>75</v>
      </c>
      <c r="N2793" t="s">
        <v>75</v>
      </c>
      <c r="O2793" t="s">
        <v>76</v>
      </c>
      <c r="P2793" t="s">
        <v>77</v>
      </c>
    </row>
    <row r="2794" spans="1:16" hidden="1" x14ac:dyDescent="0.25">
      <c r="A2794" t="s">
        <v>1448</v>
      </c>
      <c r="B2794" t="s">
        <v>30</v>
      </c>
      <c r="C2794" t="s">
        <v>8</v>
      </c>
      <c r="D2794" t="s">
        <v>107</v>
      </c>
      <c r="E2794" t="s">
        <v>1266</v>
      </c>
      <c r="F2794">
        <v>5</v>
      </c>
      <c r="G2794" s="6">
        <v>41226</v>
      </c>
      <c r="H2794">
        <v>46</v>
      </c>
      <c r="I2794">
        <v>2016</v>
      </c>
      <c r="J2794" t="s">
        <v>73</v>
      </c>
      <c r="K2794" t="s">
        <v>75</v>
      </c>
      <c r="L2794" t="s">
        <v>75</v>
      </c>
      <c r="M2794" t="s">
        <v>75</v>
      </c>
      <c r="N2794" t="s">
        <v>75</v>
      </c>
      <c r="O2794" t="s">
        <v>1281</v>
      </c>
      <c r="P2794" t="s">
        <v>73</v>
      </c>
    </row>
    <row r="2795" spans="1:16" hidden="1" x14ac:dyDescent="0.25">
      <c r="A2795" t="s">
        <v>1449</v>
      </c>
      <c r="B2795" t="s">
        <v>30</v>
      </c>
      <c r="C2795" t="s">
        <v>31</v>
      </c>
      <c r="D2795" t="s">
        <v>108</v>
      </c>
      <c r="E2795" t="s">
        <v>1265</v>
      </c>
      <c r="F2795">
        <v>8</v>
      </c>
      <c r="G2795" s="6">
        <v>41226</v>
      </c>
      <c r="H2795">
        <v>46</v>
      </c>
      <c r="I2795">
        <v>2016</v>
      </c>
      <c r="J2795" t="s">
        <v>75</v>
      </c>
      <c r="K2795" t="s">
        <v>75</v>
      </c>
      <c r="L2795" t="s">
        <v>75</v>
      </c>
      <c r="M2795" t="s">
        <v>76</v>
      </c>
      <c r="N2795" t="s">
        <v>77</v>
      </c>
      <c r="O2795" t="s">
        <v>73</v>
      </c>
      <c r="P2795" t="s">
        <v>74</v>
      </c>
    </row>
    <row r="2796" spans="1:16" hidden="1" x14ac:dyDescent="0.25">
      <c r="A2796" t="s">
        <v>1450</v>
      </c>
      <c r="B2796" t="s">
        <v>32</v>
      </c>
      <c r="C2796" t="s">
        <v>33</v>
      </c>
      <c r="D2796" t="s">
        <v>109</v>
      </c>
      <c r="E2796" t="s">
        <v>1266</v>
      </c>
      <c r="F2796">
        <v>1</v>
      </c>
      <c r="G2796" s="6">
        <v>41226</v>
      </c>
      <c r="H2796">
        <v>46</v>
      </c>
      <c r="I2796">
        <v>2016</v>
      </c>
      <c r="J2796" t="s">
        <v>75</v>
      </c>
      <c r="K2796" t="s">
        <v>75</v>
      </c>
      <c r="L2796" t="s">
        <v>76</v>
      </c>
      <c r="M2796" t="s">
        <v>77</v>
      </c>
      <c r="N2796" t="s">
        <v>73</v>
      </c>
      <c r="O2796" t="s">
        <v>74</v>
      </c>
      <c r="P2796" t="s">
        <v>74</v>
      </c>
    </row>
    <row r="2797" spans="1:16" hidden="1" x14ac:dyDescent="0.25">
      <c r="A2797" t="s">
        <v>1451</v>
      </c>
      <c r="B2797" t="s">
        <v>32</v>
      </c>
      <c r="C2797" t="s">
        <v>34</v>
      </c>
      <c r="D2797" t="s">
        <v>122</v>
      </c>
      <c r="E2797" t="s">
        <v>1303</v>
      </c>
      <c r="F2797">
        <v>1</v>
      </c>
      <c r="G2797" s="6">
        <v>41226</v>
      </c>
      <c r="H2797">
        <v>46</v>
      </c>
      <c r="I2797">
        <v>2016</v>
      </c>
      <c r="J2797" t="s">
        <v>125</v>
      </c>
      <c r="K2797" t="s">
        <v>125</v>
      </c>
      <c r="L2797" t="s">
        <v>125</v>
      </c>
      <c r="M2797" t="s">
        <v>125</v>
      </c>
      <c r="N2797" t="s">
        <v>125</v>
      </c>
      <c r="O2797" t="s">
        <v>125</v>
      </c>
      <c r="P2797" t="s">
        <v>125</v>
      </c>
    </row>
    <row r="2798" spans="1:16" hidden="1" x14ac:dyDescent="0.25">
      <c r="A2798" t="s">
        <v>1452</v>
      </c>
      <c r="B2798" t="s">
        <v>35</v>
      </c>
      <c r="C2798" t="s">
        <v>36</v>
      </c>
      <c r="D2798" t="s">
        <v>110</v>
      </c>
      <c r="E2798" t="s">
        <v>1265</v>
      </c>
      <c r="F2798">
        <v>2</v>
      </c>
      <c r="G2798" s="6">
        <v>41226</v>
      </c>
      <c r="H2798">
        <v>46</v>
      </c>
      <c r="I2798">
        <v>2016</v>
      </c>
      <c r="J2798" t="s">
        <v>74</v>
      </c>
      <c r="K2798" t="s">
        <v>75</v>
      </c>
      <c r="L2798" t="s">
        <v>75</v>
      </c>
      <c r="M2798" t="s">
        <v>75</v>
      </c>
      <c r="N2798" t="s">
        <v>75</v>
      </c>
      <c r="O2798" t="s">
        <v>73</v>
      </c>
      <c r="P2798" t="s">
        <v>75</v>
      </c>
    </row>
    <row r="2799" spans="1:16" hidden="1" x14ac:dyDescent="0.25">
      <c r="A2799" t="s">
        <v>1453</v>
      </c>
      <c r="B2799" t="s">
        <v>58</v>
      </c>
      <c r="C2799" t="s">
        <v>59</v>
      </c>
      <c r="D2799" t="s">
        <v>129</v>
      </c>
      <c r="E2799" t="s">
        <v>1266</v>
      </c>
      <c r="F2799">
        <v>5</v>
      </c>
      <c r="G2799" s="6">
        <v>41226</v>
      </c>
      <c r="H2799">
        <v>46</v>
      </c>
      <c r="I2799">
        <v>2016</v>
      </c>
      <c r="J2799" t="s">
        <v>73</v>
      </c>
      <c r="K2799" t="s">
        <v>75</v>
      </c>
      <c r="L2799" t="s">
        <v>75</v>
      </c>
      <c r="M2799" t="s">
        <v>75</v>
      </c>
      <c r="N2799" t="s">
        <v>75</v>
      </c>
      <c r="O2799" t="s">
        <v>75</v>
      </c>
      <c r="P2799" t="s">
        <v>73</v>
      </c>
    </row>
    <row r="2800" spans="1:16" hidden="1" x14ac:dyDescent="0.25">
      <c r="A2800" t="s">
        <v>1454</v>
      </c>
      <c r="B2800" t="s">
        <v>37</v>
      </c>
      <c r="C2800" t="s">
        <v>38</v>
      </c>
      <c r="D2800" t="s">
        <v>111</v>
      </c>
      <c r="E2800" t="s">
        <v>1265</v>
      </c>
      <c r="F2800">
        <v>3</v>
      </c>
      <c r="G2800" s="6">
        <v>41226</v>
      </c>
      <c r="H2800">
        <v>46</v>
      </c>
      <c r="I2800">
        <v>2016</v>
      </c>
      <c r="J2800" t="s">
        <v>74</v>
      </c>
      <c r="K2800" t="s">
        <v>75</v>
      </c>
      <c r="L2800" t="s">
        <v>92</v>
      </c>
      <c r="M2800" t="s">
        <v>92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1455</v>
      </c>
      <c r="B2801" t="s">
        <v>39</v>
      </c>
      <c r="C2801" t="s">
        <v>40</v>
      </c>
      <c r="D2801" t="s">
        <v>112</v>
      </c>
      <c r="E2801" t="s">
        <v>1266</v>
      </c>
      <c r="F2801">
        <v>4</v>
      </c>
      <c r="G2801" s="6">
        <v>41226</v>
      </c>
      <c r="H2801">
        <v>46</v>
      </c>
      <c r="I2801">
        <v>2016</v>
      </c>
      <c r="J2801" t="s">
        <v>75</v>
      </c>
      <c r="K2801" t="s">
        <v>73</v>
      </c>
      <c r="L2801" t="s">
        <v>74</v>
      </c>
      <c r="M2801" t="s">
        <v>75</v>
      </c>
      <c r="N2801" t="s">
        <v>74</v>
      </c>
      <c r="O2801" t="s">
        <v>75</v>
      </c>
      <c r="P2801" t="s">
        <v>75</v>
      </c>
    </row>
    <row r="2802" spans="1:16" hidden="1" x14ac:dyDescent="0.25">
      <c r="A2802" t="s">
        <v>1456</v>
      </c>
      <c r="B2802" t="s">
        <v>41</v>
      </c>
      <c r="C2802" t="s">
        <v>42</v>
      </c>
      <c r="D2802" t="s">
        <v>113</v>
      </c>
      <c r="E2802" t="s">
        <v>1265</v>
      </c>
      <c r="F2802">
        <v>7</v>
      </c>
      <c r="G2802" s="6">
        <v>41226</v>
      </c>
      <c r="H2802">
        <v>46</v>
      </c>
      <c r="I2802">
        <v>2016</v>
      </c>
      <c r="J2802" t="s">
        <v>73</v>
      </c>
      <c r="K2802" t="s">
        <v>75</v>
      </c>
      <c r="L2802" t="s">
        <v>75</v>
      </c>
      <c r="M2802" t="s">
        <v>74</v>
      </c>
      <c r="N2802" t="s">
        <v>74</v>
      </c>
      <c r="O2802" t="s">
        <v>75</v>
      </c>
      <c r="P2802" t="s">
        <v>73</v>
      </c>
    </row>
    <row r="2803" spans="1:16" hidden="1" x14ac:dyDescent="0.25">
      <c r="A2803" t="s">
        <v>1457</v>
      </c>
      <c r="B2803" t="s">
        <v>43</v>
      </c>
      <c r="C2803" t="s">
        <v>44</v>
      </c>
      <c r="D2803" t="s">
        <v>114</v>
      </c>
      <c r="E2803" t="s">
        <v>1265</v>
      </c>
      <c r="F2803">
        <v>10</v>
      </c>
      <c r="G2803" s="6">
        <v>41226</v>
      </c>
      <c r="H2803">
        <v>46</v>
      </c>
      <c r="I2803">
        <v>2016</v>
      </c>
      <c r="J2803" t="s">
        <v>75</v>
      </c>
      <c r="K2803" t="s">
        <v>75</v>
      </c>
      <c r="L2803" t="s">
        <v>74</v>
      </c>
      <c r="M2803" t="s">
        <v>73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1458</v>
      </c>
      <c r="B2804" t="s">
        <v>45</v>
      </c>
      <c r="C2804" t="s">
        <v>46</v>
      </c>
      <c r="D2804" t="s">
        <v>115</v>
      </c>
      <c r="E2804" t="s">
        <v>1265</v>
      </c>
      <c r="F2804">
        <v>6</v>
      </c>
      <c r="G2804" s="6">
        <v>41226</v>
      </c>
      <c r="H2804">
        <v>46</v>
      </c>
      <c r="I2804">
        <v>2016</v>
      </c>
      <c r="J2804" t="s">
        <v>77</v>
      </c>
      <c r="K2804" t="s">
        <v>73</v>
      </c>
      <c r="L2804" t="s">
        <v>74</v>
      </c>
      <c r="M2804" t="s">
        <v>74</v>
      </c>
      <c r="N2804" t="s">
        <v>75</v>
      </c>
      <c r="O2804" t="s">
        <v>75</v>
      </c>
      <c r="P2804" t="s">
        <v>74</v>
      </c>
    </row>
    <row r="2805" spans="1:16" hidden="1" x14ac:dyDescent="0.25">
      <c r="A2805" t="s">
        <v>1459</v>
      </c>
      <c r="B2805" t="s">
        <v>47</v>
      </c>
      <c r="C2805" t="s">
        <v>48</v>
      </c>
      <c r="D2805" t="s">
        <v>116</v>
      </c>
      <c r="E2805" t="s">
        <v>1265</v>
      </c>
      <c r="F2805">
        <v>6</v>
      </c>
      <c r="G2805" s="6">
        <v>41226</v>
      </c>
      <c r="H2805">
        <v>46</v>
      </c>
      <c r="I2805">
        <v>2016</v>
      </c>
      <c r="J2805" t="s">
        <v>77</v>
      </c>
      <c r="K2805" t="s">
        <v>73</v>
      </c>
      <c r="L2805" t="s">
        <v>133</v>
      </c>
      <c r="M2805" t="s">
        <v>74</v>
      </c>
      <c r="N2805" t="s">
        <v>75</v>
      </c>
      <c r="O2805" t="s">
        <v>75</v>
      </c>
      <c r="P2805" t="s">
        <v>74</v>
      </c>
    </row>
    <row r="2806" spans="1:16" hidden="1" x14ac:dyDescent="0.25">
      <c r="A2806" t="s">
        <v>1460</v>
      </c>
      <c r="B2806" t="s">
        <v>49</v>
      </c>
      <c r="C2806" t="s">
        <v>50</v>
      </c>
      <c r="D2806" t="s">
        <v>117</v>
      </c>
      <c r="E2806" t="s">
        <v>1265</v>
      </c>
      <c r="F2806">
        <v>5</v>
      </c>
      <c r="G2806" s="6">
        <v>41226</v>
      </c>
      <c r="H2806">
        <v>46</v>
      </c>
      <c r="I2806">
        <v>2016</v>
      </c>
      <c r="J2806" t="s">
        <v>76</v>
      </c>
      <c r="K2806" t="s">
        <v>77</v>
      </c>
      <c r="L2806" t="s">
        <v>73</v>
      </c>
      <c r="M2806" t="s">
        <v>74</v>
      </c>
      <c r="N2806" t="s">
        <v>75</v>
      </c>
      <c r="O2806" t="s">
        <v>75</v>
      </c>
      <c r="P2806" t="s">
        <v>76</v>
      </c>
    </row>
    <row r="2807" spans="1:16" hidden="1" x14ac:dyDescent="0.25">
      <c r="A2807" t="s">
        <v>1461</v>
      </c>
      <c r="B2807" t="s">
        <v>51</v>
      </c>
      <c r="C2807" t="s">
        <v>52</v>
      </c>
      <c r="D2807" t="s">
        <v>118</v>
      </c>
      <c r="E2807" t="s">
        <v>1265</v>
      </c>
      <c r="F2807">
        <v>1</v>
      </c>
      <c r="G2807" s="6">
        <v>41226</v>
      </c>
      <c r="H2807">
        <v>46</v>
      </c>
      <c r="I2807">
        <v>2016</v>
      </c>
      <c r="J2807" t="s">
        <v>73</v>
      </c>
      <c r="K2807" t="s">
        <v>74</v>
      </c>
      <c r="L2807" t="s">
        <v>75</v>
      </c>
      <c r="M2807" t="s">
        <v>75</v>
      </c>
      <c r="N2807" t="s">
        <v>76</v>
      </c>
      <c r="O2807" t="s">
        <v>77</v>
      </c>
      <c r="P2807" t="s">
        <v>73</v>
      </c>
    </row>
    <row r="2808" spans="1:16" hidden="1" x14ac:dyDescent="0.25">
      <c r="A2808" t="s">
        <v>1462</v>
      </c>
      <c r="B2808" t="s">
        <v>53</v>
      </c>
      <c r="C2808" t="s">
        <v>54</v>
      </c>
      <c r="D2808" t="s">
        <v>119</v>
      </c>
      <c r="E2808" t="s">
        <v>1266</v>
      </c>
      <c r="F2808">
        <v>3</v>
      </c>
      <c r="G2808" s="6">
        <v>41226</v>
      </c>
      <c r="H2808">
        <v>46</v>
      </c>
      <c r="I2808">
        <v>2016</v>
      </c>
      <c r="J2808" t="s">
        <v>74</v>
      </c>
      <c r="K2808" t="s">
        <v>74</v>
      </c>
      <c r="L2808" t="s">
        <v>73</v>
      </c>
      <c r="M2808" t="s">
        <v>133</v>
      </c>
      <c r="N2808" t="s">
        <v>133</v>
      </c>
      <c r="O2808" t="s">
        <v>74</v>
      </c>
      <c r="P2808" t="s">
        <v>75</v>
      </c>
    </row>
    <row r="2809" spans="1:16" hidden="1" x14ac:dyDescent="0.25">
      <c r="A2809" t="s">
        <v>1463</v>
      </c>
      <c r="B2809" t="s">
        <v>1272</v>
      </c>
      <c r="C2809" t="s">
        <v>131</v>
      </c>
      <c r="D2809" t="s">
        <v>1275</v>
      </c>
      <c r="E2809" t="s">
        <v>1266</v>
      </c>
      <c r="F2809">
        <v>5</v>
      </c>
      <c r="G2809" s="6">
        <v>41226</v>
      </c>
      <c r="H2809">
        <v>46</v>
      </c>
      <c r="I2809">
        <v>2016</v>
      </c>
      <c r="J2809" t="s">
        <v>73</v>
      </c>
      <c r="K2809" t="s">
        <v>75</v>
      </c>
      <c r="L2809" t="s">
        <v>75</v>
      </c>
      <c r="M2809" t="s">
        <v>74</v>
      </c>
      <c r="N2809" t="s">
        <v>75</v>
      </c>
      <c r="O2809" t="s">
        <v>75</v>
      </c>
      <c r="P2809" t="s">
        <v>73</v>
      </c>
    </row>
    <row r="2810" spans="1:16" hidden="1" x14ac:dyDescent="0.25">
      <c r="A2810" t="s">
        <v>1464</v>
      </c>
      <c r="B2810" t="s">
        <v>1273</v>
      </c>
      <c r="C2810" t="s">
        <v>131</v>
      </c>
      <c r="D2810" t="s">
        <v>1277</v>
      </c>
      <c r="E2810" t="s">
        <v>1266</v>
      </c>
      <c r="F2810">
        <v>2</v>
      </c>
      <c r="G2810" s="6">
        <v>41226</v>
      </c>
      <c r="H2810">
        <v>46</v>
      </c>
      <c r="I2810">
        <v>2016</v>
      </c>
      <c r="J2810" t="s">
        <v>74</v>
      </c>
      <c r="K2810" t="s">
        <v>75</v>
      </c>
      <c r="L2810" t="s">
        <v>74</v>
      </c>
      <c r="M2810" t="s">
        <v>73</v>
      </c>
      <c r="N2810" t="s">
        <v>74</v>
      </c>
      <c r="O2810" t="s">
        <v>75</v>
      </c>
      <c r="P2810" t="s">
        <v>74</v>
      </c>
    </row>
    <row r="2811" spans="1:16" hidden="1" x14ac:dyDescent="0.25">
      <c r="A2811" t="s">
        <v>1465</v>
      </c>
      <c r="B2811" t="s">
        <v>1274</v>
      </c>
      <c r="C2811" t="s">
        <v>131</v>
      </c>
      <c r="D2811" t="s">
        <v>1278</v>
      </c>
      <c r="E2811" t="s">
        <v>1266</v>
      </c>
      <c r="F2811">
        <v>6</v>
      </c>
      <c r="G2811" s="6">
        <v>41226</v>
      </c>
      <c r="H2811">
        <v>46</v>
      </c>
      <c r="I2811">
        <v>2016</v>
      </c>
      <c r="J2811" t="s">
        <v>75</v>
      </c>
      <c r="K2811" t="s">
        <v>74</v>
      </c>
      <c r="L2811" t="s">
        <v>75</v>
      </c>
      <c r="M2811" t="s">
        <v>74</v>
      </c>
      <c r="N2811" t="s">
        <v>75</v>
      </c>
      <c r="O2811" t="s">
        <v>73</v>
      </c>
      <c r="P2811" t="s">
        <v>75</v>
      </c>
    </row>
    <row r="2812" spans="1:16" hidden="1" x14ac:dyDescent="0.25">
      <c r="A2812" t="s">
        <v>1466</v>
      </c>
      <c r="B2812" t="s">
        <v>1279</v>
      </c>
      <c r="C2812" t="s">
        <v>1280</v>
      </c>
      <c r="D2812" t="s">
        <v>1276</v>
      </c>
      <c r="E2812" t="s">
        <v>1266</v>
      </c>
      <c r="F2812">
        <v>1</v>
      </c>
      <c r="G2812" s="6">
        <v>41226</v>
      </c>
      <c r="H2812">
        <v>46</v>
      </c>
      <c r="I2812">
        <v>2016</v>
      </c>
      <c r="J2812" t="s">
        <v>75</v>
      </c>
      <c r="K2812" t="s">
        <v>74</v>
      </c>
      <c r="L2812" t="s">
        <v>75</v>
      </c>
      <c r="M2812" t="s">
        <v>75</v>
      </c>
      <c r="N2812" t="s">
        <v>73</v>
      </c>
      <c r="O2812" t="s">
        <v>74</v>
      </c>
      <c r="P2812" t="s">
        <v>74</v>
      </c>
    </row>
    <row r="2813" spans="1:16" hidden="1" x14ac:dyDescent="0.25">
      <c r="A2813" t="s">
        <v>1467</v>
      </c>
      <c r="B2813" t="s">
        <v>3</v>
      </c>
      <c r="C2813" t="s">
        <v>4</v>
      </c>
      <c r="D2813" t="s">
        <v>90</v>
      </c>
      <c r="E2813" t="s">
        <v>1265</v>
      </c>
      <c r="F2813">
        <v>8</v>
      </c>
      <c r="G2813" s="6">
        <v>41233</v>
      </c>
      <c r="H2813">
        <v>47</v>
      </c>
      <c r="I2813">
        <v>2016</v>
      </c>
      <c r="J2813" t="s">
        <v>75</v>
      </c>
      <c r="K2813" t="s">
        <v>75</v>
      </c>
      <c r="L2813" t="s">
        <v>75</v>
      </c>
      <c r="M2813" t="s">
        <v>76</v>
      </c>
      <c r="N2813" t="s">
        <v>77</v>
      </c>
      <c r="O2813" t="s">
        <v>73</v>
      </c>
      <c r="P2813" t="s">
        <v>74</v>
      </c>
    </row>
    <row r="2814" spans="1:16" hidden="1" x14ac:dyDescent="0.25">
      <c r="A2814" t="s">
        <v>1468</v>
      </c>
      <c r="B2814" t="s">
        <v>5</v>
      </c>
      <c r="C2814" t="s">
        <v>6</v>
      </c>
      <c r="D2814" t="s">
        <v>93</v>
      </c>
      <c r="E2814" t="s">
        <v>1265</v>
      </c>
      <c r="F2814">
        <v>9</v>
      </c>
      <c r="G2814" s="6">
        <v>41233</v>
      </c>
      <c r="H2814">
        <v>47</v>
      </c>
      <c r="I2814">
        <v>2016</v>
      </c>
      <c r="J2814" t="s">
        <v>75</v>
      </c>
      <c r="K2814" t="s">
        <v>74</v>
      </c>
      <c r="L2814" t="s">
        <v>74</v>
      </c>
      <c r="M2814" t="s">
        <v>133</v>
      </c>
      <c r="N2814" t="s">
        <v>73</v>
      </c>
      <c r="O2814" t="s">
        <v>74</v>
      </c>
      <c r="P2814" t="s">
        <v>74</v>
      </c>
    </row>
    <row r="2815" spans="1:16" hidden="1" x14ac:dyDescent="0.25">
      <c r="A2815" t="s">
        <v>1469</v>
      </c>
      <c r="B2815" t="s">
        <v>7</v>
      </c>
      <c r="C2815" t="s">
        <v>8</v>
      </c>
      <c r="D2815" t="s">
        <v>94</v>
      </c>
      <c r="E2815" t="s">
        <v>1265</v>
      </c>
      <c r="F2815">
        <v>3</v>
      </c>
      <c r="G2815" s="6">
        <v>41233</v>
      </c>
      <c r="H2815">
        <v>47</v>
      </c>
      <c r="I2815">
        <v>2016</v>
      </c>
      <c r="J2815" t="s">
        <v>74</v>
      </c>
      <c r="K2815" t="s">
        <v>75</v>
      </c>
      <c r="L2815" t="s">
        <v>76</v>
      </c>
      <c r="M2815" t="s">
        <v>77</v>
      </c>
      <c r="N2815" t="s">
        <v>73</v>
      </c>
      <c r="O2815" t="s">
        <v>74</v>
      </c>
      <c r="P2815" t="s">
        <v>74</v>
      </c>
    </row>
    <row r="2816" spans="1:16" hidden="1" x14ac:dyDescent="0.25">
      <c r="A2816" t="s">
        <v>1470</v>
      </c>
      <c r="B2816" t="s">
        <v>9</v>
      </c>
      <c r="C2816" t="s">
        <v>10</v>
      </c>
      <c r="D2816" t="s">
        <v>96</v>
      </c>
      <c r="E2816" t="s">
        <v>1265</v>
      </c>
      <c r="F2816">
        <v>4</v>
      </c>
      <c r="G2816" s="6">
        <v>41233</v>
      </c>
      <c r="H2816">
        <v>47</v>
      </c>
      <c r="I2816">
        <v>2016</v>
      </c>
      <c r="J2816" t="s">
        <v>74</v>
      </c>
      <c r="K2816" t="s">
        <v>75</v>
      </c>
      <c r="L2816" t="s">
        <v>74</v>
      </c>
      <c r="M2816" t="s">
        <v>73</v>
      </c>
      <c r="N2816" t="s">
        <v>74</v>
      </c>
      <c r="O2816" t="s">
        <v>74</v>
      </c>
      <c r="P2816" t="s">
        <v>75</v>
      </c>
    </row>
    <row r="2817" spans="1:16" hidden="1" x14ac:dyDescent="0.25">
      <c r="A2817" t="s">
        <v>1471</v>
      </c>
      <c r="B2817" t="s">
        <v>11</v>
      </c>
      <c r="C2817" t="s">
        <v>12</v>
      </c>
      <c r="D2817" t="s">
        <v>97</v>
      </c>
      <c r="E2817" t="s">
        <v>1265</v>
      </c>
      <c r="F2817">
        <v>5</v>
      </c>
      <c r="G2817" s="6">
        <v>41233</v>
      </c>
      <c r="H2817">
        <v>47</v>
      </c>
      <c r="I2817">
        <v>2016</v>
      </c>
      <c r="J2817" t="s">
        <v>76</v>
      </c>
      <c r="K2817" t="s">
        <v>77</v>
      </c>
      <c r="L2817" t="s">
        <v>73</v>
      </c>
      <c r="M2817" t="s">
        <v>74</v>
      </c>
      <c r="N2817" t="s">
        <v>74</v>
      </c>
      <c r="O2817" t="s">
        <v>75</v>
      </c>
      <c r="P2817" t="s">
        <v>76</v>
      </c>
    </row>
    <row r="2818" spans="1:16" hidden="1" x14ac:dyDescent="0.25">
      <c r="A2818" t="s">
        <v>1472</v>
      </c>
      <c r="B2818" t="s">
        <v>13</v>
      </c>
      <c r="C2818" t="s">
        <v>14</v>
      </c>
      <c r="D2818" t="s">
        <v>120</v>
      </c>
      <c r="E2818" t="s">
        <v>1303</v>
      </c>
      <c r="F2818">
        <v>1</v>
      </c>
      <c r="G2818" s="6">
        <v>41233</v>
      </c>
      <c r="H2818">
        <v>47</v>
      </c>
      <c r="I2818">
        <v>2016</v>
      </c>
      <c r="J2818" t="s">
        <v>125</v>
      </c>
      <c r="K2818" t="s">
        <v>125</v>
      </c>
      <c r="L2818" t="s">
        <v>125</v>
      </c>
      <c r="M2818" t="s">
        <v>125</v>
      </c>
      <c r="N2818" t="s">
        <v>125</v>
      </c>
      <c r="O2818" t="s">
        <v>125</v>
      </c>
      <c r="P2818" t="s">
        <v>125</v>
      </c>
    </row>
    <row r="2819" spans="1:16" hidden="1" x14ac:dyDescent="0.25">
      <c r="A2819" t="s">
        <v>1473</v>
      </c>
      <c r="B2819" t="s">
        <v>13</v>
      </c>
      <c r="C2819" t="s">
        <v>15</v>
      </c>
      <c r="D2819" t="s">
        <v>98</v>
      </c>
      <c r="E2819" t="s">
        <v>1266</v>
      </c>
      <c r="F2819">
        <v>6</v>
      </c>
      <c r="G2819" s="6">
        <v>41233</v>
      </c>
      <c r="H2819">
        <v>47</v>
      </c>
      <c r="I2819">
        <v>2016</v>
      </c>
      <c r="J2819" t="s">
        <v>75</v>
      </c>
      <c r="K2819" t="s">
        <v>74</v>
      </c>
      <c r="L2819" t="s">
        <v>74</v>
      </c>
      <c r="M2819" t="s">
        <v>133</v>
      </c>
      <c r="N2819" t="s">
        <v>133</v>
      </c>
      <c r="O2819" t="s">
        <v>73</v>
      </c>
      <c r="P2819" t="s">
        <v>75</v>
      </c>
    </row>
    <row r="2820" spans="1:16" hidden="1" x14ac:dyDescent="0.25">
      <c r="A2820" t="s">
        <v>1474</v>
      </c>
      <c r="B2820" t="s">
        <v>16</v>
      </c>
      <c r="C2820" t="s">
        <v>17</v>
      </c>
      <c r="D2820" t="s">
        <v>99</v>
      </c>
      <c r="E2820" t="s">
        <v>1265</v>
      </c>
      <c r="F2820">
        <v>10</v>
      </c>
      <c r="G2820" s="6">
        <v>41233</v>
      </c>
      <c r="H2820">
        <v>47</v>
      </c>
      <c r="I2820">
        <v>2016</v>
      </c>
      <c r="J2820" t="s">
        <v>75</v>
      </c>
      <c r="K2820" t="s">
        <v>76</v>
      </c>
      <c r="L2820" t="s">
        <v>77</v>
      </c>
      <c r="M2820" t="s">
        <v>73</v>
      </c>
      <c r="N2820" t="s">
        <v>74</v>
      </c>
      <c r="O2820" t="s">
        <v>75</v>
      </c>
      <c r="P2820" t="s">
        <v>75</v>
      </c>
    </row>
    <row r="2821" spans="1:16" hidden="1" x14ac:dyDescent="0.25">
      <c r="A2821" t="s">
        <v>1475</v>
      </c>
      <c r="B2821" t="s">
        <v>18</v>
      </c>
      <c r="C2821" t="s">
        <v>19</v>
      </c>
      <c r="D2821" t="s">
        <v>100</v>
      </c>
      <c r="E2821" t="s">
        <v>1265</v>
      </c>
      <c r="F2821">
        <v>1</v>
      </c>
      <c r="G2821" s="6">
        <v>41233</v>
      </c>
      <c r="H2821">
        <v>47</v>
      </c>
      <c r="I2821">
        <v>2016</v>
      </c>
      <c r="J2821" t="s">
        <v>73</v>
      </c>
      <c r="K2821" t="s">
        <v>74</v>
      </c>
      <c r="L2821" t="s">
        <v>74</v>
      </c>
      <c r="M2821" t="s">
        <v>75</v>
      </c>
      <c r="N2821" t="s">
        <v>76</v>
      </c>
      <c r="O2821" t="s">
        <v>77</v>
      </c>
      <c r="P2821" t="s">
        <v>73</v>
      </c>
    </row>
    <row r="2822" spans="1:16" hidden="1" x14ac:dyDescent="0.25">
      <c r="A2822" t="s">
        <v>1476</v>
      </c>
      <c r="B2822" t="s">
        <v>20</v>
      </c>
      <c r="C2822" t="s">
        <v>21</v>
      </c>
      <c r="D2822" t="s">
        <v>101</v>
      </c>
      <c r="E2822" t="s">
        <v>1265</v>
      </c>
      <c r="F2822">
        <v>11</v>
      </c>
      <c r="G2822" s="6">
        <v>41233</v>
      </c>
      <c r="H2822">
        <v>47</v>
      </c>
      <c r="I2822">
        <v>2016</v>
      </c>
      <c r="J2822" t="s">
        <v>75</v>
      </c>
      <c r="K2822" t="s">
        <v>75</v>
      </c>
      <c r="L2822" t="s">
        <v>73</v>
      </c>
      <c r="M2822" t="s">
        <v>75</v>
      </c>
      <c r="N2822" t="s">
        <v>75</v>
      </c>
      <c r="O2822" t="s">
        <v>76</v>
      </c>
      <c r="P2822" t="s">
        <v>77</v>
      </c>
    </row>
    <row r="2823" spans="1:16" hidden="1" x14ac:dyDescent="0.25">
      <c r="A2823" t="s">
        <v>1477</v>
      </c>
      <c r="B2823" t="s">
        <v>22</v>
      </c>
      <c r="C2823" t="s">
        <v>17</v>
      </c>
      <c r="D2823" t="s">
        <v>102</v>
      </c>
      <c r="E2823" t="s">
        <v>1266</v>
      </c>
      <c r="F2823">
        <v>3</v>
      </c>
      <c r="G2823" s="6">
        <v>41233</v>
      </c>
      <c r="H2823">
        <v>47</v>
      </c>
      <c r="I2823">
        <v>2016</v>
      </c>
      <c r="J2823" t="s">
        <v>74</v>
      </c>
      <c r="K2823" t="s">
        <v>74</v>
      </c>
      <c r="L2823" t="s">
        <v>73</v>
      </c>
      <c r="M2823" t="s">
        <v>133</v>
      </c>
      <c r="N2823" t="s">
        <v>133</v>
      </c>
      <c r="O2823" t="s">
        <v>74</v>
      </c>
      <c r="P2823" t="s">
        <v>75</v>
      </c>
    </row>
    <row r="2824" spans="1:16" hidden="1" x14ac:dyDescent="0.25">
      <c r="A2824" t="s">
        <v>1478</v>
      </c>
      <c r="B2824" t="s">
        <v>23</v>
      </c>
      <c r="C2824" t="s">
        <v>24</v>
      </c>
      <c r="D2824" t="s">
        <v>103</v>
      </c>
      <c r="E2824" t="s">
        <v>1266</v>
      </c>
      <c r="F2824">
        <v>4</v>
      </c>
      <c r="G2824" s="6">
        <v>41233</v>
      </c>
      <c r="H2824">
        <v>47</v>
      </c>
      <c r="I2824">
        <v>2016</v>
      </c>
      <c r="J2824" t="s">
        <v>133</v>
      </c>
      <c r="K2824" t="s">
        <v>73</v>
      </c>
      <c r="L2824" t="s">
        <v>133</v>
      </c>
      <c r="M2824" t="s">
        <v>75</v>
      </c>
      <c r="N2824" t="s">
        <v>74</v>
      </c>
      <c r="O2824" t="s">
        <v>75</v>
      </c>
      <c r="P2824" t="s">
        <v>75</v>
      </c>
    </row>
    <row r="2825" spans="1:16" hidden="1" x14ac:dyDescent="0.25">
      <c r="A2825" t="s">
        <v>1479</v>
      </c>
      <c r="B2825" t="s">
        <v>23</v>
      </c>
      <c r="C2825" t="s">
        <v>55</v>
      </c>
      <c r="D2825" t="s">
        <v>126</v>
      </c>
      <c r="E2825" t="s">
        <v>1265</v>
      </c>
      <c r="F2825">
        <v>10</v>
      </c>
      <c r="G2825" s="6">
        <v>41233</v>
      </c>
      <c r="H2825">
        <v>47</v>
      </c>
      <c r="I2825">
        <v>2016</v>
      </c>
      <c r="J2825" t="s">
        <v>75</v>
      </c>
      <c r="K2825" t="s">
        <v>76</v>
      </c>
      <c r="L2825" t="s">
        <v>77</v>
      </c>
      <c r="M2825" t="s">
        <v>73</v>
      </c>
      <c r="N2825" t="s">
        <v>133</v>
      </c>
      <c r="O2825" t="s">
        <v>75</v>
      </c>
      <c r="P2825" t="s">
        <v>75</v>
      </c>
    </row>
    <row r="2826" spans="1:16" hidden="1" x14ac:dyDescent="0.25">
      <c r="A2826" t="s">
        <v>1480</v>
      </c>
      <c r="B2826" t="s">
        <v>25</v>
      </c>
      <c r="C2826" t="s">
        <v>131</v>
      </c>
      <c r="D2826" t="s">
        <v>104</v>
      </c>
      <c r="E2826" t="s">
        <v>1265</v>
      </c>
      <c r="F2826">
        <v>2</v>
      </c>
      <c r="G2826" s="6">
        <v>41233</v>
      </c>
      <c r="H2826">
        <v>47</v>
      </c>
      <c r="I2826">
        <v>2016</v>
      </c>
      <c r="J2826" t="s">
        <v>74</v>
      </c>
      <c r="K2826" t="s">
        <v>75</v>
      </c>
      <c r="L2826" t="s">
        <v>74</v>
      </c>
      <c r="M2826" t="s">
        <v>75</v>
      </c>
      <c r="N2826" t="s">
        <v>75</v>
      </c>
      <c r="O2826" t="s">
        <v>73</v>
      </c>
      <c r="P2826" t="s">
        <v>75</v>
      </c>
    </row>
    <row r="2827" spans="1:16" hidden="1" x14ac:dyDescent="0.25">
      <c r="A2827" t="s">
        <v>1481</v>
      </c>
      <c r="B2827" t="s">
        <v>56</v>
      </c>
      <c r="C2827" t="s">
        <v>57</v>
      </c>
      <c r="D2827" t="s">
        <v>128</v>
      </c>
      <c r="E2827" t="s">
        <v>1265</v>
      </c>
      <c r="F2827">
        <v>5</v>
      </c>
      <c r="G2827" s="6">
        <v>41233</v>
      </c>
      <c r="H2827">
        <v>47</v>
      </c>
      <c r="I2827">
        <v>2016</v>
      </c>
      <c r="J2827" t="s">
        <v>76</v>
      </c>
      <c r="K2827" t="s">
        <v>77</v>
      </c>
      <c r="L2827" t="s">
        <v>73</v>
      </c>
      <c r="M2827" t="s">
        <v>74</v>
      </c>
      <c r="N2827" t="s">
        <v>75</v>
      </c>
      <c r="O2827" t="s">
        <v>75</v>
      </c>
      <c r="P2827" t="s">
        <v>76</v>
      </c>
    </row>
    <row r="2828" spans="1:16" hidden="1" x14ac:dyDescent="0.25">
      <c r="A2828" t="s">
        <v>1482</v>
      </c>
      <c r="B2828" t="s">
        <v>26</v>
      </c>
      <c r="C2828" t="s">
        <v>27</v>
      </c>
      <c r="D2828" t="s">
        <v>105</v>
      </c>
      <c r="E2828" t="s">
        <v>1265</v>
      </c>
      <c r="F2828">
        <v>6</v>
      </c>
      <c r="G2828" s="6">
        <v>41233</v>
      </c>
      <c r="H2828">
        <v>47</v>
      </c>
      <c r="I2828">
        <v>2016</v>
      </c>
      <c r="J2828" t="s">
        <v>77</v>
      </c>
      <c r="K2828" t="s">
        <v>73</v>
      </c>
      <c r="L2828" t="s">
        <v>74</v>
      </c>
      <c r="M2828" t="s">
        <v>75</v>
      </c>
      <c r="N2828" t="s">
        <v>75</v>
      </c>
      <c r="O2828" t="s">
        <v>75</v>
      </c>
      <c r="P2828" t="s">
        <v>133</v>
      </c>
    </row>
    <row r="2829" spans="1:16" hidden="1" x14ac:dyDescent="0.25">
      <c r="A2829" t="s">
        <v>1483</v>
      </c>
      <c r="B2829" t="s">
        <v>28</v>
      </c>
      <c r="C2829" t="s">
        <v>29</v>
      </c>
      <c r="D2829" t="s">
        <v>106</v>
      </c>
      <c r="E2829" t="s">
        <v>1265</v>
      </c>
      <c r="F2829">
        <v>1</v>
      </c>
      <c r="G2829" s="6">
        <v>41233</v>
      </c>
      <c r="H2829">
        <v>47</v>
      </c>
      <c r="I2829">
        <v>2016</v>
      </c>
      <c r="J2829" t="s">
        <v>73</v>
      </c>
      <c r="K2829" t="s">
        <v>74</v>
      </c>
      <c r="L2829" t="s">
        <v>75</v>
      </c>
      <c r="M2829" t="s">
        <v>75</v>
      </c>
      <c r="N2829" t="s">
        <v>76</v>
      </c>
      <c r="O2829" t="s">
        <v>77</v>
      </c>
      <c r="P2829" t="s">
        <v>73</v>
      </c>
    </row>
    <row r="2830" spans="1:16" hidden="1" x14ac:dyDescent="0.25">
      <c r="A2830" t="s">
        <v>1484</v>
      </c>
      <c r="B2830" t="s">
        <v>30</v>
      </c>
      <c r="C2830" t="s">
        <v>8</v>
      </c>
      <c r="D2830" t="s">
        <v>107</v>
      </c>
      <c r="E2830" t="s">
        <v>1266</v>
      </c>
      <c r="F2830">
        <v>6</v>
      </c>
      <c r="G2830" s="6">
        <v>41233</v>
      </c>
      <c r="H2830">
        <v>47</v>
      </c>
      <c r="I2830">
        <v>2016</v>
      </c>
      <c r="J2830" t="s">
        <v>75</v>
      </c>
      <c r="K2830" t="s">
        <v>75</v>
      </c>
      <c r="L2830" t="s">
        <v>75</v>
      </c>
      <c r="M2830" t="s">
        <v>74</v>
      </c>
      <c r="N2830" t="s">
        <v>75</v>
      </c>
      <c r="O2830" t="s">
        <v>73</v>
      </c>
      <c r="P2830" t="s">
        <v>75</v>
      </c>
    </row>
    <row r="2831" spans="1:16" hidden="1" x14ac:dyDescent="0.25">
      <c r="A2831" t="s">
        <v>1485</v>
      </c>
      <c r="B2831" t="s">
        <v>30</v>
      </c>
      <c r="C2831" t="s">
        <v>31</v>
      </c>
      <c r="D2831" t="s">
        <v>108</v>
      </c>
      <c r="E2831" t="s">
        <v>1265</v>
      </c>
      <c r="F2831">
        <v>9</v>
      </c>
      <c r="G2831" s="6">
        <v>41233</v>
      </c>
      <c r="H2831">
        <v>47</v>
      </c>
      <c r="I2831">
        <v>2016</v>
      </c>
      <c r="J2831" t="s">
        <v>75</v>
      </c>
      <c r="K2831" t="s">
        <v>75</v>
      </c>
      <c r="L2831" t="s">
        <v>74</v>
      </c>
      <c r="M2831" t="s">
        <v>75</v>
      </c>
      <c r="N2831" t="s">
        <v>73</v>
      </c>
      <c r="O2831" t="s">
        <v>74</v>
      </c>
      <c r="P2831" t="s">
        <v>74</v>
      </c>
    </row>
    <row r="2832" spans="1:16" hidden="1" x14ac:dyDescent="0.25">
      <c r="A2832" t="s">
        <v>1486</v>
      </c>
      <c r="B2832" t="s">
        <v>32</v>
      </c>
      <c r="C2832" t="s">
        <v>33</v>
      </c>
      <c r="D2832" t="s">
        <v>109</v>
      </c>
      <c r="E2832" t="s">
        <v>1266</v>
      </c>
      <c r="F2832">
        <v>2</v>
      </c>
      <c r="G2832" s="6">
        <v>41233</v>
      </c>
      <c r="H2832">
        <v>47</v>
      </c>
      <c r="I2832">
        <v>2016</v>
      </c>
      <c r="J2832" t="s">
        <v>74</v>
      </c>
      <c r="K2832" t="s">
        <v>75</v>
      </c>
      <c r="L2832" t="s">
        <v>133</v>
      </c>
      <c r="M2832" t="s">
        <v>73</v>
      </c>
      <c r="N2832" t="s">
        <v>133</v>
      </c>
      <c r="O2832" t="s">
        <v>75</v>
      </c>
      <c r="P2832" t="s">
        <v>74</v>
      </c>
    </row>
    <row r="2833" spans="1:16" hidden="1" x14ac:dyDescent="0.25">
      <c r="A2833" t="s">
        <v>1487</v>
      </c>
      <c r="B2833" t="s">
        <v>32</v>
      </c>
      <c r="C2833" t="s">
        <v>34</v>
      </c>
      <c r="D2833" t="s">
        <v>122</v>
      </c>
      <c r="E2833" t="s">
        <v>1303</v>
      </c>
      <c r="F2833">
        <v>1</v>
      </c>
      <c r="G2833" s="6">
        <v>41233</v>
      </c>
      <c r="H2833">
        <v>47</v>
      </c>
      <c r="I2833">
        <v>2016</v>
      </c>
      <c r="J2833" t="s">
        <v>125</v>
      </c>
      <c r="K2833" t="s">
        <v>125</v>
      </c>
      <c r="L2833" t="s">
        <v>125</v>
      </c>
      <c r="M2833" t="s">
        <v>125</v>
      </c>
      <c r="N2833" t="s">
        <v>125</v>
      </c>
      <c r="O2833" t="s">
        <v>125</v>
      </c>
      <c r="P2833" t="s">
        <v>125</v>
      </c>
    </row>
    <row r="2834" spans="1:16" hidden="1" x14ac:dyDescent="0.25">
      <c r="A2834" t="s">
        <v>1488</v>
      </c>
      <c r="B2834" t="s">
        <v>35</v>
      </c>
      <c r="C2834" t="s">
        <v>36</v>
      </c>
      <c r="D2834" t="s">
        <v>110</v>
      </c>
      <c r="E2834" t="s">
        <v>1265</v>
      </c>
      <c r="F2834">
        <v>3</v>
      </c>
      <c r="G2834" s="6">
        <v>41233</v>
      </c>
      <c r="H2834">
        <v>47</v>
      </c>
      <c r="I2834">
        <v>2016</v>
      </c>
      <c r="J2834" t="s">
        <v>74</v>
      </c>
      <c r="K2834" t="s">
        <v>75</v>
      </c>
      <c r="L2834" t="s">
        <v>76</v>
      </c>
      <c r="M2834" t="s">
        <v>77</v>
      </c>
      <c r="N2834" t="s">
        <v>73</v>
      </c>
      <c r="O2834" t="s">
        <v>74</v>
      </c>
      <c r="P2834" t="s">
        <v>75</v>
      </c>
    </row>
    <row r="2835" spans="1:16" hidden="1" x14ac:dyDescent="0.25">
      <c r="A2835" t="s">
        <v>1489</v>
      </c>
      <c r="B2835" t="s">
        <v>58</v>
      </c>
      <c r="C2835" t="s">
        <v>59</v>
      </c>
      <c r="D2835" t="s">
        <v>129</v>
      </c>
      <c r="E2835" t="s">
        <v>1266</v>
      </c>
      <c r="F2835">
        <v>6</v>
      </c>
      <c r="G2835" s="6">
        <v>41233</v>
      </c>
      <c r="H2835">
        <v>47</v>
      </c>
      <c r="I2835">
        <v>2016</v>
      </c>
      <c r="J2835" t="s">
        <v>75</v>
      </c>
      <c r="K2835" t="s">
        <v>74</v>
      </c>
      <c r="L2835" t="s">
        <v>75</v>
      </c>
      <c r="M2835" t="s">
        <v>74</v>
      </c>
      <c r="N2835" t="s">
        <v>75</v>
      </c>
      <c r="O2835" t="s">
        <v>73</v>
      </c>
      <c r="P2835" t="s">
        <v>133</v>
      </c>
    </row>
    <row r="2836" spans="1:16" hidden="1" x14ac:dyDescent="0.25">
      <c r="A2836" t="s">
        <v>1490</v>
      </c>
      <c r="B2836" t="s">
        <v>37</v>
      </c>
      <c r="C2836" t="s">
        <v>38</v>
      </c>
      <c r="D2836" t="s">
        <v>111</v>
      </c>
      <c r="E2836" t="s">
        <v>1265</v>
      </c>
      <c r="F2836">
        <v>4</v>
      </c>
      <c r="G2836" s="6">
        <v>41233</v>
      </c>
      <c r="H2836">
        <v>47</v>
      </c>
      <c r="I2836">
        <v>2016</v>
      </c>
      <c r="J2836" t="s">
        <v>92</v>
      </c>
      <c r="K2836" t="s">
        <v>92</v>
      </c>
      <c r="L2836" t="s">
        <v>92</v>
      </c>
      <c r="M2836" t="s">
        <v>73</v>
      </c>
      <c r="N2836" t="s">
        <v>74</v>
      </c>
      <c r="O2836" t="s">
        <v>74</v>
      </c>
      <c r="P2836" t="s">
        <v>75</v>
      </c>
    </row>
    <row r="2837" spans="1:16" hidden="1" x14ac:dyDescent="0.25">
      <c r="A2837" t="s">
        <v>1491</v>
      </c>
      <c r="B2837" t="s">
        <v>39</v>
      </c>
      <c r="C2837" t="s">
        <v>40</v>
      </c>
      <c r="D2837" t="s">
        <v>112</v>
      </c>
      <c r="E2837" t="s">
        <v>1266</v>
      </c>
      <c r="F2837">
        <v>5</v>
      </c>
      <c r="G2837" s="6">
        <v>41233</v>
      </c>
      <c r="H2837">
        <v>47</v>
      </c>
      <c r="I2837">
        <v>2016</v>
      </c>
      <c r="J2837" t="s">
        <v>73</v>
      </c>
      <c r="K2837" t="s">
        <v>133</v>
      </c>
      <c r="L2837" t="s">
        <v>75</v>
      </c>
      <c r="M2837" t="s">
        <v>74</v>
      </c>
      <c r="N2837" t="s">
        <v>75</v>
      </c>
      <c r="O2837" t="s">
        <v>75</v>
      </c>
      <c r="P2837" t="s">
        <v>73</v>
      </c>
    </row>
    <row r="2838" spans="1:16" hidden="1" x14ac:dyDescent="0.25">
      <c r="A2838" t="s">
        <v>1492</v>
      </c>
      <c r="B2838" t="s">
        <v>41</v>
      </c>
      <c r="C2838" t="s">
        <v>42</v>
      </c>
      <c r="D2838" t="s">
        <v>113</v>
      </c>
      <c r="E2838" t="s">
        <v>1265</v>
      </c>
      <c r="F2838">
        <v>8</v>
      </c>
      <c r="G2838" s="6">
        <v>41233</v>
      </c>
      <c r="H2838">
        <v>47</v>
      </c>
      <c r="I2838">
        <v>2016</v>
      </c>
      <c r="J2838" t="s">
        <v>75</v>
      </c>
      <c r="K2838" t="s">
        <v>75</v>
      </c>
      <c r="L2838" t="s">
        <v>75</v>
      </c>
      <c r="M2838" t="s">
        <v>76</v>
      </c>
      <c r="N2838" t="s">
        <v>77</v>
      </c>
      <c r="O2838" t="s">
        <v>73</v>
      </c>
      <c r="P2838" t="s">
        <v>74</v>
      </c>
    </row>
    <row r="2839" spans="1:16" hidden="1" x14ac:dyDescent="0.25">
      <c r="A2839" t="s">
        <v>1493</v>
      </c>
      <c r="B2839" t="s">
        <v>43</v>
      </c>
      <c r="C2839" t="s">
        <v>44</v>
      </c>
      <c r="D2839" t="s">
        <v>114</v>
      </c>
      <c r="E2839" t="s">
        <v>1265</v>
      </c>
      <c r="F2839">
        <v>11</v>
      </c>
      <c r="G2839" s="6">
        <v>41233</v>
      </c>
      <c r="H2839">
        <v>47</v>
      </c>
      <c r="I2839">
        <v>2016</v>
      </c>
      <c r="J2839" t="s">
        <v>75</v>
      </c>
      <c r="K2839" t="s">
        <v>133</v>
      </c>
      <c r="L2839" t="s">
        <v>73</v>
      </c>
      <c r="M2839" t="s">
        <v>75</v>
      </c>
      <c r="N2839" t="s">
        <v>75</v>
      </c>
      <c r="O2839" t="s">
        <v>76</v>
      </c>
      <c r="P2839" t="s">
        <v>77</v>
      </c>
    </row>
    <row r="2840" spans="1:16" hidden="1" x14ac:dyDescent="0.25">
      <c r="A2840" t="s">
        <v>1494</v>
      </c>
      <c r="B2840" t="s">
        <v>45</v>
      </c>
      <c r="C2840" t="s">
        <v>46</v>
      </c>
      <c r="D2840" t="s">
        <v>115</v>
      </c>
      <c r="E2840" t="s">
        <v>1265</v>
      </c>
      <c r="F2840">
        <v>7</v>
      </c>
      <c r="G2840" s="6">
        <v>41233</v>
      </c>
      <c r="H2840">
        <v>47</v>
      </c>
      <c r="I2840">
        <v>2016</v>
      </c>
      <c r="J2840" t="s">
        <v>73</v>
      </c>
      <c r="K2840" t="s">
        <v>74</v>
      </c>
      <c r="L2840" t="s">
        <v>75</v>
      </c>
      <c r="M2840" t="s">
        <v>74</v>
      </c>
      <c r="N2840" t="s">
        <v>74</v>
      </c>
      <c r="O2840" t="s">
        <v>75</v>
      </c>
      <c r="P2840" t="s">
        <v>73</v>
      </c>
    </row>
    <row r="2841" spans="1:16" hidden="1" x14ac:dyDescent="0.25">
      <c r="A2841" t="s">
        <v>1495</v>
      </c>
      <c r="B2841" t="s">
        <v>47</v>
      </c>
      <c r="C2841" t="s">
        <v>48</v>
      </c>
      <c r="D2841" t="s">
        <v>116</v>
      </c>
      <c r="E2841" t="s">
        <v>1265</v>
      </c>
      <c r="F2841">
        <v>7</v>
      </c>
      <c r="G2841" s="6">
        <v>41233</v>
      </c>
      <c r="H2841">
        <v>47</v>
      </c>
      <c r="I2841">
        <v>2016</v>
      </c>
      <c r="J2841" t="s">
        <v>73</v>
      </c>
      <c r="K2841" t="s">
        <v>133</v>
      </c>
      <c r="L2841" t="s">
        <v>75</v>
      </c>
      <c r="M2841" t="s">
        <v>74</v>
      </c>
      <c r="N2841" t="s">
        <v>74</v>
      </c>
      <c r="O2841" t="s">
        <v>75</v>
      </c>
      <c r="P2841" t="s">
        <v>73</v>
      </c>
    </row>
    <row r="2842" spans="1:16" hidden="1" x14ac:dyDescent="0.25">
      <c r="A2842" t="s">
        <v>1496</v>
      </c>
      <c r="B2842" t="s">
        <v>49</v>
      </c>
      <c r="C2842" t="s">
        <v>50</v>
      </c>
      <c r="D2842" t="s">
        <v>117</v>
      </c>
      <c r="E2842" t="s">
        <v>1265</v>
      </c>
      <c r="F2842">
        <v>6</v>
      </c>
      <c r="G2842" s="6">
        <v>41233</v>
      </c>
      <c r="H2842">
        <v>47</v>
      </c>
      <c r="I2842">
        <v>2016</v>
      </c>
      <c r="J2842" t="s">
        <v>77</v>
      </c>
      <c r="K2842" t="s">
        <v>73</v>
      </c>
      <c r="L2842" t="s">
        <v>74</v>
      </c>
      <c r="M2842" t="s">
        <v>74</v>
      </c>
      <c r="N2842" t="s">
        <v>75</v>
      </c>
      <c r="O2842" t="s">
        <v>75</v>
      </c>
      <c r="P2842" t="s">
        <v>74</v>
      </c>
    </row>
    <row r="2843" spans="1:16" hidden="1" x14ac:dyDescent="0.25">
      <c r="A2843" t="s">
        <v>1497</v>
      </c>
      <c r="B2843" t="s">
        <v>51</v>
      </c>
      <c r="C2843" t="s">
        <v>52</v>
      </c>
      <c r="D2843" t="s">
        <v>118</v>
      </c>
      <c r="E2843" t="s">
        <v>1265</v>
      </c>
      <c r="F2843">
        <v>2</v>
      </c>
      <c r="G2843" s="6">
        <v>41233</v>
      </c>
      <c r="H2843">
        <v>47</v>
      </c>
      <c r="I2843">
        <v>2016</v>
      </c>
      <c r="J2843" t="s">
        <v>74</v>
      </c>
      <c r="K2843" t="s">
        <v>75</v>
      </c>
      <c r="L2843" t="s">
        <v>75</v>
      </c>
      <c r="M2843" t="s">
        <v>75</v>
      </c>
      <c r="N2843" t="s">
        <v>75</v>
      </c>
      <c r="O2843" t="s">
        <v>73</v>
      </c>
      <c r="P2843" t="s">
        <v>75</v>
      </c>
    </row>
    <row r="2844" spans="1:16" hidden="1" x14ac:dyDescent="0.25">
      <c r="A2844" t="s">
        <v>1498</v>
      </c>
      <c r="B2844" t="s">
        <v>53</v>
      </c>
      <c r="C2844" t="s">
        <v>54</v>
      </c>
      <c r="D2844" t="s">
        <v>119</v>
      </c>
      <c r="E2844" t="s">
        <v>1266</v>
      </c>
      <c r="F2844">
        <v>4</v>
      </c>
      <c r="G2844" s="6">
        <v>41233</v>
      </c>
      <c r="H2844">
        <v>47</v>
      </c>
      <c r="I2844">
        <v>2016</v>
      </c>
      <c r="J2844" t="s">
        <v>75</v>
      </c>
      <c r="K2844" t="s">
        <v>73</v>
      </c>
      <c r="L2844" t="s">
        <v>75</v>
      </c>
      <c r="M2844" t="s">
        <v>75</v>
      </c>
      <c r="N2844" t="s">
        <v>74</v>
      </c>
      <c r="O2844" t="s">
        <v>75</v>
      </c>
      <c r="P2844" t="s">
        <v>133</v>
      </c>
    </row>
    <row r="2845" spans="1:16" hidden="1" x14ac:dyDescent="0.25">
      <c r="A2845" t="s">
        <v>1499</v>
      </c>
      <c r="B2845" t="s">
        <v>1272</v>
      </c>
      <c r="C2845" t="s">
        <v>131</v>
      </c>
      <c r="D2845" t="s">
        <v>1275</v>
      </c>
      <c r="E2845" t="s">
        <v>1266</v>
      </c>
      <c r="F2845">
        <v>6</v>
      </c>
      <c r="G2845" s="6">
        <v>41233</v>
      </c>
      <c r="H2845">
        <v>47</v>
      </c>
      <c r="I2845">
        <v>2016</v>
      </c>
      <c r="J2845" t="s">
        <v>75</v>
      </c>
      <c r="K2845" t="s">
        <v>74</v>
      </c>
      <c r="L2845" t="s">
        <v>75</v>
      </c>
      <c r="M2845" t="s">
        <v>74</v>
      </c>
      <c r="N2845" t="s">
        <v>75</v>
      </c>
      <c r="O2845" t="s">
        <v>73</v>
      </c>
      <c r="P2845" t="s">
        <v>75</v>
      </c>
    </row>
    <row r="2846" spans="1:16" hidden="1" x14ac:dyDescent="0.25">
      <c r="A2846" t="s">
        <v>1500</v>
      </c>
      <c r="B2846" t="s">
        <v>1273</v>
      </c>
      <c r="C2846" t="s">
        <v>131</v>
      </c>
      <c r="D2846" t="s">
        <v>1277</v>
      </c>
      <c r="E2846" t="s">
        <v>1266</v>
      </c>
      <c r="F2846">
        <v>3</v>
      </c>
      <c r="G2846" s="6">
        <v>41233</v>
      </c>
      <c r="H2846">
        <v>47</v>
      </c>
      <c r="I2846">
        <v>2016</v>
      </c>
      <c r="J2846" t="s">
        <v>74</v>
      </c>
      <c r="K2846" t="s">
        <v>133</v>
      </c>
      <c r="L2846" t="s">
        <v>73</v>
      </c>
      <c r="M2846" t="s">
        <v>75</v>
      </c>
      <c r="N2846" t="s">
        <v>75</v>
      </c>
      <c r="O2846" t="s">
        <v>74</v>
      </c>
      <c r="P2846" t="s">
        <v>75</v>
      </c>
    </row>
    <row r="2847" spans="1:16" hidden="1" x14ac:dyDescent="0.25">
      <c r="A2847" t="s">
        <v>1501</v>
      </c>
      <c r="B2847" t="s">
        <v>1274</v>
      </c>
      <c r="C2847" t="s">
        <v>131</v>
      </c>
      <c r="D2847" t="s">
        <v>1278</v>
      </c>
      <c r="E2847" t="s">
        <v>1266</v>
      </c>
      <c r="F2847">
        <v>1</v>
      </c>
      <c r="G2847" s="6">
        <v>41233</v>
      </c>
      <c r="H2847">
        <v>47</v>
      </c>
      <c r="I2847">
        <v>2016</v>
      </c>
      <c r="J2847" t="s">
        <v>75</v>
      </c>
      <c r="K2847" t="s">
        <v>74</v>
      </c>
      <c r="L2847" t="s">
        <v>75</v>
      </c>
      <c r="M2847" t="s">
        <v>75</v>
      </c>
      <c r="N2847" t="s">
        <v>73</v>
      </c>
      <c r="O2847" t="s">
        <v>74</v>
      </c>
      <c r="P2847" t="s">
        <v>74</v>
      </c>
    </row>
    <row r="2848" spans="1:16" hidden="1" x14ac:dyDescent="0.25">
      <c r="A2848" t="s">
        <v>1502</v>
      </c>
      <c r="B2848" t="s">
        <v>1279</v>
      </c>
      <c r="C2848" t="s">
        <v>1280</v>
      </c>
      <c r="D2848" t="s">
        <v>1276</v>
      </c>
      <c r="E2848" t="s">
        <v>1266</v>
      </c>
      <c r="F2848">
        <v>2</v>
      </c>
      <c r="G2848" s="6">
        <v>41233</v>
      </c>
      <c r="H2848">
        <v>47</v>
      </c>
      <c r="I2848">
        <v>2016</v>
      </c>
      <c r="J2848" t="s">
        <v>74</v>
      </c>
      <c r="K2848" t="s">
        <v>75</v>
      </c>
      <c r="L2848" t="s">
        <v>74</v>
      </c>
      <c r="M2848" t="s">
        <v>73</v>
      </c>
      <c r="N2848" t="s">
        <v>74</v>
      </c>
      <c r="O2848" t="s">
        <v>75</v>
      </c>
      <c r="P2848" t="s">
        <v>74</v>
      </c>
    </row>
    <row r="2849" spans="1:16" hidden="1" x14ac:dyDescent="0.25">
      <c r="A2849" t="s">
        <v>1503</v>
      </c>
      <c r="B2849" t="s">
        <v>3</v>
      </c>
      <c r="C2849" t="s">
        <v>4</v>
      </c>
      <c r="D2849" t="s">
        <v>90</v>
      </c>
      <c r="E2849" t="s">
        <v>1265</v>
      </c>
      <c r="F2849">
        <v>9</v>
      </c>
      <c r="G2849" s="6">
        <v>41240</v>
      </c>
      <c r="H2849">
        <v>48</v>
      </c>
      <c r="I2849">
        <v>2016</v>
      </c>
      <c r="J2849" t="s">
        <v>75</v>
      </c>
      <c r="K2849" t="s">
        <v>74</v>
      </c>
      <c r="L2849" t="s">
        <v>74</v>
      </c>
      <c r="M2849" t="s">
        <v>75</v>
      </c>
      <c r="N2849" t="s">
        <v>73</v>
      </c>
      <c r="O2849" t="s">
        <v>74</v>
      </c>
      <c r="P2849" t="s">
        <v>75</v>
      </c>
    </row>
    <row r="2850" spans="1:16" hidden="1" x14ac:dyDescent="0.25">
      <c r="A2850" t="s">
        <v>1504</v>
      </c>
      <c r="B2850" t="s">
        <v>5</v>
      </c>
      <c r="C2850" t="s">
        <v>6</v>
      </c>
      <c r="D2850" t="s">
        <v>93</v>
      </c>
      <c r="E2850" t="s">
        <v>1265</v>
      </c>
      <c r="F2850">
        <v>10</v>
      </c>
      <c r="G2850" s="6">
        <v>41240</v>
      </c>
      <c r="H2850">
        <v>48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75</v>
      </c>
    </row>
    <row r="2851" spans="1:16" hidden="1" x14ac:dyDescent="0.25">
      <c r="A2851" t="s">
        <v>1505</v>
      </c>
      <c r="B2851" t="s">
        <v>7</v>
      </c>
      <c r="C2851" t="s">
        <v>8</v>
      </c>
      <c r="D2851" t="s">
        <v>94</v>
      </c>
      <c r="E2851" t="s">
        <v>1265</v>
      </c>
      <c r="F2851">
        <v>4</v>
      </c>
      <c r="G2851" s="6">
        <v>41240</v>
      </c>
      <c r="H2851">
        <v>48</v>
      </c>
      <c r="I2851">
        <v>2016</v>
      </c>
      <c r="J2851" t="s">
        <v>74</v>
      </c>
      <c r="K2851" t="s">
        <v>75</v>
      </c>
      <c r="L2851" t="s">
        <v>74</v>
      </c>
      <c r="M2851" t="s">
        <v>73</v>
      </c>
      <c r="N2851" t="s">
        <v>133</v>
      </c>
      <c r="O2851" t="s">
        <v>74</v>
      </c>
      <c r="P2851" t="s">
        <v>75</v>
      </c>
    </row>
    <row r="2852" spans="1:16" hidden="1" x14ac:dyDescent="0.25">
      <c r="A2852" t="s">
        <v>1506</v>
      </c>
      <c r="B2852" t="s">
        <v>9</v>
      </c>
      <c r="C2852" t="s">
        <v>10</v>
      </c>
      <c r="D2852" t="s">
        <v>96</v>
      </c>
      <c r="E2852" t="s">
        <v>1265</v>
      </c>
      <c r="F2852">
        <v>5</v>
      </c>
      <c r="G2852" s="6">
        <v>41240</v>
      </c>
      <c r="H2852">
        <v>48</v>
      </c>
      <c r="I2852">
        <v>2016</v>
      </c>
      <c r="J2852" t="s">
        <v>76</v>
      </c>
      <c r="K2852" t="s">
        <v>77</v>
      </c>
      <c r="L2852" t="s">
        <v>73</v>
      </c>
      <c r="M2852" t="s">
        <v>133</v>
      </c>
      <c r="N2852" t="s">
        <v>74</v>
      </c>
      <c r="O2852" t="s">
        <v>75</v>
      </c>
      <c r="P2852" t="s">
        <v>76</v>
      </c>
    </row>
    <row r="2853" spans="1:16" hidden="1" x14ac:dyDescent="0.25">
      <c r="A2853" t="s">
        <v>1507</v>
      </c>
      <c r="B2853" t="s">
        <v>11</v>
      </c>
      <c r="C2853" t="s">
        <v>12</v>
      </c>
      <c r="D2853" t="s">
        <v>97</v>
      </c>
      <c r="E2853" t="s">
        <v>1265</v>
      </c>
      <c r="F2853">
        <v>6</v>
      </c>
      <c r="G2853" s="6">
        <v>41240</v>
      </c>
      <c r="H2853">
        <v>48</v>
      </c>
      <c r="I2853">
        <v>2016</v>
      </c>
      <c r="J2853" t="s">
        <v>77</v>
      </c>
      <c r="K2853" t="s">
        <v>73</v>
      </c>
      <c r="L2853" t="s">
        <v>74</v>
      </c>
      <c r="M2853" t="s">
        <v>74</v>
      </c>
      <c r="N2853" t="s">
        <v>74</v>
      </c>
      <c r="O2853" t="s">
        <v>75</v>
      </c>
      <c r="P2853" t="s">
        <v>74</v>
      </c>
    </row>
    <row r="2854" spans="1:16" hidden="1" x14ac:dyDescent="0.25">
      <c r="A2854" t="s">
        <v>1508</v>
      </c>
      <c r="B2854" t="s">
        <v>13</v>
      </c>
      <c r="C2854" t="s">
        <v>14</v>
      </c>
      <c r="D2854" t="s">
        <v>120</v>
      </c>
      <c r="E2854" t="s">
        <v>1303</v>
      </c>
      <c r="F2854">
        <v>1</v>
      </c>
      <c r="G2854" s="6">
        <v>41240</v>
      </c>
      <c r="H2854">
        <v>48</v>
      </c>
      <c r="I2854">
        <v>2016</v>
      </c>
      <c r="J2854" t="s">
        <v>125</v>
      </c>
      <c r="K2854" t="s">
        <v>125</v>
      </c>
      <c r="L2854" t="s">
        <v>125</v>
      </c>
      <c r="M2854" t="s">
        <v>125</v>
      </c>
      <c r="N2854" t="s">
        <v>125</v>
      </c>
      <c r="O2854" t="s">
        <v>125</v>
      </c>
      <c r="P2854" t="s">
        <v>125</v>
      </c>
    </row>
    <row r="2855" spans="1:16" hidden="1" x14ac:dyDescent="0.25">
      <c r="A2855" t="s">
        <v>1509</v>
      </c>
      <c r="B2855" t="s">
        <v>13</v>
      </c>
      <c r="C2855" t="s">
        <v>15</v>
      </c>
      <c r="D2855" t="s">
        <v>98</v>
      </c>
      <c r="E2855" t="s">
        <v>1266</v>
      </c>
      <c r="F2855">
        <v>1</v>
      </c>
      <c r="G2855" s="6">
        <v>41240</v>
      </c>
      <c r="H2855">
        <v>48</v>
      </c>
      <c r="I2855">
        <v>2016</v>
      </c>
      <c r="J2855" t="s">
        <v>75</v>
      </c>
      <c r="K2855" t="s">
        <v>74</v>
      </c>
      <c r="L2855" t="s">
        <v>75</v>
      </c>
      <c r="M2855" t="s">
        <v>133</v>
      </c>
      <c r="N2855" t="s">
        <v>73</v>
      </c>
      <c r="O2855" t="s">
        <v>74</v>
      </c>
      <c r="P2855" t="s">
        <v>74</v>
      </c>
    </row>
    <row r="2856" spans="1:16" hidden="1" x14ac:dyDescent="0.25">
      <c r="A2856" t="s">
        <v>1510</v>
      </c>
      <c r="B2856" t="s">
        <v>16</v>
      </c>
      <c r="C2856" t="s">
        <v>17</v>
      </c>
      <c r="D2856" t="s">
        <v>99</v>
      </c>
      <c r="E2856" t="s">
        <v>1265</v>
      </c>
      <c r="F2856">
        <v>11</v>
      </c>
      <c r="G2856" s="6">
        <v>41240</v>
      </c>
      <c r="H2856">
        <v>48</v>
      </c>
      <c r="I2856">
        <v>2016</v>
      </c>
      <c r="J2856" t="s">
        <v>75</v>
      </c>
      <c r="K2856" t="s">
        <v>75</v>
      </c>
      <c r="L2856" t="s">
        <v>73</v>
      </c>
      <c r="M2856" t="s">
        <v>75</v>
      </c>
      <c r="N2856" t="s">
        <v>75</v>
      </c>
      <c r="O2856" t="s">
        <v>76</v>
      </c>
      <c r="P2856" t="s">
        <v>77</v>
      </c>
    </row>
    <row r="2857" spans="1:16" hidden="1" x14ac:dyDescent="0.25">
      <c r="A2857" t="s">
        <v>1511</v>
      </c>
      <c r="B2857" t="s">
        <v>18</v>
      </c>
      <c r="C2857" t="s">
        <v>19</v>
      </c>
      <c r="D2857" t="s">
        <v>100</v>
      </c>
      <c r="E2857" t="s">
        <v>1265</v>
      </c>
      <c r="F2857">
        <v>2</v>
      </c>
      <c r="G2857" s="6">
        <v>41240</v>
      </c>
      <c r="H2857">
        <v>48</v>
      </c>
      <c r="I2857">
        <v>2016</v>
      </c>
      <c r="J2857" t="s">
        <v>74</v>
      </c>
      <c r="K2857" t="s">
        <v>75</v>
      </c>
      <c r="L2857" t="s">
        <v>75</v>
      </c>
      <c r="M2857" t="s">
        <v>75</v>
      </c>
      <c r="N2857" t="s">
        <v>75</v>
      </c>
      <c r="O2857" t="s">
        <v>73</v>
      </c>
      <c r="P2857" t="s">
        <v>133</v>
      </c>
    </row>
    <row r="2858" spans="1:16" hidden="1" x14ac:dyDescent="0.25">
      <c r="A2858" t="s">
        <v>1512</v>
      </c>
      <c r="B2858" t="s">
        <v>20</v>
      </c>
      <c r="C2858" t="s">
        <v>21</v>
      </c>
      <c r="D2858" t="s">
        <v>101</v>
      </c>
      <c r="E2858" t="s">
        <v>1265</v>
      </c>
      <c r="F2858">
        <v>1</v>
      </c>
      <c r="G2858" s="6">
        <v>41240</v>
      </c>
      <c r="H2858">
        <v>48</v>
      </c>
      <c r="I2858">
        <v>2016</v>
      </c>
      <c r="J2858" t="s">
        <v>73</v>
      </c>
      <c r="K2858" t="s">
        <v>74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1:16" hidden="1" x14ac:dyDescent="0.25">
      <c r="A2859" t="s">
        <v>1513</v>
      </c>
      <c r="B2859" t="s">
        <v>22</v>
      </c>
      <c r="C2859" t="s">
        <v>17</v>
      </c>
      <c r="D2859" t="s">
        <v>102</v>
      </c>
      <c r="E2859" t="s">
        <v>1266</v>
      </c>
      <c r="F2859">
        <v>4</v>
      </c>
      <c r="G2859" s="6">
        <v>41240</v>
      </c>
      <c r="H2859">
        <v>48</v>
      </c>
      <c r="I2859">
        <v>2016</v>
      </c>
      <c r="J2859" t="s">
        <v>75</v>
      </c>
      <c r="K2859" t="s">
        <v>73</v>
      </c>
      <c r="L2859" t="s">
        <v>74</v>
      </c>
      <c r="M2859" t="s">
        <v>75</v>
      </c>
      <c r="N2859" t="s">
        <v>74</v>
      </c>
      <c r="O2859" t="s">
        <v>75</v>
      </c>
      <c r="P2859" t="s">
        <v>75</v>
      </c>
    </row>
    <row r="2860" spans="1:16" hidden="1" x14ac:dyDescent="0.25">
      <c r="A2860" t="s">
        <v>1514</v>
      </c>
      <c r="B2860" t="s">
        <v>23</v>
      </c>
      <c r="C2860" t="s">
        <v>24</v>
      </c>
      <c r="D2860" t="s">
        <v>103</v>
      </c>
      <c r="E2860" t="s">
        <v>1266</v>
      </c>
      <c r="F2860">
        <v>5</v>
      </c>
      <c r="G2860" s="6">
        <v>41240</v>
      </c>
      <c r="H2860">
        <v>48</v>
      </c>
      <c r="I2860">
        <v>2016</v>
      </c>
      <c r="J2860" t="s">
        <v>73</v>
      </c>
      <c r="K2860" t="s">
        <v>75</v>
      </c>
      <c r="L2860" t="s">
        <v>75</v>
      </c>
      <c r="M2860" t="s">
        <v>74</v>
      </c>
      <c r="N2860" t="s">
        <v>75</v>
      </c>
      <c r="O2860" t="s">
        <v>75</v>
      </c>
      <c r="P2860" t="s">
        <v>73</v>
      </c>
    </row>
    <row r="2861" spans="1:16" hidden="1" x14ac:dyDescent="0.25">
      <c r="A2861" t="s">
        <v>1515</v>
      </c>
      <c r="B2861" t="s">
        <v>23</v>
      </c>
      <c r="C2861" t="s">
        <v>55</v>
      </c>
      <c r="D2861" t="s">
        <v>126</v>
      </c>
      <c r="E2861" t="s">
        <v>1265</v>
      </c>
      <c r="F2861">
        <v>11</v>
      </c>
      <c r="G2861" s="6">
        <v>41240</v>
      </c>
      <c r="H2861">
        <v>48</v>
      </c>
      <c r="I2861">
        <v>2016</v>
      </c>
      <c r="J2861" t="s">
        <v>75</v>
      </c>
      <c r="K2861" t="s">
        <v>75</v>
      </c>
      <c r="L2861" t="s">
        <v>73</v>
      </c>
      <c r="M2861" t="s">
        <v>75</v>
      </c>
      <c r="N2861" t="s">
        <v>75</v>
      </c>
      <c r="O2861" t="s">
        <v>76</v>
      </c>
      <c r="P2861" t="s">
        <v>77</v>
      </c>
    </row>
    <row r="2862" spans="1:16" hidden="1" x14ac:dyDescent="0.25">
      <c r="A2862" t="s">
        <v>1516</v>
      </c>
      <c r="B2862" t="s">
        <v>25</v>
      </c>
      <c r="C2862" t="s">
        <v>131</v>
      </c>
      <c r="D2862" t="s">
        <v>104</v>
      </c>
      <c r="E2862" t="s">
        <v>1265</v>
      </c>
      <c r="F2862">
        <v>3</v>
      </c>
      <c r="G2862" s="6">
        <v>41240</v>
      </c>
      <c r="H2862">
        <v>48</v>
      </c>
      <c r="I2862">
        <v>2016</v>
      </c>
      <c r="J2862" t="s">
        <v>74</v>
      </c>
      <c r="K2862" t="s">
        <v>75</v>
      </c>
      <c r="L2862" t="s">
        <v>76</v>
      </c>
      <c r="M2862" t="s">
        <v>77</v>
      </c>
      <c r="N2862" t="s">
        <v>73</v>
      </c>
      <c r="O2862" t="s">
        <v>74</v>
      </c>
      <c r="P2862" t="s">
        <v>75</v>
      </c>
    </row>
    <row r="2863" spans="1:16" hidden="1" x14ac:dyDescent="0.25">
      <c r="A2863" t="s">
        <v>1517</v>
      </c>
      <c r="B2863" t="s">
        <v>56</v>
      </c>
      <c r="C2863" t="s">
        <v>57</v>
      </c>
      <c r="D2863" t="s">
        <v>128</v>
      </c>
      <c r="E2863" t="s">
        <v>1265</v>
      </c>
      <c r="F2863">
        <v>6</v>
      </c>
      <c r="G2863" s="6">
        <v>41240</v>
      </c>
      <c r="H2863">
        <v>48</v>
      </c>
      <c r="I2863">
        <v>2016</v>
      </c>
      <c r="J2863" t="s">
        <v>77</v>
      </c>
      <c r="K2863" t="s">
        <v>73</v>
      </c>
      <c r="L2863" t="s">
        <v>74</v>
      </c>
      <c r="M2863" t="s">
        <v>74</v>
      </c>
      <c r="N2863" t="s">
        <v>75</v>
      </c>
      <c r="O2863" t="s">
        <v>75</v>
      </c>
      <c r="P2863" t="s">
        <v>74</v>
      </c>
    </row>
    <row r="2864" spans="1:16" hidden="1" x14ac:dyDescent="0.25">
      <c r="A2864" t="s">
        <v>1518</v>
      </c>
      <c r="B2864" t="s">
        <v>26</v>
      </c>
      <c r="C2864" t="s">
        <v>27</v>
      </c>
      <c r="D2864" t="s">
        <v>105</v>
      </c>
      <c r="E2864" t="s">
        <v>1265</v>
      </c>
      <c r="F2864">
        <v>7</v>
      </c>
      <c r="G2864" s="6">
        <v>41240</v>
      </c>
      <c r="H2864">
        <v>48</v>
      </c>
      <c r="I2864">
        <v>2016</v>
      </c>
      <c r="J2864" t="s">
        <v>73</v>
      </c>
      <c r="K2864" t="s">
        <v>75</v>
      </c>
      <c r="L2864" t="s">
        <v>75</v>
      </c>
      <c r="M2864" t="s">
        <v>74</v>
      </c>
      <c r="N2864" t="s">
        <v>74</v>
      </c>
      <c r="O2864" t="s">
        <v>75</v>
      </c>
      <c r="P2864" t="s">
        <v>73</v>
      </c>
    </row>
    <row r="2865" spans="1:16" hidden="1" x14ac:dyDescent="0.25">
      <c r="A2865" t="s">
        <v>1519</v>
      </c>
      <c r="B2865" t="s">
        <v>28</v>
      </c>
      <c r="C2865" t="s">
        <v>29</v>
      </c>
      <c r="D2865" t="s">
        <v>106</v>
      </c>
      <c r="E2865" t="s">
        <v>1265</v>
      </c>
      <c r="F2865">
        <v>2</v>
      </c>
      <c r="G2865" s="6">
        <v>41240</v>
      </c>
      <c r="H2865">
        <v>48</v>
      </c>
      <c r="I2865">
        <v>2016</v>
      </c>
      <c r="J2865" t="s">
        <v>74</v>
      </c>
      <c r="K2865" t="s">
        <v>75</v>
      </c>
      <c r="L2865" t="s">
        <v>75</v>
      </c>
      <c r="M2865" t="s">
        <v>74</v>
      </c>
      <c r="N2865" t="s">
        <v>75</v>
      </c>
      <c r="O2865" t="s">
        <v>73</v>
      </c>
      <c r="P2865" t="s">
        <v>75</v>
      </c>
    </row>
    <row r="2866" spans="1:16" hidden="1" x14ac:dyDescent="0.25">
      <c r="A2866" t="s">
        <v>1520</v>
      </c>
      <c r="B2866" t="s">
        <v>30</v>
      </c>
      <c r="C2866" t="s">
        <v>8</v>
      </c>
      <c r="D2866" t="s">
        <v>107</v>
      </c>
      <c r="E2866" t="s">
        <v>1266</v>
      </c>
      <c r="F2866">
        <v>1</v>
      </c>
      <c r="G2866" s="6">
        <v>41240</v>
      </c>
      <c r="H2866">
        <v>48</v>
      </c>
      <c r="I2866">
        <v>2016</v>
      </c>
      <c r="J2866" t="s">
        <v>75</v>
      </c>
      <c r="K2866" t="s">
        <v>75</v>
      </c>
      <c r="L2866" t="s">
        <v>1281</v>
      </c>
      <c r="M2866" t="s">
        <v>92</v>
      </c>
      <c r="N2866" t="s">
        <v>73</v>
      </c>
      <c r="O2866" t="s">
        <v>92</v>
      </c>
      <c r="P2866" t="s">
        <v>92</v>
      </c>
    </row>
    <row r="2867" spans="1:16" hidden="1" x14ac:dyDescent="0.25">
      <c r="A2867" t="s">
        <v>1521</v>
      </c>
      <c r="B2867" t="s">
        <v>30</v>
      </c>
      <c r="C2867" t="s">
        <v>31</v>
      </c>
      <c r="D2867" t="s">
        <v>108</v>
      </c>
      <c r="E2867" t="s">
        <v>1265</v>
      </c>
      <c r="F2867">
        <v>10</v>
      </c>
      <c r="G2867" s="6">
        <v>41240</v>
      </c>
      <c r="H2867">
        <v>48</v>
      </c>
      <c r="I2867">
        <v>2016</v>
      </c>
      <c r="J2867" t="s">
        <v>75</v>
      </c>
      <c r="K2867" t="s">
        <v>76</v>
      </c>
      <c r="L2867" t="s">
        <v>77</v>
      </c>
      <c r="M2867" t="s">
        <v>73</v>
      </c>
      <c r="N2867" t="s">
        <v>74</v>
      </c>
      <c r="O2867" t="s">
        <v>75</v>
      </c>
      <c r="P2867" t="s">
        <v>75</v>
      </c>
    </row>
    <row r="2868" spans="1:16" hidden="1" x14ac:dyDescent="0.25">
      <c r="A2868" t="s">
        <v>1522</v>
      </c>
      <c r="B2868" t="s">
        <v>32</v>
      </c>
      <c r="C2868" t="s">
        <v>33</v>
      </c>
      <c r="D2868" t="s">
        <v>109</v>
      </c>
      <c r="E2868" t="s">
        <v>1266</v>
      </c>
      <c r="F2868">
        <v>3</v>
      </c>
      <c r="G2868" s="6">
        <v>41240</v>
      </c>
      <c r="H2868">
        <v>48</v>
      </c>
      <c r="I2868">
        <v>2016</v>
      </c>
      <c r="J2868" t="s">
        <v>74</v>
      </c>
      <c r="K2868" t="s">
        <v>75</v>
      </c>
      <c r="L2868" t="s">
        <v>73</v>
      </c>
      <c r="M2868" t="s">
        <v>75</v>
      </c>
      <c r="N2868" t="s">
        <v>75</v>
      </c>
      <c r="O2868" t="s">
        <v>75</v>
      </c>
      <c r="P2868" t="s">
        <v>75</v>
      </c>
    </row>
    <row r="2869" spans="1:16" hidden="1" x14ac:dyDescent="0.25">
      <c r="A2869" t="s">
        <v>1523</v>
      </c>
      <c r="B2869" t="s">
        <v>32</v>
      </c>
      <c r="C2869" t="s">
        <v>34</v>
      </c>
      <c r="D2869" t="s">
        <v>122</v>
      </c>
      <c r="E2869" t="s">
        <v>1303</v>
      </c>
      <c r="F2869">
        <v>1</v>
      </c>
      <c r="G2869" s="6">
        <v>41240</v>
      </c>
      <c r="H2869">
        <v>48</v>
      </c>
      <c r="I2869">
        <v>2016</v>
      </c>
      <c r="J2869" t="s">
        <v>125</v>
      </c>
      <c r="K2869" t="s">
        <v>125</v>
      </c>
      <c r="L2869" t="s">
        <v>125</v>
      </c>
      <c r="M2869" t="s">
        <v>125</v>
      </c>
      <c r="N2869" t="s">
        <v>125</v>
      </c>
      <c r="O2869" t="s">
        <v>125</v>
      </c>
      <c r="P2869" t="s">
        <v>125</v>
      </c>
    </row>
    <row r="2870" spans="1:16" hidden="1" x14ac:dyDescent="0.25">
      <c r="A2870" t="s">
        <v>1524</v>
      </c>
      <c r="B2870" t="s">
        <v>35</v>
      </c>
      <c r="C2870" t="s">
        <v>36</v>
      </c>
      <c r="D2870" t="s">
        <v>110</v>
      </c>
      <c r="E2870" t="s">
        <v>1265</v>
      </c>
      <c r="F2870">
        <v>4</v>
      </c>
      <c r="G2870" s="6">
        <v>41240</v>
      </c>
      <c r="H2870">
        <v>48</v>
      </c>
      <c r="I2870">
        <v>2016</v>
      </c>
      <c r="J2870" t="s">
        <v>74</v>
      </c>
      <c r="K2870" t="s">
        <v>75</v>
      </c>
      <c r="L2870" t="s">
        <v>74</v>
      </c>
      <c r="M2870" t="s">
        <v>73</v>
      </c>
      <c r="N2870" t="s">
        <v>75</v>
      </c>
      <c r="O2870" t="s">
        <v>133</v>
      </c>
      <c r="P2870" t="s">
        <v>75</v>
      </c>
    </row>
    <row r="2871" spans="1:16" hidden="1" x14ac:dyDescent="0.25">
      <c r="A2871" t="s">
        <v>1525</v>
      </c>
      <c r="B2871" t="s">
        <v>58</v>
      </c>
      <c r="C2871" t="s">
        <v>59</v>
      </c>
      <c r="D2871" t="s">
        <v>129</v>
      </c>
      <c r="E2871" t="s">
        <v>1266</v>
      </c>
      <c r="F2871">
        <v>1</v>
      </c>
      <c r="G2871" s="6">
        <v>41240</v>
      </c>
      <c r="H2871">
        <v>48</v>
      </c>
      <c r="I2871">
        <v>2016</v>
      </c>
      <c r="J2871" t="s">
        <v>75</v>
      </c>
      <c r="K2871" t="s">
        <v>75</v>
      </c>
      <c r="L2871" t="s">
        <v>75</v>
      </c>
      <c r="M2871" t="s">
        <v>75</v>
      </c>
      <c r="N2871" t="s">
        <v>73</v>
      </c>
      <c r="O2871" t="s">
        <v>74</v>
      </c>
      <c r="P2871" t="s">
        <v>74</v>
      </c>
    </row>
    <row r="2872" spans="1:16" hidden="1" x14ac:dyDescent="0.25">
      <c r="A2872" t="s">
        <v>1526</v>
      </c>
      <c r="B2872" t="s">
        <v>37</v>
      </c>
      <c r="C2872" t="s">
        <v>38</v>
      </c>
      <c r="D2872" t="s">
        <v>111</v>
      </c>
      <c r="E2872" t="s">
        <v>1265</v>
      </c>
      <c r="F2872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1527</v>
      </c>
      <c r="B2873" t="s">
        <v>39</v>
      </c>
      <c r="C2873" t="s">
        <v>40</v>
      </c>
      <c r="D2873" t="s">
        <v>112</v>
      </c>
      <c r="E2873" t="s">
        <v>1266</v>
      </c>
      <c r="F2873">
        <v>6</v>
      </c>
      <c r="G2873" s="6">
        <v>41240</v>
      </c>
      <c r="H2873">
        <v>48</v>
      </c>
      <c r="I2873">
        <v>2016</v>
      </c>
      <c r="J2873" t="s">
        <v>75</v>
      </c>
      <c r="K2873" t="s">
        <v>133</v>
      </c>
      <c r="L2873" t="s">
        <v>75</v>
      </c>
      <c r="M2873" t="s">
        <v>74</v>
      </c>
      <c r="N2873" t="s">
        <v>75</v>
      </c>
      <c r="O2873" t="s">
        <v>73</v>
      </c>
      <c r="P2873" t="s">
        <v>75</v>
      </c>
    </row>
    <row r="2874" spans="1:16" hidden="1" x14ac:dyDescent="0.25">
      <c r="A2874" t="s">
        <v>1528</v>
      </c>
      <c r="B2874" t="s">
        <v>41</v>
      </c>
      <c r="C2874" t="s">
        <v>42</v>
      </c>
      <c r="D2874" t="s">
        <v>113</v>
      </c>
      <c r="E2874" t="s">
        <v>1265</v>
      </c>
      <c r="F2874">
        <v>9</v>
      </c>
      <c r="G2874" s="6">
        <v>41240</v>
      </c>
      <c r="H2874">
        <v>48</v>
      </c>
      <c r="I2874">
        <v>2016</v>
      </c>
      <c r="J2874" t="s">
        <v>75</v>
      </c>
      <c r="K2874" t="s">
        <v>74</v>
      </c>
      <c r="L2874" t="s">
        <v>74</v>
      </c>
      <c r="M2874" t="s">
        <v>133</v>
      </c>
      <c r="N2874" t="s">
        <v>73</v>
      </c>
      <c r="O2874" t="s">
        <v>74</v>
      </c>
      <c r="P2874" t="s">
        <v>74</v>
      </c>
    </row>
    <row r="2875" spans="1:16" hidden="1" x14ac:dyDescent="0.25">
      <c r="A2875" t="s">
        <v>1529</v>
      </c>
      <c r="B2875" t="s">
        <v>43</v>
      </c>
      <c r="C2875" t="s">
        <v>44</v>
      </c>
      <c r="D2875" t="s">
        <v>114</v>
      </c>
      <c r="E2875" t="s">
        <v>1265</v>
      </c>
      <c r="F2875">
        <v>1</v>
      </c>
      <c r="G2875" s="6">
        <v>41240</v>
      </c>
      <c r="H2875">
        <v>48</v>
      </c>
      <c r="I2875">
        <v>2016</v>
      </c>
      <c r="J2875" t="s">
        <v>73</v>
      </c>
      <c r="K2875" t="s">
        <v>74</v>
      </c>
      <c r="L2875" t="s">
        <v>75</v>
      </c>
      <c r="M2875" t="s">
        <v>75</v>
      </c>
      <c r="N2875" t="s">
        <v>76</v>
      </c>
      <c r="O2875" t="s">
        <v>77</v>
      </c>
      <c r="P2875" t="s">
        <v>73</v>
      </c>
    </row>
    <row r="2876" spans="1:16" hidden="1" x14ac:dyDescent="0.25">
      <c r="A2876" t="s">
        <v>1530</v>
      </c>
      <c r="B2876" t="s">
        <v>45</v>
      </c>
      <c r="C2876" t="s">
        <v>46</v>
      </c>
      <c r="D2876" t="s">
        <v>115</v>
      </c>
      <c r="E2876" t="s">
        <v>1265</v>
      </c>
      <c r="F2876">
        <v>8</v>
      </c>
      <c r="G2876" s="6">
        <v>41240</v>
      </c>
      <c r="H2876">
        <v>48</v>
      </c>
      <c r="I2876">
        <v>2016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1:16" hidden="1" x14ac:dyDescent="0.25">
      <c r="A2877" t="s">
        <v>1531</v>
      </c>
      <c r="B2877" t="s">
        <v>47</v>
      </c>
      <c r="C2877" t="s">
        <v>48</v>
      </c>
      <c r="D2877" t="s">
        <v>116</v>
      </c>
      <c r="E2877" t="s">
        <v>1265</v>
      </c>
      <c r="F2877">
        <v>8</v>
      </c>
      <c r="G2877" s="6">
        <v>41240</v>
      </c>
      <c r="H2877">
        <v>48</v>
      </c>
      <c r="I2877">
        <v>2016</v>
      </c>
      <c r="J2877" t="s">
        <v>75</v>
      </c>
      <c r="K2877" t="s">
        <v>74</v>
      </c>
      <c r="L2877" t="s">
        <v>75</v>
      </c>
      <c r="M2877" t="s">
        <v>76</v>
      </c>
      <c r="N2877" t="s">
        <v>77</v>
      </c>
      <c r="O2877" t="s">
        <v>73</v>
      </c>
      <c r="P2877" t="s">
        <v>74</v>
      </c>
    </row>
    <row r="2878" spans="1:16" hidden="1" x14ac:dyDescent="0.25">
      <c r="A2878" t="s">
        <v>1532</v>
      </c>
      <c r="B2878" t="s">
        <v>49</v>
      </c>
      <c r="C2878" t="s">
        <v>50</v>
      </c>
      <c r="D2878" t="s">
        <v>117</v>
      </c>
      <c r="E2878" t="s">
        <v>1265</v>
      </c>
      <c r="F2878">
        <v>7</v>
      </c>
      <c r="G2878" s="6">
        <v>41240</v>
      </c>
      <c r="H2878">
        <v>48</v>
      </c>
      <c r="I2878">
        <v>2016</v>
      </c>
      <c r="J2878" t="s">
        <v>73</v>
      </c>
      <c r="K2878" t="s">
        <v>74</v>
      </c>
      <c r="L2878" t="s">
        <v>75</v>
      </c>
      <c r="M2878" t="s">
        <v>74</v>
      </c>
      <c r="N2878" t="s">
        <v>74</v>
      </c>
      <c r="O2878" t="s">
        <v>75</v>
      </c>
      <c r="P2878" t="s">
        <v>73</v>
      </c>
    </row>
    <row r="2879" spans="1:16" hidden="1" x14ac:dyDescent="0.25">
      <c r="A2879" t="s">
        <v>1533</v>
      </c>
      <c r="B2879" t="s">
        <v>51</v>
      </c>
      <c r="C2879" t="s">
        <v>52</v>
      </c>
      <c r="D2879" t="s">
        <v>118</v>
      </c>
      <c r="E2879" t="s">
        <v>1265</v>
      </c>
      <c r="F2879">
        <v>3</v>
      </c>
      <c r="G2879" s="6">
        <v>41240</v>
      </c>
      <c r="H2879">
        <v>48</v>
      </c>
      <c r="I2879">
        <v>2016</v>
      </c>
      <c r="J2879" t="s">
        <v>74</v>
      </c>
      <c r="K2879" t="s">
        <v>75</v>
      </c>
      <c r="L2879" t="s">
        <v>76</v>
      </c>
      <c r="M2879" t="s">
        <v>77</v>
      </c>
      <c r="N2879" t="s">
        <v>73</v>
      </c>
      <c r="O2879" t="s">
        <v>74</v>
      </c>
      <c r="P2879" t="s">
        <v>75</v>
      </c>
    </row>
    <row r="2880" spans="1:16" hidden="1" x14ac:dyDescent="0.25">
      <c r="A2880" t="s">
        <v>1534</v>
      </c>
      <c r="B2880" t="s">
        <v>53</v>
      </c>
      <c r="C2880" t="s">
        <v>54</v>
      </c>
      <c r="D2880" t="s">
        <v>119</v>
      </c>
      <c r="E2880" t="s">
        <v>1266</v>
      </c>
      <c r="F2880">
        <v>5</v>
      </c>
      <c r="G2880" s="6">
        <v>41240</v>
      </c>
      <c r="H2880">
        <v>48</v>
      </c>
      <c r="I2880">
        <v>2016</v>
      </c>
      <c r="J2880" t="s">
        <v>73</v>
      </c>
      <c r="K2880" t="s">
        <v>75</v>
      </c>
      <c r="L2880" t="s">
        <v>75</v>
      </c>
      <c r="M2880" t="s">
        <v>74</v>
      </c>
      <c r="N2880" t="s">
        <v>75</v>
      </c>
      <c r="O2880" t="s">
        <v>75</v>
      </c>
      <c r="P2880" t="s">
        <v>73</v>
      </c>
    </row>
    <row r="2881" spans="1:16" hidden="1" x14ac:dyDescent="0.25">
      <c r="A2881" t="s">
        <v>1535</v>
      </c>
      <c r="B2881" t="s">
        <v>1272</v>
      </c>
      <c r="C2881" t="s">
        <v>131</v>
      </c>
      <c r="D2881" t="s">
        <v>1275</v>
      </c>
      <c r="E2881" t="s">
        <v>1266</v>
      </c>
      <c r="F2881">
        <v>1</v>
      </c>
      <c r="G2881" s="6">
        <v>41240</v>
      </c>
      <c r="H2881">
        <v>48</v>
      </c>
      <c r="I2881">
        <v>2016</v>
      </c>
      <c r="J2881" t="s">
        <v>75</v>
      </c>
      <c r="K2881" t="s">
        <v>74</v>
      </c>
      <c r="L2881" t="s">
        <v>75</v>
      </c>
      <c r="M2881" t="s">
        <v>75</v>
      </c>
      <c r="N2881" t="s">
        <v>73</v>
      </c>
      <c r="O2881" t="s">
        <v>74</v>
      </c>
      <c r="P2881" t="s">
        <v>74</v>
      </c>
    </row>
    <row r="2882" spans="1:16" hidden="1" x14ac:dyDescent="0.25">
      <c r="A2882" t="s">
        <v>1536</v>
      </c>
      <c r="B2882" t="s">
        <v>1273</v>
      </c>
      <c r="C2882" t="s">
        <v>131</v>
      </c>
      <c r="D2882" t="s">
        <v>1277</v>
      </c>
      <c r="E2882" t="s">
        <v>1266</v>
      </c>
      <c r="F2882">
        <v>4</v>
      </c>
      <c r="G2882" s="6">
        <v>41240</v>
      </c>
      <c r="H2882">
        <v>48</v>
      </c>
      <c r="I2882">
        <v>2016</v>
      </c>
      <c r="J2882" t="s">
        <v>75</v>
      </c>
      <c r="K2882" t="s">
        <v>73</v>
      </c>
      <c r="L2882" t="s">
        <v>74</v>
      </c>
      <c r="M2882" t="s">
        <v>75</v>
      </c>
      <c r="N2882" t="s">
        <v>74</v>
      </c>
      <c r="O2882" t="s">
        <v>75</v>
      </c>
      <c r="P2882" t="s">
        <v>75</v>
      </c>
    </row>
    <row r="2883" spans="1:16" hidden="1" x14ac:dyDescent="0.25">
      <c r="A2883" t="s">
        <v>1537</v>
      </c>
      <c r="B2883" t="s">
        <v>1274</v>
      </c>
      <c r="C2883" t="s">
        <v>131</v>
      </c>
      <c r="D2883" t="s">
        <v>1278</v>
      </c>
      <c r="E2883" t="s">
        <v>1266</v>
      </c>
      <c r="F2883">
        <v>2</v>
      </c>
      <c r="G2883" s="6">
        <v>41240</v>
      </c>
      <c r="H2883">
        <v>48</v>
      </c>
      <c r="I2883">
        <v>2016</v>
      </c>
      <c r="J2883" t="s">
        <v>74</v>
      </c>
      <c r="K2883" t="s">
        <v>75</v>
      </c>
      <c r="L2883" t="s">
        <v>74</v>
      </c>
      <c r="M2883" t="s">
        <v>73</v>
      </c>
      <c r="N2883" t="s">
        <v>74</v>
      </c>
      <c r="O2883" t="s">
        <v>75</v>
      </c>
      <c r="P2883" t="s">
        <v>74</v>
      </c>
    </row>
    <row r="2884" spans="1:16" hidden="1" x14ac:dyDescent="0.25">
      <c r="A2884" t="s">
        <v>1538</v>
      </c>
      <c r="B2884" t="s">
        <v>1279</v>
      </c>
      <c r="C2884" t="s">
        <v>1280</v>
      </c>
      <c r="D2884" t="s">
        <v>1276</v>
      </c>
      <c r="E2884" t="s">
        <v>1266</v>
      </c>
      <c r="F2884">
        <v>3</v>
      </c>
      <c r="G2884" s="6">
        <v>41240</v>
      </c>
      <c r="H2884">
        <v>48</v>
      </c>
      <c r="I2884">
        <v>2016</v>
      </c>
      <c r="J2884" t="s">
        <v>74</v>
      </c>
      <c r="K2884" t="s">
        <v>74</v>
      </c>
      <c r="L2884" t="s">
        <v>73</v>
      </c>
      <c r="M2884" t="s">
        <v>75</v>
      </c>
      <c r="N2884" t="s">
        <v>75</v>
      </c>
      <c r="O2884" t="s">
        <v>74</v>
      </c>
      <c r="P2884" t="s">
        <v>75</v>
      </c>
    </row>
    <row r="2885" spans="1:16" hidden="1" x14ac:dyDescent="0.25">
      <c r="A2885" t="s">
        <v>1539</v>
      </c>
      <c r="B2885" t="s">
        <v>3</v>
      </c>
      <c r="C2885" t="s">
        <v>4</v>
      </c>
      <c r="D2885" t="s">
        <v>90</v>
      </c>
      <c r="E2885" t="s">
        <v>1265</v>
      </c>
      <c r="F2885">
        <v>10</v>
      </c>
      <c r="G2885" s="6">
        <v>41247</v>
      </c>
      <c r="H2885">
        <v>49</v>
      </c>
      <c r="I2885">
        <v>2016</v>
      </c>
      <c r="J2885" t="s">
        <v>75</v>
      </c>
      <c r="K2885" t="s">
        <v>76</v>
      </c>
      <c r="L2885" t="s">
        <v>77</v>
      </c>
      <c r="M2885" t="s">
        <v>73</v>
      </c>
      <c r="N2885" t="s">
        <v>74</v>
      </c>
      <c r="O2885" t="s">
        <v>75</v>
      </c>
      <c r="P2885" t="s">
        <v>92</v>
      </c>
    </row>
    <row r="2886" spans="1:16" hidden="1" x14ac:dyDescent="0.25">
      <c r="A2886" t="s">
        <v>1540</v>
      </c>
      <c r="B2886" t="s">
        <v>5</v>
      </c>
      <c r="C2886" t="s">
        <v>6</v>
      </c>
      <c r="D2886" t="s">
        <v>93</v>
      </c>
      <c r="E2886" t="s">
        <v>1265</v>
      </c>
      <c r="F2886">
        <v>11</v>
      </c>
      <c r="G2886" s="6">
        <v>41247</v>
      </c>
      <c r="H2886">
        <v>49</v>
      </c>
      <c r="I2886">
        <v>2016</v>
      </c>
      <c r="J2886" t="s">
        <v>75</v>
      </c>
      <c r="K2886" t="s">
        <v>75</v>
      </c>
      <c r="L2886" t="s">
        <v>73</v>
      </c>
      <c r="M2886" t="s">
        <v>75</v>
      </c>
      <c r="N2886" t="s">
        <v>75</v>
      </c>
      <c r="O2886" t="s">
        <v>76</v>
      </c>
      <c r="P2886" t="s">
        <v>77</v>
      </c>
    </row>
    <row r="2887" spans="1:16" hidden="1" x14ac:dyDescent="0.25">
      <c r="A2887" t="s">
        <v>1541</v>
      </c>
      <c r="B2887" t="s">
        <v>7</v>
      </c>
      <c r="C2887" t="s">
        <v>8</v>
      </c>
      <c r="D2887" t="s">
        <v>94</v>
      </c>
      <c r="E2887" t="s">
        <v>1265</v>
      </c>
      <c r="F2887">
        <v>5</v>
      </c>
      <c r="G2887" s="6">
        <v>41247</v>
      </c>
      <c r="H2887">
        <v>49</v>
      </c>
      <c r="I2887">
        <v>2016</v>
      </c>
      <c r="J2887" t="s">
        <v>76</v>
      </c>
      <c r="K2887" t="s">
        <v>77</v>
      </c>
      <c r="L2887" t="s">
        <v>73</v>
      </c>
      <c r="M2887" t="s">
        <v>74</v>
      </c>
      <c r="N2887" t="s">
        <v>92</v>
      </c>
      <c r="O2887" t="s">
        <v>75</v>
      </c>
      <c r="P2887" t="s">
        <v>76</v>
      </c>
    </row>
    <row r="2888" spans="1:16" hidden="1" x14ac:dyDescent="0.25">
      <c r="A2888" t="s">
        <v>1542</v>
      </c>
      <c r="B2888" t="s">
        <v>9</v>
      </c>
      <c r="C2888" t="s">
        <v>10</v>
      </c>
      <c r="D2888" t="s">
        <v>96</v>
      </c>
      <c r="E2888" t="s">
        <v>1265</v>
      </c>
      <c r="F2888">
        <v>6</v>
      </c>
      <c r="G2888" s="6">
        <v>41247</v>
      </c>
      <c r="H2888">
        <v>49</v>
      </c>
      <c r="I2888">
        <v>2016</v>
      </c>
      <c r="J2888" t="s">
        <v>77</v>
      </c>
      <c r="K2888" t="s">
        <v>73</v>
      </c>
      <c r="L2888" t="s">
        <v>74</v>
      </c>
      <c r="M2888" t="s">
        <v>74</v>
      </c>
      <c r="N2888" t="s">
        <v>75</v>
      </c>
      <c r="O2888" t="s">
        <v>75</v>
      </c>
      <c r="P2888" t="s">
        <v>75</v>
      </c>
    </row>
    <row r="2889" spans="1:16" hidden="1" x14ac:dyDescent="0.25">
      <c r="A2889" t="s">
        <v>1543</v>
      </c>
      <c r="B2889" t="s">
        <v>11</v>
      </c>
      <c r="C2889" t="s">
        <v>12</v>
      </c>
      <c r="D2889" t="s">
        <v>97</v>
      </c>
      <c r="E2889" t="s">
        <v>1265</v>
      </c>
      <c r="F2889">
        <v>7</v>
      </c>
      <c r="G2889" s="6">
        <v>41247</v>
      </c>
      <c r="H2889">
        <v>49</v>
      </c>
      <c r="I2889">
        <v>2016</v>
      </c>
      <c r="J2889" t="s">
        <v>73</v>
      </c>
      <c r="K2889" t="s">
        <v>74</v>
      </c>
      <c r="L2889" t="s">
        <v>75</v>
      </c>
      <c r="M2889" t="s">
        <v>73</v>
      </c>
      <c r="N2889" t="s">
        <v>75</v>
      </c>
      <c r="O2889" t="s">
        <v>75</v>
      </c>
      <c r="P2889" t="s">
        <v>73</v>
      </c>
    </row>
    <row r="2890" spans="1:16" hidden="1" x14ac:dyDescent="0.25">
      <c r="A2890" t="s">
        <v>1544</v>
      </c>
      <c r="B2890" t="s">
        <v>13</v>
      </c>
      <c r="C2890" t="s">
        <v>14</v>
      </c>
      <c r="D2890" t="s">
        <v>120</v>
      </c>
      <c r="E2890" t="s">
        <v>1303</v>
      </c>
      <c r="F2890">
        <v>1</v>
      </c>
      <c r="G2890" s="6">
        <v>41247</v>
      </c>
      <c r="H2890">
        <v>49</v>
      </c>
      <c r="I2890">
        <v>2016</v>
      </c>
      <c r="J2890" t="s">
        <v>125</v>
      </c>
      <c r="K2890" t="s">
        <v>125</v>
      </c>
      <c r="L2890" t="s">
        <v>125</v>
      </c>
      <c r="M2890" t="s">
        <v>125</v>
      </c>
      <c r="N2890" t="s">
        <v>125</v>
      </c>
      <c r="O2890" t="s">
        <v>125</v>
      </c>
      <c r="P2890" t="s">
        <v>125</v>
      </c>
    </row>
    <row r="2891" spans="1:16" hidden="1" x14ac:dyDescent="0.25">
      <c r="A2891" t="s">
        <v>1545</v>
      </c>
      <c r="B2891" t="s">
        <v>13</v>
      </c>
      <c r="C2891" t="s">
        <v>15</v>
      </c>
      <c r="D2891" t="s">
        <v>98</v>
      </c>
      <c r="E2891" t="s">
        <v>1266</v>
      </c>
      <c r="F2891">
        <v>2</v>
      </c>
      <c r="G2891" s="6">
        <v>41247</v>
      </c>
      <c r="H2891">
        <v>49</v>
      </c>
      <c r="I2891">
        <v>2016</v>
      </c>
      <c r="J2891" t="s">
        <v>75</v>
      </c>
      <c r="K2891" t="s">
        <v>75</v>
      </c>
      <c r="L2891" t="s">
        <v>75</v>
      </c>
      <c r="M2891" t="s">
        <v>75</v>
      </c>
      <c r="N2891" t="s">
        <v>73</v>
      </c>
      <c r="O2891" t="s">
        <v>75</v>
      </c>
      <c r="P2891" t="s">
        <v>75</v>
      </c>
    </row>
    <row r="2892" spans="1:16" hidden="1" x14ac:dyDescent="0.25">
      <c r="A2892" t="s">
        <v>1546</v>
      </c>
      <c r="B2892" t="s">
        <v>16</v>
      </c>
      <c r="C2892" t="s">
        <v>17</v>
      </c>
      <c r="D2892" t="s">
        <v>99</v>
      </c>
      <c r="E2892" t="s">
        <v>1265</v>
      </c>
      <c r="F2892">
        <v>1</v>
      </c>
      <c r="G2892" s="6">
        <v>41247</v>
      </c>
      <c r="H2892">
        <v>49</v>
      </c>
      <c r="I2892">
        <v>2016</v>
      </c>
      <c r="J2892" t="s">
        <v>73</v>
      </c>
      <c r="K2892" t="s">
        <v>74</v>
      </c>
      <c r="L2892" t="s">
        <v>75</v>
      </c>
      <c r="M2892" t="s">
        <v>75</v>
      </c>
      <c r="N2892" t="s">
        <v>76</v>
      </c>
      <c r="O2892" t="s">
        <v>77</v>
      </c>
      <c r="P2892" t="s">
        <v>73</v>
      </c>
    </row>
    <row r="2893" spans="1:16" hidden="1" x14ac:dyDescent="0.25">
      <c r="A2893" t="s">
        <v>1547</v>
      </c>
      <c r="B2893" t="s">
        <v>18</v>
      </c>
      <c r="C2893" t="s">
        <v>19</v>
      </c>
      <c r="D2893" t="s">
        <v>100</v>
      </c>
      <c r="E2893" t="s">
        <v>1265</v>
      </c>
      <c r="F2893">
        <v>3</v>
      </c>
      <c r="G2893" s="6">
        <v>41247</v>
      </c>
      <c r="H2893">
        <v>49</v>
      </c>
      <c r="I2893">
        <v>2016</v>
      </c>
      <c r="J2893" t="s">
        <v>74</v>
      </c>
      <c r="K2893" t="s">
        <v>75</v>
      </c>
      <c r="L2893" t="s">
        <v>75</v>
      </c>
      <c r="M2893" t="s">
        <v>75</v>
      </c>
      <c r="N2893" t="s">
        <v>73</v>
      </c>
      <c r="O2893" t="s">
        <v>74</v>
      </c>
      <c r="P2893" t="s">
        <v>75</v>
      </c>
    </row>
    <row r="2894" spans="1:16" hidden="1" x14ac:dyDescent="0.25">
      <c r="A2894" t="s">
        <v>1548</v>
      </c>
      <c r="B2894" t="s">
        <v>20</v>
      </c>
      <c r="C2894" t="s">
        <v>21</v>
      </c>
      <c r="D2894" t="s">
        <v>101</v>
      </c>
      <c r="E2894" t="s">
        <v>1265</v>
      </c>
      <c r="F2894">
        <v>2</v>
      </c>
      <c r="G2894" s="6">
        <v>41247</v>
      </c>
      <c r="H2894">
        <v>49</v>
      </c>
      <c r="I2894">
        <v>2016</v>
      </c>
      <c r="J2894" t="s">
        <v>74</v>
      </c>
      <c r="K2894" t="s">
        <v>92</v>
      </c>
      <c r="L2894" t="s">
        <v>75</v>
      </c>
      <c r="M2894" t="s">
        <v>73</v>
      </c>
      <c r="N2894" t="s">
        <v>75</v>
      </c>
      <c r="O2894" t="s">
        <v>73</v>
      </c>
      <c r="P2894" t="s">
        <v>75</v>
      </c>
    </row>
    <row r="2895" spans="1:16" hidden="1" x14ac:dyDescent="0.25">
      <c r="A2895" t="s">
        <v>1549</v>
      </c>
      <c r="B2895" t="s">
        <v>22</v>
      </c>
      <c r="C2895" t="s">
        <v>17</v>
      </c>
      <c r="D2895" t="s">
        <v>102</v>
      </c>
      <c r="E2895" t="s">
        <v>1266</v>
      </c>
      <c r="F2895">
        <v>5</v>
      </c>
      <c r="G2895" s="6">
        <v>41247</v>
      </c>
      <c r="H2895">
        <v>49</v>
      </c>
      <c r="I2895">
        <v>2016</v>
      </c>
      <c r="J2895" t="s">
        <v>73</v>
      </c>
      <c r="K2895" t="s">
        <v>75</v>
      </c>
      <c r="L2895" t="s">
        <v>76</v>
      </c>
      <c r="M2895" t="s">
        <v>77</v>
      </c>
      <c r="N2895" t="s">
        <v>73</v>
      </c>
      <c r="O2895" t="s">
        <v>75</v>
      </c>
      <c r="P2895" t="s">
        <v>73</v>
      </c>
    </row>
    <row r="2896" spans="1:16" hidden="1" x14ac:dyDescent="0.25">
      <c r="A2896" t="s">
        <v>1550</v>
      </c>
      <c r="B2896" t="s">
        <v>23</v>
      </c>
      <c r="C2896" t="s">
        <v>24</v>
      </c>
      <c r="D2896" t="s">
        <v>103</v>
      </c>
      <c r="E2896" t="s">
        <v>1266</v>
      </c>
      <c r="F2896">
        <v>6</v>
      </c>
      <c r="G2896" s="6">
        <v>41247</v>
      </c>
      <c r="H2896">
        <v>49</v>
      </c>
      <c r="I2896">
        <v>2016</v>
      </c>
      <c r="J2896" t="s">
        <v>75</v>
      </c>
      <c r="K2896" t="s">
        <v>74</v>
      </c>
      <c r="L2896" t="s">
        <v>75</v>
      </c>
      <c r="M2896" t="s">
        <v>73</v>
      </c>
      <c r="N2896" t="s">
        <v>75</v>
      </c>
      <c r="O2896" t="s">
        <v>73</v>
      </c>
      <c r="P2896" t="s">
        <v>75</v>
      </c>
    </row>
    <row r="2897" spans="1:16" hidden="1" x14ac:dyDescent="0.25">
      <c r="A2897" t="s">
        <v>1551</v>
      </c>
      <c r="B2897" t="s">
        <v>23</v>
      </c>
      <c r="C2897" t="s">
        <v>55</v>
      </c>
      <c r="D2897" t="s">
        <v>126</v>
      </c>
      <c r="E2897" t="s">
        <v>1265</v>
      </c>
      <c r="F2897">
        <v>1</v>
      </c>
      <c r="G2897" s="6">
        <v>41247</v>
      </c>
      <c r="H2897">
        <v>49</v>
      </c>
      <c r="I2897">
        <v>2016</v>
      </c>
      <c r="J2897" t="s">
        <v>73</v>
      </c>
      <c r="K2897" t="s">
        <v>92</v>
      </c>
      <c r="L2897" t="s">
        <v>92</v>
      </c>
      <c r="M2897" t="s">
        <v>73</v>
      </c>
      <c r="N2897" t="s">
        <v>76</v>
      </c>
      <c r="O2897" t="s">
        <v>77</v>
      </c>
      <c r="P2897" t="s">
        <v>73</v>
      </c>
    </row>
    <row r="2898" spans="1:16" hidden="1" x14ac:dyDescent="0.25">
      <c r="A2898" t="s">
        <v>1552</v>
      </c>
      <c r="B2898" t="s">
        <v>25</v>
      </c>
      <c r="C2898" t="s">
        <v>131</v>
      </c>
      <c r="D2898" t="s">
        <v>104</v>
      </c>
      <c r="E2898" t="s">
        <v>1265</v>
      </c>
      <c r="F2898">
        <v>4</v>
      </c>
      <c r="G2898" s="6">
        <v>41247</v>
      </c>
      <c r="H2898">
        <v>49</v>
      </c>
      <c r="I2898">
        <v>2016</v>
      </c>
      <c r="J2898" t="s">
        <v>74</v>
      </c>
      <c r="K2898" t="s">
        <v>75</v>
      </c>
      <c r="L2898" t="s">
        <v>75</v>
      </c>
      <c r="M2898" t="s">
        <v>73</v>
      </c>
      <c r="N2898" t="s">
        <v>75</v>
      </c>
      <c r="O2898" t="s">
        <v>74</v>
      </c>
      <c r="P2898" t="s">
        <v>75</v>
      </c>
    </row>
    <row r="2899" spans="1:16" hidden="1" x14ac:dyDescent="0.25">
      <c r="A2899" t="s">
        <v>1553</v>
      </c>
      <c r="B2899" t="s">
        <v>56</v>
      </c>
      <c r="C2899" t="s">
        <v>57</v>
      </c>
      <c r="D2899" t="s">
        <v>128</v>
      </c>
      <c r="E2899" t="s">
        <v>1265</v>
      </c>
      <c r="F2899">
        <v>7</v>
      </c>
      <c r="G2899" s="6">
        <v>41247</v>
      </c>
      <c r="H2899">
        <v>49</v>
      </c>
      <c r="I2899">
        <v>2016</v>
      </c>
      <c r="J2899" t="s">
        <v>73</v>
      </c>
      <c r="K2899" t="s">
        <v>75</v>
      </c>
      <c r="L2899" t="s">
        <v>75</v>
      </c>
      <c r="M2899" t="s">
        <v>75</v>
      </c>
      <c r="N2899" t="s">
        <v>74</v>
      </c>
      <c r="O2899" t="s">
        <v>74</v>
      </c>
      <c r="P2899" t="s">
        <v>73</v>
      </c>
    </row>
    <row r="2900" spans="1:16" hidden="1" x14ac:dyDescent="0.25">
      <c r="A2900" t="s">
        <v>1554</v>
      </c>
      <c r="B2900" t="s">
        <v>26</v>
      </c>
      <c r="C2900" t="s">
        <v>27</v>
      </c>
      <c r="D2900" t="s">
        <v>105</v>
      </c>
      <c r="E2900" t="s">
        <v>1265</v>
      </c>
      <c r="F2900">
        <v>8</v>
      </c>
      <c r="G2900" s="6">
        <v>41247</v>
      </c>
      <c r="H2900">
        <v>49</v>
      </c>
      <c r="I2900">
        <v>2016</v>
      </c>
      <c r="J2900" t="s">
        <v>75</v>
      </c>
      <c r="K2900" t="s">
        <v>75</v>
      </c>
      <c r="L2900" t="s">
        <v>75</v>
      </c>
      <c r="M2900" t="s">
        <v>76</v>
      </c>
      <c r="N2900" t="s">
        <v>77</v>
      </c>
      <c r="O2900" t="s">
        <v>73</v>
      </c>
      <c r="P2900" t="s">
        <v>74</v>
      </c>
    </row>
    <row r="2901" spans="1:16" hidden="1" x14ac:dyDescent="0.25">
      <c r="A2901" t="s">
        <v>1555</v>
      </c>
      <c r="B2901" t="s">
        <v>28</v>
      </c>
      <c r="C2901" t="s">
        <v>29</v>
      </c>
      <c r="D2901" t="s">
        <v>106</v>
      </c>
      <c r="E2901" t="s">
        <v>1265</v>
      </c>
      <c r="F2901">
        <v>3</v>
      </c>
      <c r="G2901" s="6">
        <v>41247</v>
      </c>
      <c r="H2901">
        <v>49</v>
      </c>
      <c r="I2901">
        <v>2016</v>
      </c>
      <c r="J2901" t="s">
        <v>74</v>
      </c>
      <c r="K2901" t="s">
        <v>75</v>
      </c>
      <c r="L2901" t="s">
        <v>76</v>
      </c>
      <c r="M2901" t="s">
        <v>77</v>
      </c>
      <c r="N2901" t="s">
        <v>73</v>
      </c>
      <c r="O2901" t="s">
        <v>74</v>
      </c>
      <c r="P2901" t="s">
        <v>75</v>
      </c>
    </row>
    <row r="2902" spans="1:16" hidden="1" x14ac:dyDescent="0.25">
      <c r="A2902" t="s">
        <v>1556</v>
      </c>
      <c r="B2902" t="s">
        <v>30</v>
      </c>
      <c r="C2902" t="s">
        <v>8</v>
      </c>
      <c r="D2902" t="s">
        <v>107</v>
      </c>
      <c r="E2902" t="s">
        <v>1266</v>
      </c>
      <c r="F2902">
        <v>2</v>
      </c>
      <c r="G2902" s="6">
        <v>41247</v>
      </c>
      <c r="H2902">
        <v>49</v>
      </c>
      <c r="I2902">
        <v>2016</v>
      </c>
      <c r="J2902" t="s">
        <v>133</v>
      </c>
      <c r="K2902" t="s">
        <v>73</v>
      </c>
      <c r="L2902" t="s">
        <v>75</v>
      </c>
      <c r="M2902" t="s">
        <v>75</v>
      </c>
      <c r="N2902" t="s">
        <v>74</v>
      </c>
      <c r="O2902" t="s">
        <v>75</v>
      </c>
      <c r="P2902" t="s">
        <v>74</v>
      </c>
    </row>
    <row r="2903" spans="1:16" hidden="1" x14ac:dyDescent="0.25">
      <c r="A2903" t="s">
        <v>1557</v>
      </c>
      <c r="B2903" t="s">
        <v>30</v>
      </c>
      <c r="C2903" t="s">
        <v>31</v>
      </c>
      <c r="D2903" t="s">
        <v>108</v>
      </c>
      <c r="E2903" t="s">
        <v>1265</v>
      </c>
      <c r="F2903">
        <v>11</v>
      </c>
      <c r="G2903" s="6">
        <v>41247</v>
      </c>
      <c r="H2903">
        <v>49</v>
      </c>
      <c r="I2903">
        <v>2016</v>
      </c>
      <c r="J2903" t="s">
        <v>125</v>
      </c>
      <c r="K2903" t="s">
        <v>125</v>
      </c>
      <c r="L2903" t="s">
        <v>73</v>
      </c>
      <c r="M2903" t="s">
        <v>125</v>
      </c>
      <c r="N2903" t="s">
        <v>125</v>
      </c>
      <c r="O2903" t="s">
        <v>125</v>
      </c>
      <c r="P2903" t="s">
        <v>125</v>
      </c>
    </row>
    <row r="2904" spans="1:16" hidden="1" x14ac:dyDescent="0.25">
      <c r="A2904" t="s">
        <v>1558</v>
      </c>
      <c r="B2904" t="s">
        <v>32</v>
      </c>
      <c r="C2904" t="s">
        <v>33</v>
      </c>
      <c r="D2904" t="s">
        <v>109</v>
      </c>
      <c r="E2904" t="s">
        <v>1266</v>
      </c>
      <c r="F2904">
        <v>4</v>
      </c>
      <c r="G2904" s="6">
        <v>41247</v>
      </c>
      <c r="H2904">
        <v>49</v>
      </c>
      <c r="I2904">
        <v>2016</v>
      </c>
      <c r="J2904" t="s">
        <v>75</v>
      </c>
      <c r="K2904" t="s">
        <v>73</v>
      </c>
      <c r="L2904" t="s">
        <v>74</v>
      </c>
      <c r="M2904" t="s">
        <v>73</v>
      </c>
      <c r="N2904" t="s">
        <v>74</v>
      </c>
      <c r="O2904" t="s">
        <v>76</v>
      </c>
      <c r="P2904" t="s">
        <v>77</v>
      </c>
    </row>
    <row r="2905" spans="1:16" hidden="1" x14ac:dyDescent="0.25">
      <c r="A2905" t="s">
        <v>1559</v>
      </c>
      <c r="B2905" t="s">
        <v>32</v>
      </c>
      <c r="C2905" t="s">
        <v>34</v>
      </c>
      <c r="D2905" t="s">
        <v>122</v>
      </c>
      <c r="E2905" t="s">
        <v>1303</v>
      </c>
      <c r="F2905">
        <v>1</v>
      </c>
      <c r="G2905" s="6">
        <v>41247</v>
      </c>
      <c r="H2905">
        <v>49</v>
      </c>
      <c r="I2905">
        <v>2016</v>
      </c>
      <c r="J2905" t="s">
        <v>125</v>
      </c>
      <c r="K2905" t="s">
        <v>125</v>
      </c>
      <c r="L2905" t="s">
        <v>125</v>
      </c>
      <c r="M2905" t="s">
        <v>125</v>
      </c>
      <c r="N2905" t="s">
        <v>125</v>
      </c>
      <c r="O2905" t="s">
        <v>125</v>
      </c>
      <c r="P2905" t="s">
        <v>125</v>
      </c>
    </row>
    <row r="2906" spans="1:16" hidden="1" x14ac:dyDescent="0.25">
      <c r="A2906" t="s">
        <v>1560</v>
      </c>
      <c r="B2906" t="s">
        <v>35</v>
      </c>
      <c r="C2906" t="s">
        <v>36</v>
      </c>
      <c r="D2906" t="s">
        <v>110</v>
      </c>
      <c r="E2906" t="s">
        <v>1265</v>
      </c>
      <c r="F2906">
        <v>5</v>
      </c>
      <c r="G2906" s="6">
        <v>41247</v>
      </c>
      <c r="H2906">
        <v>49</v>
      </c>
      <c r="I2906">
        <v>2016</v>
      </c>
      <c r="J2906" t="s">
        <v>76</v>
      </c>
      <c r="K2906" t="s">
        <v>77</v>
      </c>
      <c r="L2906" t="s">
        <v>73</v>
      </c>
      <c r="M2906" t="s">
        <v>74</v>
      </c>
      <c r="N2906" t="s">
        <v>75</v>
      </c>
      <c r="O2906" t="s">
        <v>75</v>
      </c>
      <c r="P2906" t="s">
        <v>76</v>
      </c>
    </row>
    <row r="2907" spans="1:16" hidden="1" x14ac:dyDescent="0.25">
      <c r="A2907" t="s">
        <v>1561</v>
      </c>
      <c r="B2907" t="s">
        <v>58</v>
      </c>
      <c r="C2907" t="s">
        <v>59</v>
      </c>
      <c r="D2907" t="s">
        <v>129</v>
      </c>
      <c r="E2907" t="s">
        <v>1266</v>
      </c>
      <c r="F2907">
        <v>2</v>
      </c>
      <c r="G2907" s="6">
        <v>41247</v>
      </c>
      <c r="H2907">
        <v>49</v>
      </c>
      <c r="I2907">
        <v>2016</v>
      </c>
      <c r="J2907" t="s">
        <v>74</v>
      </c>
      <c r="K2907" t="s">
        <v>133</v>
      </c>
      <c r="L2907" t="s">
        <v>74</v>
      </c>
      <c r="M2907" t="s">
        <v>73</v>
      </c>
      <c r="N2907" t="s">
        <v>74</v>
      </c>
      <c r="O2907" t="s">
        <v>75</v>
      </c>
      <c r="P2907" t="s">
        <v>74</v>
      </c>
    </row>
    <row r="2908" spans="1:16" hidden="1" x14ac:dyDescent="0.25">
      <c r="A2908" t="s">
        <v>1562</v>
      </c>
      <c r="B2908" t="s">
        <v>37</v>
      </c>
      <c r="C2908" t="s">
        <v>38</v>
      </c>
      <c r="D2908" t="s">
        <v>111</v>
      </c>
      <c r="E2908" t="s">
        <v>1265</v>
      </c>
      <c r="F2908">
        <v>6</v>
      </c>
      <c r="G2908" s="6">
        <v>41247</v>
      </c>
      <c r="H2908">
        <v>49</v>
      </c>
      <c r="I2908">
        <v>2016</v>
      </c>
      <c r="J2908" t="s">
        <v>77</v>
      </c>
      <c r="K2908" t="s">
        <v>73</v>
      </c>
      <c r="L2908" t="s">
        <v>74</v>
      </c>
      <c r="M2908" t="s">
        <v>73</v>
      </c>
      <c r="N2908" t="s">
        <v>75</v>
      </c>
      <c r="O2908" t="s">
        <v>75</v>
      </c>
      <c r="P2908" t="s">
        <v>74</v>
      </c>
    </row>
    <row r="2909" spans="1:16" hidden="1" x14ac:dyDescent="0.25">
      <c r="A2909" t="s">
        <v>1563</v>
      </c>
      <c r="B2909" t="s">
        <v>39</v>
      </c>
      <c r="C2909" t="s">
        <v>40</v>
      </c>
      <c r="D2909" t="s">
        <v>112</v>
      </c>
      <c r="E2909" t="s">
        <v>1266</v>
      </c>
      <c r="F2909">
        <v>1</v>
      </c>
      <c r="G2909" s="6">
        <v>41247</v>
      </c>
      <c r="H2909">
        <v>49</v>
      </c>
      <c r="I2909">
        <v>2016</v>
      </c>
      <c r="J2909" t="s">
        <v>75</v>
      </c>
      <c r="K2909" t="s">
        <v>74</v>
      </c>
      <c r="L2909" t="s">
        <v>75</v>
      </c>
      <c r="M2909" t="s">
        <v>75</v>
      </c>
      <c r="N2909" t="s">
        <v>73</v>
      </c>
      <c r="O2909" t="s">
        <v>74</v>
      </c>
      <c r="P2909" t="s">
        <v>74</v>
      </c>
    </row>
    <row r="2910" spans="1:16" hidden="1" x14ac:dyDescent="0.25">
      <c r="A2910" t="s">
        <v>1564</v>
      </c>
      <c r="B2910" t="s">
        <v>41</v>
      </c>
      <c r="C2910" t="s">
        <v>42</v>
      </c>
      <c r="D2910" t="s">
        <v>113</v>
      </c>
      <c r="E2910" t="s">
        <v>1265</v>
      </c>
      <c r="F2910">
        <v>10</v>
      </c>
      <c r="G2910" s="6">
        <v>41247</v>
      </c>
      <c r="H2910">
        <v>49</v>
      </c>
      <c r="I2910">
        <v>2016</v>
      </c>
      <c r="J2910" t="s">
        <v>75</v>
      </c>
      <c r="K2910" t="s">
        <v>76</v>
      </c>
      <c r="L2910" t="s">
        <v>77</v>
      </c>
      <c r="M2910" t="s">
        <v>73</v>
      </c>
      <c r="N2910" t="s">
        <v>74</v>
      </c>
      <c r="O2910" t="s">
        <v>75</v>
      </c>
      <c r="P2910" t="s">
        <v>75</v>
      </c>
    </row>
    <row r="2911" spans="1:16" hidden="1" x14ac:dyDescent="0.25">
      <c r="A2911" t="s">
        <v>1565</v>
      </c>
      <c r="B2911" t="s">
        <v>43</v>
      </c>
      <c r="C2911" t="s">
        <v>44</v>
      </c>
      <c r="D2911" t="s">
        <v>114</v>
      </c>
      <c r="E2911" t="s">
        <v>1265</v>
      </c>
      <c r="F2911">
        <v>2</v>
      </c>
      <c r="G2911" s="6">
        <v>41247</v>
      </c>
      <c r="H2911">
        <v>49</v>
      </c>
      <c r="I2911">
        <v>2016</v>
      </c>
      <c r="J2911" t="s">
        <v>74</v>
      </c>
      <c r="K2911" t="s">
        <v>75</v>
      </c>
      <c r="L2911" t="s">
        <v>75</v>
      </c>
      <c r="M2911" t="s">
        <v>73</v>
      </c>
      <c r="N2911" t="s">
        <v>92</v>
      </c>
      <c r="O2911" t="s">
        <v>73</v>
      </c>
      <c r="P2911" t="s">
        <v>75</v>
      </c>
    </row>
    <row r="2912" spans="1:16" hidden="1" x14ac:dyDescent="0.25">
      <c r="A2912" t="s">
        <v>1566</v>
      </c>
      <c r="B2912" t="s">
        <v>45</v>
      </c>
      <c r="C2912" t="s">
        <v>46</v>
      </c>
      <c r="D2912" t="s">
        <v>115</v>
      </c>
      <c r="E2912" t="s">
        <v>1265</v>
      </c>
      <c r="F2912">
        <v>9</v>
      </c>
      <c r="G2912" s="6">
        <v>41247</v>
      </c>
      <c r="H2912">
        <v>49</v>
      </c>
      <c r="I2912">
        <v>2016</v>
      </c>
      <c r="J2912" t="s">
        <v>75</v>
      </c>
      <c r="K2912" t="s">
        <v>74</v>
      </c>
      <c r="L2912" t="s">
        <v>74</v>
      </c>
      <c r="M2912" t="s">
        <v>75</v>
      </c>
      <c r="N2912" t="s">
        <v>73</v>
      </c>
      <c r="O2912" t="s">
        <v>74</v>
      </c>
      <c r="P2912" t="s">
        <v>74</v>
      </c>
    </row>
    <row r="2913" spans="1:16" hidden="1" x14ac:dyDescent="0.25">
      <c r="A2913" t="s">
        <v>1567</v>
      </c>
      <c r="B2913" t="s">
        <v>47</v>
      </c>
      <c r="C2913" t="s">
        <v>48</v>
      </c>
      <c r="D2913" t="s">
        <v>116</v>
      </c>
      <c r="E2913" t="s">
        <v>1265</v>
      </c>
      <c r="F2913">
        <v>9</v>
      </c>
      <c r="G2913" s="6">
        <v>41247</v>
      </c>
      <c r="H2913">
        <v>49</v>
      </c>
      <c r="I2913">
        <v>2016</v>
      </c>
      <c r="J2913" t="s">
        <v>75</v>
      </c>
      <c r="K2913" t="s">
        <v>74</v>
      </c>
      <c r="L2913" t="s">
        <v>74</v>
      </c>
      <c r="M2913" t="s">
        <v>75</v>
      </c>
      <c r="N2913" t="s">
        <v>73</v>
      </c>
      <c r="O2913" t="s">
        <v>74</v>
      </c>
      <c r="P2913" t="s">
        <v>74</v>
      </c>
    </row>
    <row r="2914" spans="1:16" hidden="1" x14ac:dyDescent="0.25">
      <c r="A2914" t="s">
        <v>1568</v>
      </c>
      <c r="B2914" t="s">
        <v>49</v>
      </c>
      <c r="C2914" t="s">
        <v>50</v>
      </c>
      <c r="D2914" t="s">
        <v>117</v>
      </c>
      <c r="E2914" t="s">
        <v>1265</v>
      </c>
      <c r="F2914">
        <v>8</v>
      </c>
      <c r="G2914" s="6">
        <v>41247</v>
      </c>
      <c r="H2914">
        <v>49</v>
      </c>
      <c r="I2914">
        <v>2016</v>
      </c>
      <c r="J2914" t="s">
        <v>75</v>
      </c>
      <c r="K2914" t="s">
        <v>75</v>
      </c>
      <c r="L2914" t="s">
        <v>75</v>
      </c>
      <c r="M2914" t="s">
        <v>76</v>
      </c>
      <c r="N2914" t="s">
        <v>77</v>
      </c>
      <c r="O2914" t="s">
        <v>73</v>
      </c>
      <c r="P2914" t="s">
        <v>74</v>
      </c>
    </row>
    <row r="2915" spans="1:16" hidden="1" x14ac:dyDescent="0.25">
      <c r="A2915" t="s">
        <v>1569</v>
      </c>
      <c r="B2915" t="s">
        <v>51</v>
      </c>
      <c r="C2915" t="s">
        <v>52</v>
      </c>
      <c r="D2915" t="s">
        <v>118</v>
      </c>
      <c r="E2915" t="s">
        <v>1265</v>
      </c>
      <c r="F2915">
        <v>4</v>
      </c>
      <c r="G2915" s="6">
        <v>41247</v>
      </c>
      <c r="H2915">
        <v>49</v>
      </c>
      <c r="I2915">
        <v>2016</v>
      </c>
      <c r="J2915" t="s">
        <v>74</v>
      </c>
      <c r="K2915" t="s">
        <v>75</v>
      </c>
      <c r="L2915" t="s">
        <v>74</v>
      </c>
      <c r="M2915" t="s">
        <v>73</v>
      </c>
      <c r="N2915" t="s">
        <v>74</v>
      </c>
      <c r="O2915" t="s">
        <v>74</v>
      </c>
      <c r="P2915" t="s">
        <v>75</v>
      </c>
    </row>
    <row r="2916" spans="1:16" hidden="1" x14ac:dyDescent="0.25">
      <c r="A2916" t="s">
        <v>1570</v>
      </c>
      <c r="B2916" t="s">
        <v>53</v>
      </c>
      <c r="C2916" t="s">
        <v>54</v>
      </c>
      <c r="D2916" t="s">
        <v>119</v>
      </c>
      <c r="E2916" t="s">
        <v>1266</v>
      </c>
      <c r="F2916">
        <v>6</v>
      </c>
      <c r="G2916" s="6">
        <v>41247</v>
      </c>
      <c r="H2916">
        <v>49</v>
      </c>
      <c r="I2916">
        <v>2016</v>
      </c>
      <c r="J2916" t="s">
        <v>75</v>
      </c>
      <c r="K2916" t="s">
        <v>74</v>
      </c>
      <c r="L2916" t="s">
        <v>75</v>
      </c>
      <c r="M2916" t="s">
        <v>74</v>
      </c>
      <c r="N2916" t="s">
        <v>75</v>
      </c>
      <c r="O2916" t="s">
        <v>73</v>
      </c>
      <c r="P2916" t="s">
        <v>75</v>
      </c>
    </row>
    <row r="2917" spans="1:16" hidden="1" x14ac:dyDescent="0.25">
      <c r="A2917" t="s">
        <v>1571</v>
      </c>
      <c r="B2917" t="s">
        <v>1272</v>
      </c>
      <c r="C2917" t="s">
        <v>131</v>
      </c>
      <c r="D2917" t="s">
        <v>1275</v>
      </c>
      <c r="E2917" t="s">
        <v>1266</v>
      </c>
      <c r="F2917">
        <v>2</v>
      </c>
      <c r="G2917" s="6">
        <v>41247</v>
      </c>
      <c r="H2917">
        <v>49</v>
      </c>
      <c r="I2917">
        <v>2016</v>
      </c>
      <c r="J2917" t="s">
        <v>74</v>
      </c>
      <c r="K2917" t="s">
        <v>133</v>
      </c>
      <c r="L2917" t="s">
        <v>73</v>
      </c>
      <c r="M2917" t="s">
        <v>74</v>
      </c>
      <c r="N2917" t="s">
        <v>74</v>
      </c>
      <c r="O2917" t="s">
        <v>75</v>
      </c>
      <c r="P2917" t="s">
        <v>74</v>
      </c>
    </row>
    <row r="2918" spans="1:16" hidden="1" x14ac:dyDescent="0.25">
      <c r="A2918" t="s">
        <v>1572</v>
      </c>
      <c r="B2918" t="s">
        <v>1273</v>
      </c>
      <c r="C2918" t="s">
        <v>131</v>
      </c>
      <c r="D2918" t="s">
        <v>1277</v>
      </c>
      <c r="E2918" t="s">
        <v>1266</v>
      </c>
      <c r="F2918">
        <v>5</v>
      </c>
      <c r="G2918" s="6">
        <v>41247</v>
      </c>
      <c r="H2918">
        <v>49</v>
      </c>
      <c r="I2918">
        <v>2016</v>
      </c>
      <c r="J2918" t="s">
        <v>73</v>
      </c>
      <c r="K2918" t="s">
        <v>75</v>
      </c>
      <c r="L2918" t="s">
        <v>133</v>
      </c>
      <c r="M2918" t="s">
        <v>74</v>
      </c>
      <c r="N2918" t="s">
        <v>75</v>
      </c>
      <c r="O2918" t="s">
        <v>75</v>
      </c>
      <c r="P2918" t="s">
        <v>73</v>
      </c>
    </row>
    <row r="2919" spans="1:16" hidden="1" x14ac:dyDescent="0.25">
      <c r="A2919" t="s">
        <v>1573</v>
      </c>
      <c r="B2919" t="s">
        <v>1274</v>
      </c>
      <c r="C2919" t="s">
        <v>131</v>
      </c>
      <c r="D2919" t="s">
        <v>1278</v>
      </c>
      <c r="E2919" t="s">
        <v>1266</v>
      </c>
      <c r="F2919">
        <v>3</v>
      </c>
      <c r="G2919" s="6">
        <v>41247</v>
      </c>
      <c r="H2919">
        <v>49</v>
      </c>
      <c r="I2919">
        <v>2016</v>
      </c>
      <c r="J2919" t="s">
        <v>74</v>
      </c>
      <c r="K2919" t="s">
        <v>74</v>
      </c>
      <c r="L2919" t="s">
        <v>73</v>
      </c>
      <c r="M2919" t="s">
        <v>75</v>
      </c>
      <c r="N2919" t="s">
        <v>75</v>
      </c>
      <c r="O2919" t="s">
        <v>74</v>
      </c>
      <c r="P2919" t="s">
        <v>75</v>
      </c>
    </row>
    <row r="2920" spans="1:16" hidden="1" x14ac:dyDescent="0.25">
      <c r="A2920" t="s">
        <v>1574</v>
      </c>
      <c r="B2920" t="s">
        <v>1279</v>
      </c>
      <c r="C2920" t="s">
        <v>1280</v>
      </c>
      <c r="D2920" t="s">
        <v>1276</v>
      </c>
      <c r="E2920" t="s">
        <v>1266</v>
      </c>
      <c r="F2920">
        <v>4</v>
      </c>
      <c r="G2920" s="6">
        <v>41247</v>
      </c>
      <c r="H2920">
        <v>49</v>
      </c>
      <c r="I2920">
        <v>2016</v>
      </c>
      <c r="J2920" t="s">
        <v>75</v>
      </c>
      <c r="K2920" t="s">
        <v>73</v>
      </c>
      <c r="L2920" t="s">
        <v>74</v>
      </c>
      <c r="M2920" t="s">
        <v>75</v>
      </c>
      <c r="N2920" t="s">
        <v>74</v>
      </c>
      <c r="O2920" t="s">
        <v>75</v>
      </c>
      <c r="P2920" t="s">
        <v>75</v>
      </c>
    </row>
    <row r="2921" spans="1:16" hidden="1" x14ac:dyDescent="0.25">
      <c r="A2921" t="s">
        <v>1575</v>
      </c>
      <c r="B2921" t="s">
        <v>3</v>
      </c>
      <c r="C2921" t="s">
        <v>4</v>
      </c>
      <c r="D2921" t="s">
        <v>90</v>
      </c>
      <c r="E2921" t="s">
        <v>1265</v>
      </c>
      <c r="F2921">
        <v>11</v>
      </c>
      <c r="G2921" s="6">
        <v>41254</v>
      </c>
      <c r="H2921">
        <v>50</v>
      </c>
      <c r="I2921">
        <v>2016</v>
      </c>
      <c r="J2921" t="s">
        <v>75</v>
      </c>
      <c r="K2921" t="s">
        <v>75</v>
      </c>
      <c r="L2921" t="s">
        <v>73</v>
      </c>
      <c r="M2921" t="s">
        <v>75</v>
      </c>
      <c r="N2921" t="s">
        <v>75</v>
      </c>
      <c r="O2921" t="s">
        <v>76</v>
      </c>
      <c r="P2921" t="s">
        <v>77</v>
      </c>
    </row>
    <row r="2922" spans="1:16" hidden="1" x14ac:dyDescent="0.25">
      <c r="A2922" t="s">
        <v>1576</v>
      </c>
      <c r="B2922" t="s">
        <v>5</v>
      </c>
      <c r="C2922" t="s">
        <v>6</v>
      </c>
      <c r="D2922" t="s">
        <v>93</v>
      </c>
      <c r="E2922" t="s">
        <v>1265</v>
      </c>
      <c r="F2922">
        <v>1</v>
      </c>
      <c r="G2922" s="6">
        <v>41254</v>
      </c>
      <c r="H2922">
        <v>50</v>
      </c>
      <c r="I2922">
        <v>2016</v>
      </c>
      <c r="J2922" t="s">
        <v>73</v>
      </c>
      <c r="K2922" t="s">
        <v>74</v>
      </c>
      <c r="L2922" t="s">
        <v>74</v>
      </c>
      <c r="M2922" t="s">
        <v>75</v>
      </c>
      <c r="N2922" t="s">
        <v>76</v>
      </c>
      <c r="O2922" t="s">
        <v>77</v>
      </c>
      <c r="P2922" t="s">
        <v>73</v>
      </c>
    </row>
    <row r="2923" spans="1:16" hidden="1" x14ac:dyDescent="0.25">
      <c r="A2923" t="s">
        <v>1577</v>
      </c>
      <c r="B2923" t="s">
        <v>7</v>
      </c>
      <c r="C2923" t="s">
        <v>8</v>
      </c>
      <c r="D2923" t="s">
        <v>94</v>
      </c>
      <c r="E2923" t="s">
        <v>1265</v>
      </c>
      <c r="F2923">
        <v>6</v>
      </c>
      <c r="G2923" s="6">
        <v>41254</v>
      </c>
      <c r="H2923">
        <v>50</v>
      </c>
      <c r="I2923">
        <v>2016</v>
      </c>
      <c r="J2923" t="s">
        <v>77</v>
      </c>
      <c r="K2923" t="s">
        <v>73</v>
      </c>
      <c r="L2923" t="s">
        <v>74</v>
      </c>
      <c r="M2923" t="s">
        <v>74</v>
      </c>
      <c r="N2923" t="s">
        <v>74</v>
      </c>
      <c r="O2923" t="s">
        <v>75</v>
      </c>
      <c r="P2923" t="s">
        <v>92</v>
      </c>
    </row>
    <row r="2924" spans="1:16" hidden="1" x14ac:dyDescent="0.25">
      <c r="A2924" t="s">
        <v>1578</v>
      </c>
      <c r="B2924" t="s">
        <v>9</v>
      </c>
      <c r="C2924" t="s">
        <v>10</v>
      </c>
      <c r="D2924" t="s">
        <v>96</v>
      </c>
      <c r="E2924" t="s">
        <v>1265</v>
      </c>
      <c r="F2924">
        <v>7</v>
      </c>
      <c r="G2924" s="6">
        <v>41254</v>
      </c>
      <c r="H2924">
        <v>50</v>
      </c>
      <c r="I2924">
        <v>2016</v>
      </c>
      <c r="J2924" t="s">
        <v>73</v>
      </c>
      <c r="K2924" t="s">
        <v>92</v>
      </c>
      <c r="L2924" t="s">
        <v>92</v>
      </c>
      <c r="M2924" t="s">
        <v>74</v>
      </c>
      <c r="N2924" t="s">
        <v>74</v>
      </c>
      <c r="O2924" t="s">
        <v>75</v>
      </c>
      <c r="P2924" t="s">
        <v>73</v>
      </c>
    </row>
    <row r="2925" spans="1:16" hidden="1" x14ac:dyDescent="0.25">
      <c r="A2925" t="s">
        <v>1579</v>
      </c>
      <c r="B2925" t="s">
        <v>11</v>
      </c>
      <c r="C2925" t="s">
        <v>12</v>
      </c>
      <c r="D2925" t="s">
        <v>97</v>
      </c>
      <c r="E2925" t="s">
        <v>1265</v>
      </c>
      <c r="F2925">
        <v>8</v>
      </c>
      <c r="G2925" s="6">
        <v>41254</v>
      </c>
      <c r="H2925">
        <v>50</v>
      </c>
      <c r="I2925">
        <v>2016</v>
      </c>
      <c r="J2925" t="s">
        <v>75</v>
      </c>
      <c r="K2925" t="s">
        <v>75</v>
      </c>
      <c r="L2925" t="s">
        <v>75</v>
      </c>
      <c r="M2925" t="s">
        <v>76</v>
      </c>
      <c r="N2925" t="s">
        <v>77</v>
      </c>
      <c r="O2925" t="s">
        <v>73</v>
      </c>
      <c r="P2925" t="s">
        <v>74</v>
      </c>
    </row>
    <row r="2926" spans="1:16" hidden="1" x14ac:dyDescent="0.25">
      <c r="A2926" t="s">
        <v>1580</v>
      </c>
      <c r="B2926" t="s">
        <v>13</v>
      </c>
      <c r="C2926" t="s">
        <v>14</v>
      </c>
      <c r="D2926" t="s">
        <v>120</v>
      </c>
      <c r="E2926" t="s">
        <v>1303</v>
      </c>
      <c r="F2926">
        <v>1</v>
      </c>
      <c r="G2926" s="6">
        <v>41254</v>
      </c>
      <c r="H2926">
        <v>50</v>
      </c>
      <c r="I2926">
        <v>2016</v>
      </c>
      <c r="J2926" t="s">
        <v>125</v>
      </c>
      <c r="K2926" t="s">
        <v>125</v>
      </c>
      <c r="L2926" t="s">
        <v>125</v>
      </c>
      <c r="M2926" t="s">
        <v>125</v>
      </c>
      <c r="N2926" t="s">
        <v>125</v>
      </c>
      <c r="O2926" t="s">
        <v>125</v>
      </c>
      <c r="P2926" t="s">
        <v>125</v>
      </c>
    </row>
    <row r="2927" spans="1:16" hidden="1" x14ac:dyDescent="0.25">
      <c r="A2927" t="s">
        <v>1581</v>
      </c>
      <c r="B2927" t="s">
        <v>13</v>
      </c>
      <c r="C2927" t="s">
        <v>15</v>
      </c>
      <c r="D2927" t="s">
        <v>98</v>
      </c>
      <c r="E2927" t="s">
        <v>1266</v>
      </c>
      <c r="F2927">
        <v>3</v>
      </c>
      <c r="G2927" s="6">
        <v>41254</v>
      </c>
      <c r="H2927">
        <v>50</v>
      </c>
      <c r="I2927">
        <v>2016</v>
      </c>
      <c r="J2927" t="s">
        <v>75</v>
      </c>
      <c r="K2927" t="s">
        <v>74</v>
      </c>
      <c r="L2927" t="s">
        <v>73</v>
      </c>
      <c r="M2927" t="s">
        <v>133</v>
      </c>
      <c r="N2927" t="s">
        <v>74</v>
      </c>
      <c r="O2927" t="s">
        <v>74</v>
      </c>
      <c r="P2927" t="s">
        <v>76</v>
      </c>
    </row>
    <row r="2928" spans="1:16" hidden="1" x14ac:dyDescent="0.25">
      <c r="A2928" t="s">
        <v>1582</v>
      </c>
      <c r="B2928" t="s">
        <v>16</v>
      </c>
      <c r="C2928" t="s">
        <v>17</v>
      </c>
      <c r="D2928" t="s">
        <v>99</v>
      </c>
      <c r="E2928" t="s">
        <v>1265</v>
      </c>
      <c r="F2928">
        <v>2</v>
      </c>
      <c r="G2928" s="6">
        <v>41254</v>
      </c>
      <c r="H2928">
        <v>50</v>
      </c>
      <c r="I2928">
        <v>2016</v>
      </c>
      <c r="J2928" t="s">
        <v>75</v>
      </c>
      <c r="K2928" t="s">
        <v>75</v>
      </c>
      <c r="L2928" t="s">
        <v>75</v>
      </c>
      <c r="M2928" t="s">
        <v>75</v>
      </c>
      <c r="N2928" t="s">
        <v>75</v>
      </c>
      <c r="O2928" t="s">
        <v>73</v>
      </c>
      <c r="P2928" t="s">
        <v>74</v>
      </c>
    </row>
    <row r="2929" spans="1:16" hidden="1" x14ac:dyDescent="0.25">
      <c r="A2929" t="s">
        <v>1583</v>
      </c>
      <c r="B2929" t="s">
        <v>18</v>
      </c>
      <c r="C2929" t="s">
        <v>19</v>
      </c>
      <c r="D2929" t="s">
        <v>100</v>
      </c>
      <c r="E2929" t="s">
        <v>1265</v>
      </c>
      <c r="F2929">
        <v>4</v>
      </c>
      <c r="G2929" s="6">
        <v>41254</v>
      </c>
      <c r="H2929">
        <v>50</v>
      </c>
      <c r="I2929">
        <v>2016</v>
      </c>
      <c r="J2929" t="s">
        <v>74</v>
      </c>
      <c r="K2929" t="s">
        <v>75</v>
      </c>
      <c r="L2929" t="s">
        <v>74</v>
      </c>
      <c r="M2929" t="s">
        <v>73</v>
      </c>
      <c r="N2929" t="s">
        <v>74</v>
      </c>
      <c r="O2929" t="s">
        <v>74</v>
      </c>
      <c r="P2929" t="s">
        <v>75</v>
      </c>
    </row>
    <row r="2930" spans="1:16" hidden="1" x14ac:dyDescent="0.25">
      <c r="A2930" t="s">
        <v>1584</v>
      </c>
      <c r="B2930" t="s">
        <v>20</v>
      </c>
      <c r="C2930" t="s">
        <v>21</v>
      </c>
      <c r="D2930" t="s">
        <v>101</v>
      </c>
      <c r="E2930" t="s">
        <v>1265</v>
      </c>
      <c r="F2930">
        <v>3</v>
      </c>
      <c r="G2930" s="6">
        <v>41254</v>
      </c>
      <c r="H2930">
        <v>50</v>
      </c>
      <c r="I2930">
        <v>2016</v>
      </c>
      <c r="J2930" t="s">
        <v>74</v>
      </c>
      <c r="K2930" t="s">
        <v>75</v>
      </c>
      <c r="L2930" t="s">
        <v>76</v>
      </c>
      <c r="M2930" t="s">
        <v>77</v>
      </c>
      <c r="N2930" t="s">
        <v>73</v>
      </c>
      <c r="O2930" t="s">
        <v>74</v>
      </c>
      <c r="P2930" t="s">
        <v>75</v>
      </c>
    </row>
    <row r="2931" spans="1:16" hidden="1" x14ac:dyDescent="0.25">
      <c r="A2931" t="s">
        <v>1585</v>
      </c>
      <c r="B2931" t="s">
        <v>22</v>
      </c>
      <c r="C2931" t="s">
        <v>17</v>
      </c>
      <c r="D2931" t="s">
        <v>102</v>
      </c>
      <c r="E2931" t="s">
        <v>1266</v>
      </c>
      <c r="F2931">
        <v>6</v>
      </c>
      <c r="G2931" s="6">
        <v>41254</v>
      </c>
      <c r="H2931">
        <v>50</v>
      </c>
      <c r="I2931">
        <v>2016</v>
      </c>
      <c r="J2931" t="s">
        <v>75</v>
      </c>
      <c r="K2931" t="s">
        <v>74</v>
      </c>
      <c r="L2931" t="s">
        <v>75</v>
      </c>
      <c r="M2931" t="s">
        <v>76</v>
      </c>
      <c r="N2931" t="s">
        <v>77</v>
      </c>
      <c r="O2931" t="s">
        <v>73</v>
      </c>
      <c r="P2931" t="s">
        <v>75</v>
      </c>
    </row>
    <row r="2932" spans="1:16" hidden="1" x14ac:dyDescent="0.25">
      <c r="A2932" t="s">
        <v>1586</v>
      </c>
      <c r="B2932" t="s">
        <v>23</v>
      </c>
      <c r="C2932" t="s">
        <v>24</v>
      </c>
      <c r="D2932" t="s">
        <v>103</v>
      </c>
      <c r="E2932" t="s">
        <v>1266</v>
      </c>
      <c r="F2932">
        <v>1</v>
      </c>
      <c r="G2932" s="6">
        <v>41254</v>
      </c>
      <c r="H2932">
        <v>50</v>
      </c>
      <c r="I2932">
        <v>2016</v>
      </c>
      <c r="J2932" t="s">
        <v>75</v>
      </c>
      <c r="K2932" t="s">
        <v>74</v>
      </c>
      <c r="L2932" t="s">
        <v>75</v>
      </c>
      <c r="M2932" t="s">
        <v>75</v>
      </c>
      <c r="N2932" t="s">
        <v>73</v>
      </c>
      <c r="O2932" t="s">
        <v>133</v>
      </c>
      <c r="P2932" t="s">
        <v>74</v>
      </c>
    </row>
    <row r="2933" spans="1:16" hidden="1" x14ac:dyDescent="0.25">
      <c r="A2933" t="s">
        <v>1587</v>
      </c>
      <c r="B2933" t="s">
        <v>23</v>
      </c>
      <c r="C2933" t="s">
        <v>55</v>
      </c>
      <c r="D2933" t="s">
        <v>126</v>
      </c>
      <c r="E2933" t="s">
        <v>1265</v>
      </c>
      <c r="F2933">
        <v>2</v>
      </c>
      <c r="G2933" s="6">
        <v>41254</v>
      </c>
      <c r="H2933">
        <v>50</v>
      </c>
      <c r="I2933">
        <v>2016</v>
      </c>
      <c r="J2933" t="s">
        <v>74</v>
      </c>
      <c r="K2933" t="s">
        <v>75</v>
      </c>
      <c r="L2933" t="s">
        <v>75</v>
      </c>
      <c r="M2933" t="s">
        <v>75</v>
      </c>
      <c r="N2933" t="s">
        <v>75</v>
      </c>
      <c r="O2933" t="s">
        <v>73</v>
      </c>
      <c r="P2933" t="s">
        <v>75</v>
      </c>
    </row>
    <row r="2934" spans="1:16" hidden="1" x14ac:dyDescent="0.25">
      <c r="A2934" t="s">
        <v>1588</v>
      </c>
      <c r="B2934" t="s">
        <v>25</v>
      </c>
      <c r="C2934" t="s">
        <v>131</v>
      </c>
      <c r="D2934" t="s">
        <v>104</v>
      </c>
      <c r="E2934" t="s">
        <v>1265</v>
      </c>
      <c r="F2934">
        <v>5</v>
      </c>
      <c r="G2934" s="6">
        <v>41254</v>
      </c>
      <c r="H2934">
        <v>50</v>
      </c>
      <c r="I2934">
        <v>2016</v>
      </c>
      <c r="J2934" t="s">
        <v>76</v>
      </c>
      <c r="K2934" t="s">
        <v>77</v>
      </c>
      <c r="L2934" t="s">
        <v>73</v>
      </c>
      <c r="M2934" t="s">
        <v>74</v>
      </c>
      <c r="N2934" t="s">
        <v>75</v>
      </c>
      <c r="O2934" t="s">
        <v>75</v>
      </c>
      <c r="P2934" t="s">
        <v>92</v>
      </c>
    </row>
    <row r="2935" spans="1:16" hidden="1" x14ac:dyDescent="0.25">
      <c r="A2935" t="s">
        <v>1589</v>
      </c>
      <c r="B2935" t="s">
        <v>56</v>
      </c>
      <c r="C2935" t="s">
        <v>57</v>
      </c>
      <c r="D2935" t="s">
        <v>128</v>
      </c>
      <c r="E2935" t="s">
        <v>1265</v>
      </c>
      <c r="F2935">
        <v>8</v>
      </c>
      <c r="G2935" s="6">
        <v>41254</v>
      </c>
      <c r="H2935">
        <v>50</v>
      </c>
      <c r="I2935">
        <v>2016</v>
      </c>
      <c r="J2935" t="s">
        <v>75</v>
      </c>
      <c r="K2935" t="s">
        <v>74</v>
      </c>
      <c r="L2935" t="s">
        <v>75</v>
      </c>
      <c r="M2935" t="s">
        <v>74</v>
      </c>
      <c r="N2935" t="s">
        <v>75</v>
      </c>
      <c r="O2935" t="s">
        <v>73</v>
      </c>
      <c r="P2935" t="s">
        <v>74</v>
      </c>
    </row>
    <row r="2936" spans="1:16" hidden="1" x14ac:dyDescent="0.25">
      <c r="A2936" t="s">
        <v>1590</v>
      </c>
      <c r="B2936" t="s">
        <v>26</v>
      </c>
      <c r="C2936" t="s">
        <v>27</v>
      </c>
      <c r="D2936" t="s">
        <v>105</v>
      </c>
      <c r="E2936" t="s">
        <v>1265</v>
      </c>
      <c r="F2936">
        <v>9</v>
      </c>
      <c r="G2936" s="6">
        <v>41254</v>
      </c>
      <c r="H2936">
        <v>50</v>
      </c>
      <c r="I2936">
        <v>2016</v>
      </c>
      <c r="J2936" t="s">
        <v>75</v>
      </c>
      <c r="K2936" t="s">
        <v>75</v>
      </c>
      <c r="L2936" t="s">
        <v>74</v>
      </c>
      <c r="M2936" t="s">
        <v>75</v>
      </c>
      <c r="N2936" t="s">
        <v>73</v>
      </c>
      <c r="O2936" t="s">
        <v>75</v>
      </c>
      <c r="P2936" t="s">
        <v>74</v>
      </c>
    </row>
    <row r="2937" spans="1:16" hidden="1" x14ac:dyDescent="0.25">
      <c r="A2937" t="s">
        <v>1591</v>
      </c>
      <c r="B2937" t="s">
        <v>28</v>
      </c>
      <c r="C2937" t="s">
        <v>29</v>
      </c>
      <c r="D2937" t="s">
        <v>106</v>
      </c>
      <c r="E2937" t="s">
        <v>1265</v>
      </c>
      <c r="F2937">
        <v>4</v>
      </c>
      <c r="G2937" s="6">
        <v>41254</v>
      </c>
      <c r="H2937">
        <v>50</v>
      </c>
      <c r="I2937">
        <v>2016</v>
      </c>
      <c r="J2937" t="s">
        <v>74</v>
      </c>
      <c r="K2937" t="s">
        <v>75</v>
      </c>
      <c r="L2937" t="s">
        <v>133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1592</v>
      </c>
      <c r="B2938" t="s">
        <v>30</v>
      </c>
      <c r="C2938" t="s">
        <v>8</v>
      </c>
      <c r="D2938" t="s">
        <v>107</v>
      </c>
      <c r="E2938" t="s">
        <v>1266</v>
      </c>
      <c r="F2938">
        <v>3</v>
      </c>
      <c r="G2938" s="6">
        <v>41254</v>
      </c>
      <c r="H2938">
        <v>50</v>
      </c>
      <c r="I2938">
        <v>2016</v>
      </c>
      <c r="J2938" t="s">
        <v>73</v>
      </c>
      <c r="K2938" t="s">
        <v>75</v>
      </c>
      <c r="L2938" t="s">
        <v>75</v>
      </c>
      <c r="M2938" t="s">
        <v>75</v>
      </c>
      <c r="N2938" t="s">
        <v>73</v>
      </c>
      <c r="O2938" t="s">
        <v>1281</v>
      </c>
      <c r="P2938" t="s">
        <v>75</v>
      </c>
    </row>
    <row r="2939" spans="1:16" hidden="1" x14ac:dyDescent="0.25">
      <c r="A2939" t="s">
        <v>1593</v>
      </c>
      <c r="B2939" t="s">
        <v>30</v>
      </c>
      <c r="C2939" t="s">
        <v>31</v>
      </c>
      <c r="D2939" t="s">
        <v>108</v>
      </c>
      <c r="E2939" t="s">
        <v>1265</v>
      </c>
      <c r="F2939">
        <v>1</v>
      </c>
      <c r="G2939" s="6">
        <v>41254</v>
      </c>
      <c r="H2939">
        <v>50</v>
      </c>
      <c r="I2939">
        <v>2016</v>
      </c>
      <c r="J2939" t="s">
        <v>73</v>
      </c>
      <c r="K2939" t="s">
        <v>125</v>
      </c>
      <c r="L2939" t="s">
        <v>125</v>
      </c>
      <c r="M2939" t="s">
        <v>125</v>
      </c>
      <c r="N2939" t="s">
        <v>125</v>
      </c>
      <c r="O2939" t="s">
        <v>125</v>
      </c>
      <c r="P2939" t="s">
        <v>73</v>
      </c>
    </row>
    <row r="2940" spans="1:16" hidden="1" x14ac:dyDescent="0.25">
      <c r="A2940" t="s">
        <v>1594</v>
      </c>
      <c r="B2940" t="s">
        <v>32</v>
      </c>
      <c r="C2940" t="s">
        <v>33</v>
      </c>
      <c r="D2940" t="s">
        <v>109</v>
      </c>
      <c r="E2940" t="s">
        <v>1266</v>
      </c>
      <c r="F2940">
        <v>5</v>
      </c>
      <c r="G2940" s="6">
        <v>41254</v>
      </c>
      <c r="H2940">
        <v>50</v>
      </c>
      <c r="I2940">
        <v>2016</v>
      </c>
      <c r="J2940" t="s">
        <v>73</v>
      </c>
      <c r="K2940" t="s">
        <v>75</v>
      </c>
      <c r="L2940" t="s">
        <v>75</v>
      </c>
      <c r="M2940" t="s">
        <v>75</v>
      </c>
      <c r="N2940" t="s">
        <v>75</v>
      </c>
      <c r="O2940" t="s">
        <v>75</v>
      </c>
      <c r="P2940" t="s">
        <v>73</v>
      </c>
    </row>
    <row r="2941" spans="1:16" hidden="1" x14ac:dyDescent="0.25">
      <c r="A2941" t="s">
        <v>1595</v>
      </c>
      <c r="B2941" t="s">
        <v>32</v>
      </c>
      <c r="C2941" t="s">
        <v>34</v>
      </c>
      <c r="D2941" t="s">
        <v>122</v>
      </c>
      <c r="E2941" t="s">
        <v>1303</v>
      </c>
      <c r="F2941">
        <v>1</v>
      </c>
      <c r="G2941" s="6">
        <v>41254</v>
      </c>
      <c r="H2941">
        <v>50</v>
      </c>
      <c r="I2941">
        <v>2016</v>
      </c>
      <c r="J2941" t="s">
        <v>125</v>
      </c>
      <c r="K2941" t="s">
        <v>125</v>
      </c>
      <c r="L2941" t="s">
        <v>125</v>
      </c>
      <c r="M2941" t="s">
        <v>125</v>
      </c>
      <c r="N2941" t="s">
        <v>125</v>
      </c>
      <c r="O2941" t="s">
        <v>125</v>
      </c>
      <c r="P2941" t="s">
        <v>125</v>
      </c>
    </row>
    <row r="2942" spans="1:16" hidden="1" x14ac:dyDescent="0.25">
      <c r="A2942" t="s">
        <v>1596</v>
      </c>
      <c r="B2942" t="s">
        <v>35</v>
      </c>
      <c r="C2942" t="s">
        <v>36</v>
      </c>
      <c r="D2942" t="s">
        <v>110</v>
      </c>
      <c r="E2942" t="s">
        <v>1265</v>
      </c>
      <c r="F2942">
        <v>6</v>
      </c>
      <c r="G2942" s="6">
        <v>41254</v>
      </c>
      <c r="H2942">
        <v>50</v>
      </c>
      <c r="I2942">
        <v>2016</v>
      </c>
      <c r="J2942" t="s">
        <v>77</v>
      </c>
      <c r="K2942" t="s">
        <v>73</v>
      </c>
      <c r="L2942" t="s">
        <v>74</v>
      </c>
      <c r="M2942" t="s">
        <v>74</v>
      </c>
      <c r="N2942" t="s">
        <v>75</v>
      </c>
      <c r="O2942" t="s">
        <v>75</v>
      </c>
      <c r="P2942" t="s">
        <v>133</v>
      </c>
    </row>
    <row r="2943" spans="1:16" hidden="1" x14ac:dyDescent="0.25">
      <c r="A2943" t="s">
        <v>1597</v>
      </c>
      <c r="B2943" t="s">
        <v>58</v>
      </c>
      <c r="C2943" t="s">
        <v>59</v>
      </c>
      <c r="D2943" t="s">
        <v>129</v>
      </c>
      <c r="E2943" t="s">
        <v>1266</v>
      </c>
      <c r="F2943">
        <v>3</v>
      </c>
      <c r="G2943" s="6">
        <v>41254</v>
      </c>
      <c r="H2943">
        <v>50</v>
      </c>
      <c r="I2943">
        <v>2016</v>
      </c>
      <c r="J2943" t="s">
        <v>74</v>
      </c>
      <c r="K2943" t="s">
        <v>75</v>
      </c>
      <c r="L2943" t="s">
        <v>73</v>
      </c>
      <c r="M2943" t="s">
        <v>133</v>
      </c>
      <c r="N2943" t="s">
        <v>75</v>
      </c>
      <c r="O2943" t="s">
        <v>74</v>
      </c>
      <c r="P2943" t="s">
        <v>75</v>
      </c>
    </row>
    <row r="2944" spans="1:16" hidden="1" x14ac:dyDescent="0.25">
      <c r="A2944" t="s">
        <v>1598</v>
      </c>
      <c r="B2944" t="s">
        <v>37</v>
      </c>
      <c r="C2944" t="s">
        <v>38</v>
      </c>
      <c r="D2944" t="s">
        <v>111</v>
      </c>
      <c r="E2944" t="s">
        <v>1265</v>
      </c>
      <c r="F2944">
        <v>7</v>
      </c>
      <c r="G2944" s="6">
        <v>41254</v>
      </c>
      <c r="H2944">
        <v>50</v>
      </c>
      <c r="I2944">
        <v>2016</v>
      </c>
      <c r="J2944" t="s">
        <v>73</v>
      </c>
      <c r="K2944" t="s">
        <v>75</v>
      </c>
      <c r="L2944" t="s">
        <v>75</v>
      </c>
      <c r="M2944" t="s">
        <v>74</v>
      </c>
      <c r="N2944" t="s">
        <v>76</v>
      </c>
      <c r="O2944" t="s">
        <v>77</v>
      </c>
      <c r="P2944" t="s">
        <v>73</v>
      </c>
    </row>
    <row r="2945" spans="1:16" hidden="1" x14ac:dyDescent="0.25">
      <c r="A2945" t="s">
        <v>1599</v>
      </c>
      <c r="B2945" t="s">
        <v>39</v>
      </c>
      <c r="C2945" t="s">
        <v>40</v>
      </c>
      <c r="D2945" t="s">
        <v>112</v>
      </c>
      <c r="E2945" t="s">
        <v>1266</v>
      </c>
      <c r="F2945">
        <v>2</v>
      </c>
      <c r="G2945" s="6">
        <v>41254</v>
      </c>
      <c r="H2945">
        <v>50</v>
      </c>
      <c r="I2945">
        <v>2016</v>
      </c>
      <c r="J2945" t="s">
        <v>74</v>
      </c>
      <c r="K2945" t="s">
        <v>75</v>
      </c>
      <c r="L2945" t="s">
        <v>74</v>
      </c>
      <c r="M2945" t="s">
        <v>73</v>
      </c>
      <c r="N2945" t="s">
        <v>133</v>
      </c>
      <c r="O2945" t="s">
        <v>75</v>
      </c>
      <c r="P2945" t="s">
        <v>74</v>
      </c>
    </row>
    <row r="2946" spans="1:16" hidden="1" x14ac:dyDescent="0.25">
      <c r="A2946" t="s">
        <v>1600</v>
      </c>
      <c r="B2946" t="s">
        <v>41</v>
      </c>
      <c r="C2946" t="s">
        <v>42</v>
      </c>
      <c r="D2946" t="s">
        <v>113</v>
      </c>
      <c r="E2946" t="s">
        <v>1265</v>
      </c>
      <c r="F2946">
        <v>11</v>
      </c>
      <c r="G2946" s="6">
        <v>41254</v>
      </c>
      <c r="H2946">
        <v>50</v>
      </c>
      <c r="I2946">
        <v>2016</v>
      </c>
      <c r="J2946" t="s">
        <v>75</v>
      </c>
      <c r="K2946" t="s">
        <v>73</v>
      </c>
      <c r="L2946" t="s">
        <v>75</v>
      </c>
      <c r="M2946" t="s">
        <v>75</v>
      </c>
      <c r="N2946" t="s">
        <v>75</v>
      </c>
      <c r="O2946" t="s">
        <v>76</v>
      </c>
      <c r="P2946" t="s">
        <v>77</v>
      </c>
    </row>
    <row r="2947" spans="1:16" hidden="1" x14ac:dyDescent="0.25">
      <c r="A2947" t="s">
        <v>1601</v>
      </c>
      <c r="B2947" t="s">
        <v>43</v>
      </c>
      <c r="C2947" t="s">
        <v>44</v>
      </c>
      <c r="D2947" t="s">
        <v>114</v>
      </c>
      <c r="E2947" t="s">
        <v>1265</v>
      </c>
      <c r="F2947">
        <v>3</v>
      </c>
      <c r="G2947" s="6">
        <v>41254</v>
      </c>
      <c r="H2947">
        <v>50</v>
      </c>
      <c r="I2947">
        <v>2016</v>
      </c>
      <c r="J2947" t="s">
        <v>74</v>
      </c>
      <c r="K2947" t="s">
        <v>75</v>
      </c>
      <c r="L2947" t="s">
        <v>76</v>
      </c>
      <c r="M2947" t="s">
        <v>77</v>
      </c>
      <c r="N2947" t="s">
        <v>73</v>
      </c>
      <c r="O2947" t="s">
        <v>74</v>
      </c>
      <c r="P2947" t="s">
        <v>75</v>
      </c>
    </row>
    <row r="2948" spans="1:16" hidden="1" x14ac:dyDescent="0.25">
      <c r="A2948" t="s">
        <v>1602</v>
      </c>
      <c r="B2948" t="s">
        <v>45</v>
      </c>
      <c r="C2948" t="s">
        <v>46</v>
      </c>
      <c r="D2948" t="s">
        <v>115</v>
      </c>
      <c r="E2948" t="s">
        <v>1265</v>
      </c>
      <c r="F2948">
        <v>10</v>
      </c>
      <c r="G2948" s="6">
        <v>41254</v>
      </c>
      <c r="H2948">
        <v>50</v>
      </c>
      <c r="I2948">
        <v>2016</v>
      </c>
      <c r="J2948" t="s">
        <v>75</v>
      </c>
      <c r="K2948" t="s">
        <v>76</v>
      </c>
      <c r="L2948" t="s">
        <v>77</v>
      </c>
      <c r="M2948" t="s">
        <v>73</v>
      </c>
      <c r="N2948" t="s">
        <v>74</v>
      </c>
      <c r="O2948" t="s">
        <v>75</v>
      </c>
      <c r="P2948" t="s">
        <v>75</v>
      </c>
    </row>
    <row r="2949" spans="1:16" hidden="1" x14ac:dyDescent="0.25">
      <c r="A2949" t="s">
        <v>1603</v>
      </c>
      <c r="B2949" t="s">
        <v>47</v>
      </c>
      <c r="C2949" t="s">
        <v>48</v>
      </c>
      <c r="D2949" t="s">
        <v>116</v>
      </c>
      <c r="E2949" t="s">
        <v>1265</v>
      </c>
      <c r="F2949">
        <v>10</v>
      </c>
      <c r="G2949" s="6">
        <v>41254</v>
      </c>
      <c r="H2949">
        <v>50</v>
      </c>
      <c r="I2949">
        <v>2016</v>
      </c>
      <c r="J2949" t="s">
        <v>75</v>
      </c>
      <c r="K2949" t="s">
        <v>76</v>
      </c>
      <c r="L2949" t="s">
        <v>77</v>
      </c>
      <c r="M2949" t="s">
        <v>73</v>
      </c>
      <c r="N2949" t="s">
        <v>74</v>
      </c>
      <c r="O2949" t="s">
        <v>75</v>
      </c>
      <c r="P2949" t="s">
        <v>75</v>
      </c>
    </row>
    <row r="2950" spans="1:16" hidden="1" x14ac:dyDescent="0.25">
      <c r="A2950" t="s">
        <v>1604</v>
      </c>
      <c r="B2950" t="s">
        <v>49</v>
      </c>
      <c r="C2950" t="s">
        <v>50</v>
      </c>
      <c r="D2950" t="s">
        <v>117</v>
      </c>
      <c r="E2950" t="s">
        <v>1265</v>
      </c>
      <c r="F2950">
        <v>9</v>
      </c>
      <c r="G2950" s="6">
        <v>41254</v>
      </c>
      <c r="H2950">
        <v>50</v>
      </c>
      <c r="I2950">
        <v>2016</v>
      </c>
      <c r="J2950" t="s">
        <v>75</v>
      </c>
      <c r="K2950" t="s">
        <v>74</v>
      </c>
      <c r="L2950" t="s">
        <v>74</v>
      </c>
      <c r="M2950" t="s">
        <v>75</v>
      </c>
      <c r="N2950" t="s">
        <v>73</v>
      </c>
      <c r="O2950" t="s">
        <v>74</v>
      </c>
      <c r="P2950" t="s">
        <v>74</v>
      </c>
    </row>
    <row r="2951" spans="1:16" hidden="1" x14ac:dyDescent="0.25">
      <c r="A2951" t="s">
        <v>1605</v>
      </c>
      <c r="B2951" t="s">
        <v>51</v>
      </c>
      <c r="C2951" t="s">
        <v>52</v>
      </c>
      <c r="D2951" t="s">
        <v>118</v>
      </c>
      <c r="E2951" t="s">
        <v>1265</v>
      </c>
      <c r="F2951">
        <v>5</v>
      </c>
      <c r="G2951" s="6">
        <v>41254</v>
      </c>
      <c r="H2951">
        <v>50</v>
      </c>
      <c r="I2951">
        <v>2016</v>
      </c>
      <c r="J2951" t="s">
        <v>76</v>
      </c>
      <c r="K2951" t="s">
        <v>77</v>
      </c>
      <c r="L2951" t="s">
        <v>73</v>
      </c>
      <c r="M2951" t="s">
        <v>74</v>
      </c>
      <c r="N2951" t="s">
        <v>75</v>
      </c>
      <c r="O2951" t="s">
        <v>75</v>
      </c>
      <c r="P2951" t="s">
        <v>76</v>
      </c>
    </row>
    <row r="2952" spans="1:16" hidden="1" x14ac:dyDescent="0.25">
      <c r="A2952" t="s">
        <v>1606</v>
      </c>
      <c r="B2952" t="s">
        <v>53</v>
      </c>
      <c r="C2952" t="s">
        <v>54</v>
      </c>
      <c r="D2952" t="s">
        <v>119</v>
      </c>
      <c r="E2952" t="s">
        <v>1266</v>
      </c>
      <c r="F2952">
        <v>1</v>
      </c>
      <c r="G2952" s="6">
        <v>41254</v>
      </c>
      <c r="H2952">
        <v>50</v>
      </c>
      <c r="I2952">
        <v>2016</v>
      </c>
      <c r="J2952" t="s">
        <v>75</v>
      </c>
      <c r="K2952" t="s">
        <v>133</v>
      </c>
      <c r="L2952" t="s">
        <v>92</v>
      </c>
      <c r="M2952" t="s">
        <v>75</v>
      </c>
      <c r="N2952" t="s">
        <v>73</v>
      </c>
      <c r="O2952" t="s">
        <v>74</v>
      </c>
      <c r="P2952" t="s">
        <v>74</v>
      </c>
    </row>
    <row r="2953" spans="1:16" hidden="1" x14ac:dyDescent="0.25">
      <c r="A2953" t="s">
        <v>1607</v>
      </c>
      <c r="B2953" t="s">
        <v>1272</v>
      </c>
      <c r="C2953" t="s">
        <v>131</v>
      </c>
      <c r="D2953" t="s">
        <v>1275</v>
      </c>
      <c r="E2953" t="s">
        <v>1266</v>
      </c>
      <c r="F2953">
        <v>3</v>
      </c>
      <c r="G2953" s="6">
        <v>41254</v>
      </c>
      <c r="H2953">
        <v>50</v>
      </c>
      <c r="I2953">
        <v>2016</v>
      </c>
      <c r="J2953" t="s">
        <v>74</v>
      </c>
      <c r="K2953" t="s">
        <v>73</v>
      </c>
      <c r="L2953" t="s">
        <v>75</v>
      </c>
      <c r="M2953" t="s">
        <v>133</v>
      </c>
      <c r="N2953" t="s">
        <v>75</v>
      </c>
      <c r="O2953" t="s">
        <v>74</v>
      </c>
      <c r="P2953" t="s">
        <v>75</v>
      </c>
    </row>
    <row r="2954" spans="1:16" hidden="1" x14ac:dyDescent="0.25">
      <c r="A2954" t="s">
        <v>1608</v>
      </c>
      <c r="B2954" t="s">
        <v>1273</v>
      </c>
      <c r="C2954" t="s">
        <v>131</v>
      </c>
      <c r="D2954" t="s">
        <v>1277</v>
      </c>
      <c r="E2954" t="s">
        <v>1266</v>
      </c>
      <c r="F2954">
        <v>6</v>
      </c>
      <c r="G2954" s="6">
        <v>41254</v>
      </c>
      <c r="H2954">
        <v>50</v>
      </c>
      <c r="I2954">
        <v>2016</v>
      </c>
      <c r="J2954" t="s">
        <v>75</v>
      </c>
      <c r="K2954" t="s">
        <v>74</v>
      </c>
      <c r="L2954" t="s">
        <v>75</v>
      </c>
      <c r="M2954" t="s">
        <v>74</v>
      </c>
      <c r="N2954" t="s">
        <v>75</v>
      </c>
      <c r="O2954" t="s">
        <v>73</v>
      </c>
      <c r="P2954" t="s">
        <v>75</v>
      </c>
    </row>
    <row r="2955" spans="1:16" hidden="1" x14ac:dyDescent="0.25">
      <c r="A2955" t="s">
        <v>1609</v>
      </c>
      <c r="B2955" t="s">
        <v>1274</v>
      </c>
      <c r="C2955" t="s">
        <v>131</v>
      </c>
      <c r="D2955" t="s">
        <v>1278</v>
      </c>
      <c r="E2955" t="s">
        <v>1266</v>
      </c>
      <c r="F2955">
        <v>4</v>
      </c>
      <c r="G2955" s="6">
        <v>41254</v>
      </c>
      <c r="H2955">
        <v>50</v>
      </c>
      <c r="I2955">
        <v>2016</v>
      </c>
      <c r="J2955" t="s">
        <v>75</v>
      </c>
      <c r="K2955" t="s">
        <v>73</v>
      </c>
      <c r="L2955" t="s">
        <v>74</v>
      </c>
      <c r="M2955" t="s">
        <v>75</v>
      </c>
      <c r="N2955" t="s">
        <v>74</v>
      </c>
      <c r="O2955" t="s">
        <v>75</v>
      </c>
      <c r="P2955" t="s">
        <v>75</v>
      </c>
    </row>
    <row r="2956" spans="1:16" hidden="1" x14ac:dyDescent="0.25">
      <c r="A2956" t="s">
        <v>1610</v>
      </c>
      <c r="B2956" t="s">
        <v>1279</v>
      </c>
      <c r="C2956" t="s">
        <v>1280</v>
      </c>
      <c r="D2956" t="s">
        <v>1276</v>
      </c>
      <c r="E2956" t="s">
        <v>1266</v>
      </c>
      <c r="F2956">
        <v>5</v>
      </c>
      <c r="G2956" s="6">
        <v>41254</v>
      </c>
      <c r="H2956">
        <v>50</v>
      </c>
      <c r="I2956">
        <v>2016</v>
      </c>
      <c r="J2956" t="s">
        <v>73</v>
      </c>
      <c r="K2956" t="s">
        <v>75</v>
      </c>
      <c r="L2956" t="s">
        <v>75</v>
      </c>
      <c r="M2956" t="s">
        <v>74</v>
      </c>
      <c r="N2956" t="s">
        <v>75</v>
      </c>
      <c r="O2956" t="s">
        <v>75</v>
      </c>
      <c r="P2956" t="s">
        <v>73</v>
      </c>
    </row>
    <row r="2957" spans="1:16" hidden="1" x14ac:dyDescent="0.25">
      <c r="A2957" t="s">
        <v>1611</v>
      </c>
      <c r="B2957" t="s">
        <v>3</v>
      </c>
      <c r="C2957" t="s">
        <v>4</v>
      </c>
      <c r="D2957" t="s">
        <v>90</v>
      </c>
      <c r="E2957" t="s">
        <v>1265</v>
      </c>
      <c r="F2957">
        <v>1</v>
      </c>
      <c r="G2957" s="6">
        <v>41261</v>
      </c>
      <c r="H2957">
        <v>51</v>
      </c>
      <c r="I2957">
        <v>2016</v>
      </c>
      <c r="J2957" t="s">
        <v>73</v>
      </c>
      <c r="K2957" t="s">
        <v>149</v>
      </c>
      <c r="L2957" t="s">
        <v>149</v>
      </c>
      <c r="M2957" t="s">
        <v>75</v>
      </c>
      <c r="N2957" t="s">
        <v>75</v>
      </c>
      <c r="O2957" t="s">
        <v>75</v>
      </c>
      <c r="P2957" t="s">
        <v>73</v>
      </c>
    </row>
    <row r="2958" spans="1:16" hidden="1" x14ac:dyDescent="0.25">
      <c r="A2958" t="s">
        <v>1612</v>
      </c>
      <c r="B2958" t="s">
        <v>5</v>
      </c>
      <c r="C2958" t="s">
        <v>6</v>
      </c>
      <c r="D2958" t="s">
        <v>93</v>
      </c>
      <c r="E2958" t="s">
        <v>1265</v>
      </c>
      <c r="F2958">
        <v>2</v>
      </c>
      <c r="G2958" s="6">
        <v>41261</v>
      </c>
      <c r="H2958">
        <v>51</v>
      </c>
      <c r="I2958">
        <v>2016</v>
      </c>
      <c r="J2958" t="s">
        <v>74</v>
      </c>
      <c r="K2958" t="s">
        <v>75</v>
      </c>
      <c r="L2958" t="s">
        <v>75</v>
      </c>
      <c r="M2958" t="s">
        <v>75</v>
      </c>
      <c r="N2958" t="s">
        <v>74</v>
      </c>
      <c r="O2958" t="s">
        <v>73</v>
      </c>
      <c r="P2958" t="s">
        <v>73</v>
      </c>
    </row>
    <row r="2959" spans="1:16" hidden="1" x14ac:dyDescent="0.25">
      <c r="A2959" t="s">
        <v>1613</v>
      </c>
      <c r="B2959" t="s">
        <v>7</v>
      </c>
      <c r="C2959" t="s">
        <v>8</v>
      </c>
      <c r="D2959" t="s">
        <v>94</v>
      </c>
      <c r="E2959" t="s">
        <v>1265</v>
      </c>
      <c r="F2959">
        <v>7</v>
      </c>
      <c r="G2959" s="6">
        <v>41261</v>
      </c>
      <c r="H2959">
        <v>51</v>
      </c>
      <c r="I2959">
        <v>2016</v>
      </c>
      <c r="J2959" t="s">
        <v>73</v>
      </c>
      <c r="K2959" t="s">
        <v>74</v>
      </c>
      <c r="L2959" t="s">
        <v>75</v>
      </c>
      <c r="M2959" t="s">
        <v>74</v>
      </c>
      <c r="N2959" t="s">
        <v>75</v>
      </c>
      <c r="O2959" t="s">
        <v>75</v>
      </c>
      <c r="P2959" t="s">
        <v>73</v>
      </c>
    </row>
    <row r="2960" spans="1:16" hidden="1" x14ac:dyDescent="0.25">
      <c r="A2960" t="s">
        <v>1614</v>
      </c>
      <c r="B2960" t="s">
        <v>9</v>
      </c>
      <c r="C2960" t="s">
        <v>10</v>
      </c>
      <c r="D2960" t="s">
        <v>96</v>
      </c>
      <c r="E2960" t="s">
        <v>1265</v>
      </c>
      <c r="F2960">
        <v>8</v>
      </c>
      <c r="G2960" s="6">
        <v>41261</v>
      </c>
      <c r="H2960">
        <v>51</v>
      </c>
      <c r="I2960">
        <v>2016</v>
      </c>
      <c r="J2960" t="s">
        <v>75</v>
      </c>
      <c r="K2960" t="s">
        <v>75</v>
      </c>
      <c r="L2960" t="s">
        <v>75</v>
      </c>
      <c r="M2960" t="s">
        <v>76</v>
      </c>
      <c r="N2960" t="s">
        <v>77</v>
      </c>
      <c r="O2960" t="s">
        <v>73</v>
      </c>
      <c r="P2960" t="s">
        <v>74</v>
      </c>
    </row>
    <row r="2961" spans="1:16" hidden="1" x14ac:dyDescent="0.25">
      <c r="A2961" t="s">
        <v>1615</v>
      </c>
      <c r="B2961" t="s">
        <v>11</v>
      </c>
      <c r="C2961" t="s">
        <v>12</v>
      </c>
      <c r="D2961" t="s">
        <v>97</v>
      </c>
      <c r="E2961" t="s">
        <v>1265</v>
      </c>
      <c r="F2961">
        <v>9</v>
      </c>
      <c r="G2961" s="6">
        <v>41261</v>
      </c>
      <c r="H2961">
        <v>51</v>
      </c>
      <c r="I2961">
        <v>2016</v>
      </c>
      <c r="J2961" t="s">
        <v>75</v>
      </c>
      <c r="K2961" t="s">
        <v>74</v>
      </c>
      <c r="L2961" t="s">
        <v>75</v>
      </c>
      <c r="M2961" t="s">
        <v>75</v>
      </c>
      <c r="N2961" t="s">
        <v>73</v>
      </c>
      <c r="O2961" t="s">
        <v>74</v>
      </c>
      <c r="P2961" t="s">
        <v>73</v>
      </c>
    </row>
    <row r="2962" spans="1:16" hidden="1" x14ac:dyDescent="0.25">
      <c r="A2962" t="s">
        <v>1616</v>
      </c>
      <c r="B2962" t="s">
        <v>13</v>
      </c>
      <c r="C2962" t="s">
        <v>14</v>
      </c>
      <c r="D2962" t="s">
        <v>120</v>
      </c>
      <c r="E2962" t="s">
        <v>1303</v>
      </c>
      <c r="F2962">
        <v>1</v>
      </c>
      <c r="G2962" s="6">
        <v>41261</v>
      </c>
      <c r="H2962">
        <v>51</v>
      </c>
      <c r="I2962">
        <v>2016</v>
      </c>
      <c r="J2962" t="s">
        <v>125</v>
      </c>
      <c r="K2962" t="s">
        <v>125</v>
      </c>
      <c r="L2962" t="s">
        <v>125</v>
      </c>
      <c r="M2962" t="s">
        <v>125</v>
      </c>
      <c r="N2962" t="s">
        <v>125</v>
      </c>
      <c r="O2962" t="s">
        <v>125</v>
      </c>
      <c r="P2962" t="s">
        <v>125</v>
      </c>
    </row>
    <row r="2963" spans="1:16" hidden="1" x14ac:dyDescent="0.25">
      <c r="A2963" t="s">
        <v>1617</v>
      </c>
      <c r="B2963" t="s">
        <v>13</v>
      </c>
      <c r="C2963" t="s">
        <v>15</v>
      </c>
      <c r="D2963" t="s">
        <v>98</v>
      </c>
      <c r="E2963" t="s">
        <v>1266</v>
      </c>
      <c r="F2963">
        <v>4</v>
      </c>
      <c r="G2963" s="6">
        <v>41261</v>
      </c>
      <c r="H2963">
        <v>51</v>
      </c>
      <c r="I2963">
        <v>2016</v>
      </c>
      <c r="J2963" t="s">
        <v>77</v>
      </c>
      <c r="K2963" t="s">
        <v>73</v>
      </c>
      <c r="L2963" t="s">
        <v>75</v>
      </c>
      <c r="M2963" t="s">
        <v>75</v>
      </c>
      <c r="N2963" t="s">
        <v>76</v>
      </c>
      <c r="O2963" t="s">
        <v>77</v>
      </c>
      <c r="P2963" t="s">
        <v>73</v>
      </c>
    </row>
    <row r="2964" spans="1:16" hidden="1" x14ac:dyDescent="0.25">
      <c r="A2964" t="s">
        <v>1618</v>
      </c>
      <c r="B2964" t="s">
        <v>16</v>
      </c>
      <c r="C2964" t="s">
        <v>17</v>
      </c>
      <c r="D2964" t="s">
        <v>99</v>
      </c>
      <c r="E2964" t="s">
        <v>1265</v>
      </c>
      <c r="F2964">
        <v>3</v>
      </c>
      <c r="G2964" s="6">
        <v>41261</v>
      </c>
      <c r="H2964">
        <v>51</v>
      </c>
      <c r="I2964">
        <v>2016</v>
      </c>
      <c r="J2964" t="s">
        <v>74</v>
      </c>
      <c r="K2964" t="s">
        <v>75</v>
      </c>
      <c r="L2964" t="s">
        <v>76</v>
      </c>
      <c r="M2964" t="s">
        <v>77</v>
      </c>
      <c r="N2964" t="s">
        <v>73</v>
      </c>
      <c r="O2964" t="s">
        <v>74</v>
      </c>
      <c r="P2964" t="s">
        <v>73</v>
      </c>
    </row>
    <row r="2965" spans="1:16" hidden="1" x14ac:dyDescent="0.25">
      <c r="A2965" t="s">
        <v>1619</v>
      </c>
      <c r="B2965" t="s">
        <v>18</v>
      </c>
      <c r="C2965" t="s">
        <v>19</v>
      </c>
      <c r="D2965" t="s">
        <v>100</v>
      </c>
      <c r="E2965" t="s">
        <v>1265</v>
      </c>
      <c r="F2965">
        <v>5</v>
      </c>
      <c r="G2965" s="6">
        <v>41261</v>
      </c>
      <c r="H2965">
        <v>51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75</v>
      </c>
    </row>
    <row r="2966" spans="1:16" hidden="1" x14ac:dyDescent="0.25">
      <c r="A2966" t="s">
        <v>1620</v>
      </c>
      <c r="B2966" t="s">
        <v>20</v>
      </c>
      <c r="C2966" t="s">
        <v>21</v>
      </c>
      <c r="D2966" t="s">
        <v>101</v>
      </c>
      <c r="E2966" t="s">
        <v>1265</v>
      </c>
      <c r="F2966">
        <v>4</v>
      </c>
      <c r="G2966" s="6">
        <v>41261</v>
      </c>
      <c r="H2966">
        <v>51</v>
      </c>
      <c r="I2966">
        <v>2016</v>
      </c>
      <c r="J2966" t="s">
        <v>74</v>
      </c>
      <c r="K2966" t="s">
        <v>75</v>
      </c>
      <c r="L2966" t="s">
        <v>75</v>
      </c>
      <c r="M2966" t="s">
        <v>73</v>
      </c>
      <c r="N2966" t="s">
        <v>75</v>
      </c>
      <c r="O2966" t="s">
        <v>74</v>
      </c>
      <c r="P2966" t="s">
        <v>75</v>
      </c>
    </row>
    <row r="2967" spans="1:16" hidden="1" x14ac:dyDescent="0.25">
      <c r="A2967" t="s">
        <v>1621</v>
      </c>
      <c r="B2967" t="s">
        <v>22</v>
      </c>
      <c r="C2967" t="s">
        <v>17</v>
      </c>
      <c r="D2967" t="s">
        <v>102</v>
      </c>
      <c r="E2967" t="s">
        <v>1266</v>
      </c>
      <c r="F2967">
        <v>1</v>
      </c>
      <c r="G2967" s="6">
        <v>41261</v>
      </c>
      <c r="H2967">
        <v>51</v>
      </c>
      <c r="I2967">
        <v>2016</v>
      </c>
      <c r="J2967" t="s">
        <v>75</v>
      </c>
      <c r="K2967" t="s">
        <v>74</v>
      </c>
      <c r="L2967" t="s">
        <v>92</v>
      </c>
      <c r="M2967" t="s">
        <v>75</v>
      </c>
      <c r="N2967" t="s">
        <v>73</v>
      </c>
      <c r="O2967" t="s">
        <v>74</v>
      </c>
      <c r="P2967" t="s">
        <v>74</v>
      </c>
    </row>
    <row r="2968" spans="1:16" hidden="1" x14ac:dyDescent="0.25">
      <c r="A2968" t="s">
        <v>1622</v>
      </c>
      <c r="B2968" t="s">
        <v>23</v>
      </c>
      <c r="C2968" t="s">
        <v>24</v>
      </c>
      <c r="D2968" t="s">
        <v>103</v>
      </c>
      <c r="E2968" t="s">
        <v>1266</v>
      </c>
      <c r="F2968">
        <v>2</v>
      </c>
      <c r="G2968" s="6">
        <v>41261</v>
      </c>
      <c r="H2968">
        <v>51</v>
      </c>
      <c r="I2968">
        <v>2016</v>
      </c>
      <c r="J2968" t="s">
        <v>74</v>
      </c>
      <c r="K2968" t="s">
        <v>75</v>
      </c>
      <c r="L2968" t="s">
        <v>74</v>
      </c>
      <c r="M2968" t="s">
        <v>73</v>
      </c>
      <c r="N2968" t="s">
        <v>74</v>
      </c>
      <c r="O2968" t="s">
        <v>75</v>
      </c>
      <c r="P2968" t="s">
        <v>74</v>
      </c>
    </row>
    <row r="2969" spans="1:16" hidden="1" x14ac:dyDescent="0.25">
      <c r="A2969" t="s">
        <v>1623</v>
      </c>
      <c r="B2969" t="s">
        <v>23</v>
      </c>
      <c r="C2969" t="s">
        <v>55</v>
      </c>
      <c r="D2969" t="s">
        <v>126</v>
      </c>
      <c r="E2969" t="s">
        <v>1265</v>
      </c>
      <c r="F2969">
        <v>3</v>
      </c>
      <c r="G2969" s="6">
        <v>41261</v>
      </c>
      <c r="H2969">
        <v>51</v>
      </c>
      <c r="I2969">
        <v>2016</v>
      </c>
      <c r="J2969" t="s">
        <v>74</v>
      </c>
      <c r="K2969" t="s">
        <v>75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1624</v>
      </c>
      <c r="B2970" t="s">
        <v>25</v>
      </c>
      <c r="C2970" t="s">
        <v>131</v>
      </c>
      <c r="D2970" t="s">
        <v>104</v>
      </c>
      <c r="E2970" t="s">
        <v>1265</v>
      </c>
      <c r="F2970">
        <v>6</v>
      </c>
      <c r="G2970" s="6">
        <v>41261</v>
      </c>
      <c r="H2970">
        <v>51</v>
      </c>
      <c r="I2970">
        <v>2016</v>
      </c>
      <c r="J2970" t="s">
        <v>92</v>
      </c>
      <c r="K2970" t="s">
        <v>73</v>
      </c>
      <c r="L2970" t="s">
        <v>74</v>
      </c>
      <c r="M2970" t="s">
        <v>74</v>
      </c>
      <c r="N2970" t="s">
        <v>75</v>
      </c>
      <c r="O2970" t="s">
        <v>75</v>
      </c>
      <c r="P2970" t="s">
        <v>74</v>
      </c>
    </row>
    <row r="2971" spans="1:16" hidden="1" x14ac:dyDescent="0.25">
      <c r="A2971" t="s">
        <v>1625</v>
      </c>
      <c r="B2971" t="s">
        <v>56</v>
      </c>
      <c r="C2971" t="s">
        <v>57</v>
      </c>
      <c r="D2971" t="s">
        <v>128</v>
      </c>
      <c r="E2971" t="s">
        <v>1265</v>
      </c>
      <c r="F2971">
        <v>9</v>
      </c>
      <c r="G2971" s="6">
        <v>41261</v>
      </c>
      <c r="H2971">
        <v>51</v>
      </c>
      <c r="I2971">
        <v>2016</v>
      </c>
      <c r="J2971" t="s">
        <v>75</v>
      </c>
      <c r="K2971" t="s">
        <v>75</v>
      </c>
      <c r="L2971" t="s">
        <v>74</v>
      </c>
      <c r="M2971" t="s">
        <v>75</v>
      </c>
      <c r="N2971" t="s">
        <v>73</v>
      </c>
      <c r="O2971" t="s">
        <v>74</v>
      </c>
      <c r="P2971" t="s">
        <v>74</v>
      </c>
    </row>
    <row r="2972" spans="1:16" hidden="1" x14ac:dyDescent="0.25">
      <c r="A2972" t="s">
        <v>1626</v>
      </c>
      <c r="B2972" t="s">
        <v>26</v>
      </c>
      <c r="C2972" t="s">
        <v>27</v>
      </c>
      <c r="D2972" t="s">
        <v>105</v>
      </c>
      <c r="E2972" t="s">
        <v>1265</v>
      </c>
      <c r="F2972">
        <v>10</v>
      </c>
      <c r="G2972" s="6">
        <v>41261</v>
      </c>
      <c r="H2972">
        <v>51</v>
      </c>
      <c r="I2972">
        <v>2016</v>
      </c>
      <c r="J2972" t="s">
        <v>75</v>
      </c>
      <c r="K2972" t="s">
        <v>76</v>
      </c>
      <c r="L2972" t="s">
        <v>77</v>
      </c>
      <c r="M2972" t="s">
        <v>73</v>
      </c>
      <c r="N2972" t="s">
        <v>74</v>
      </c>
      <c r="O2972" t="s">
        <v>74</v>
      </c>
      <c r="P2972" t="s">
        <v>73</v>
      </c>
    </row>
    <row r="2973" spans="1:16" hidden="1" x14ac:dyDescent="0.25">
      <c r="A2973" t="s">
        <v>1627</v>
      </c>
      <c r="B2973" t="s">
        <v>28</v>
      </c>
      <c r="C2973" t="s">
        <v>29</v>
      </c>
      <c r="D2973" t="s">
        <v>106</v>
      </c>
      <c r="E2973" t="s">
        <v>1265</v>
      </c>
      <c r="F2973">
        <v>5</v>
      </c>
      <c r="G2973" s="6">
        <v>41261</v>
      </c>
      <c r="H2973">
        <v>51</v>
      </c>
      <c r="I2973">
        <v>2016</v>
      </c>
      <c r="J2973" t="s">
        <v>76</v>
      </c>
      <c r="K2973" t="s">
        <v>77</v>
      </c>
      <c r="L2973" t="s">
        <v>73</v>
      </c>
      <c r="M2973" t="s">
        <v>74</v>
      </c>
      <c r="N2973" t="s">
        <v>75</v>
      </c>
      <c r="O2973" t="s">
        <v>75</v>
      </c>
      <c r="P2973" t="s">
        <v>76</v>
      </c>
    </row>
    <row r="2974" spans="1:16" hidden="1" x14ac:dyDescent="0.25">
      <c r="A2974" t="s">
        <v>1628</v>
      </c>
      <c r="B2974" t="s">
        <v>30</v>
      </c>
      <c r="C2974" t="s">
        <v>8</v>
      </c>
      <c r="D2974" t="s">
        <v>107</v>
      </c>
      <c r="E2974" t="s">
        <v>1266</v>
      </c>
      <c r="F2974">
        <v>4</v>
      </c>
      <c r="G2974" s="6">
        <v>41261</v>
      </c>
      <c r="H2974">
        <v>51</v>
      </c>
      <c r="I2974">
        <v>2016</v>
      </c>
      <c r="J2974" t="s">
        <v>75</v>
      </c>
      <c r="K2974" t="s">
        <v>73</v>
      </c>
      <c r="L2974" t="s">
        <v>74</v>
      </c>
      <c r="M2974" t="s">
        <v>75</v>
      </c>
      <c r="N2974" t="s">
        <v>74</v>
      </c>
      <c r="O2974" t="s">
        <v>1281</v>
      </c>
      <c r="P2974" t="s">
        <v>75</v>
      </c>
    </row>
    <row r="2975" spans="1:16" hidden="1" x14ac:dyDescent="0.25">
      <c r="A2975" t="s">
        <v>1629</v>
      </c>
      <c r="B2975" t="s">
        <v>30</v>
      </c>
      <c r="C2975" t="s">
        <v>31</v>
      </c>
      <c r="D2975" t="s">
        <v>108</v>
      </c>
      <c r="E2975" t="s">
        <v>1265</v>
      </c>
      <c r="F2975">
        <v>2</v>
      </c>
      <c r="G2975" s="6">
        <v>41261</v>
      </c>
      <c r="H2975">
        <v>51</v>
      </c>
      <c r="I2975">
        <v>2016</v>
      </c>
      <c r="J2975" t="s">
        <v>125</v>
      </c>
      <c r="K2975" t="s">
        <v>125</v>
      </c>
      <c r="L2975" t="s">
        <v>125</v>
      </c>
      <c r="M2975" t="s">
        <v>125</v>
      </c>
      <c r="N2975" t="s">
        <v>125</v>
      </c>
      <c r="O2975" t="s">
        <v>73</v>
      </c>
      <c r="P2975" t="s">
        <v>125</v>
      </c>
    </row>
    <row r="2976" spans="1:16" hidden="1" x14ac:dyDescent="0.25">
      <c r="A2976" t="s">
        <v>1630</v>
      </c>
      <c r="B2976" t="s">
        <v>32</v>
      </c>
      <c r="C2976" t="s">
        <v>33</v>
      </c>
      <c r="D2976" t="s">
        <v>109</v>
      </c>
      <c r="E2976" t="s">
        <v>1266</v>
      </c>
      <c r="F2976">
        <v>6</v>
      </c>
      <c r="G2976" s="6">
        <v>41261</v>
      </c>
      <c r="H2976">
        <v>51</v>
      </c>
      <c r="I2976">
        <v>2016</v>
      </c>
      <c r="J2976" t="s">
        <v>133</v>
      </c>
      <c r="K2976" t="s">
        <v>75</v>
      </c>
      <c r="L2976" t="s">
        <v>75</v>
      </c>
      <c r="M2976" t="s">
        <v>74</v>
      </c>
      <c r="N2976" t="s">
        <v>133</v>
      </c>
      <c r="O2976" t="s">
        <v>73</v>
      </c>
      <c r="P2976" t="s">
        <v>75</v>
      </c>
    </row>
    <row r="2977" spans="1:16" hidden="1" x14ac:dyDescent="0.25">
      <c r="A2977" t="s">
        <v>1631</v>
      </c>
      <c r="B2977" t="s">
        <v>32</v>
      </c>
      <c r="C2977" t="s">
        <v>34</v>
      </c>
      <c r="D2977" t="s">
        <v>122</v>
      </c>
      <c r="E2977" t="s">
        <v>1303</v>
      </c>
      <c r="F2977">
        <v>1</v>
      </c>
      <c r="G2977" s="6">
        <v>41261</v>
      </c>
      <c r="H2977">
        <v>51</v>
      </c>
      <c r="I2977">
        <v>2016</v>
      </c>
      <c r="J2977" t="s">
        <v>125</v>
      </c>
      <c r="K2977" t="s">
        <v>125</v>
      </c>
      <c r="L2977" t="s">
        <v>125</v>
      </c>
      <c r="M2977" t="s">
        <v>125</v>
      </c>
      <c r="N2977" t="s">
        <v>125</v>
      </c>
      <c r="O2977" t="s">
        <v>125</v>
      </c>
      <c r="P2977" t="s">
        <v>125</v>
      </c>
    </row>
    <row r="2978" spans="1:16" hidden="1" x14ac:dyDescent="0.25">
      <c r="A2978" t="s">
        <v>1632</v>
      </c>
      <c r="B2978" t="s">
        <v>35</v>
      </c>
      <c r="C2978" t="s">
        <v>36</v>
      </c>
      <c r="D2978" t="s">
        <v>110</v>
      </c>
      <c r="E2978" t="s">
        <v>1265</v>
      </c>
      <c r="F2978">
        <v>7</v>
      </c>
      <c r="G2978" s="6">
        <v>41261</v>
      </c>
      <c r="H2978">
        <v>51</v>
      </c>
      <c r="I2978">
        <v>2016</v>
      </c>
      <c r="J2978" t="s">
        <v>73</v>
      </c>
      <c r="K2978" t="s">
        <v>74</v>
      </c>
      <c r="L2978" t="s">
        <v>75</v>
      </c>
      <c r="M2978" t="s">
        <v>74</v>
      </c>
      <c r="N2978" t="s">
        <v>74</v>
      </c>
      <c r="O2978" t="s">
        <v>75</v>
      </c>
      <c r="P2978" t="s">
        <v>75</v>
      </c>
    </row>
    <row r="2979" spans="1:16" hidden="1" x14ac:dyDescent="0.25">
      <c r="A2979" t="s">
        <v>1633</v>
      </c>
      <c r="B2979" t="s">
        <v>58</v>
      </c>
      <c r="C2979" t="s">
        <v>59</v>
      </c>
      <c r="D2979" t="s">
        <v>129</v>
      </c>
      <c r="E2979" t="s">
        <v>1266</v>
      </c>
      <c r="F2979">
        <v>4</v>
      </c>
      <c r="G2979" s="6">
        <v>41261</v>
      </c>
      <c r="H2979">
        <v>51</v>
      </c>
      <c r="I2979">
        <v>2016</v>
      </c>
      <c r="J2979" t="s">
        <v>75</v>
      </c>
      <c r="K2979" t="s">
        <v>73</v>
      </c>
      <c r="L2979" t="s">
        <v>74</v>
      </c>
      <c r="M2979" t="s">
        <v>75</v>
      </c>
      <c r="N2979" t="s">
        <v>74</v>
      </c>
      <c r="O2979" t="s">
        <v>75</v>
      </c>
      <c r="P2979" t="s">
        <v>75</v>
      </c>
    </row>
    <row r="2980" spans="1:16" hidden="1" x14ac:dyDescent="0.25">
      <c r="A2980" t="s">
        <v>1634</v>
      </c>
      <c r="B2980" t="s">
        <v>37</v>
      </c>
      <c r="C2980" t="s">
        <v>38</v>
      </c>
      <c r="D2980" t="s">
        <v>111</v>
      </c>
      <c r="E2980" t="s">
        <v>1265</v>
      </c>
      <c r="F2980">
        <v>8</v>
      </c>
      <c r="G2980" s="6">
        <v>41261</v>
      </c>
      <c r="H2980">
        <v>51</v>
      </c>
      <c r="I2980">
        <v>2016</v>
      </c>
      <c r="J2980" t="s">
        <v>75</v>
      </c>
      <c r="K2980" t="s">
        <v>75</v>
      </c>
      <c r="L2980" t="s">
        <v>75</v>
      </c>
      <c r="M2980" t="s">
        <v>76</v>
      </c>
      <c r="N2980" t="s">
        <v>77</v>
      </c>
      <c r="O2980" t="s">
        <v>73</v>
      </c>
      <c r="P2980" t="s">
        <v>73</v>
      </c>
    </row>
    <row r="2981" spans="1:16" hidden="1" x14ac:dyDescent="0.25">
      <c r="A2981" t="s">
        <v>1635</v>
      </c>
      <c r="B2981" t="s">
        <v>39</v>
      </c>
      <c r="C2981" t="s">
        <v>40</v>
      </c>
      <c r="D2981" t="s">
        <v>112</v>
      </c>
      <c r="E2981" t="s">
        <v>1266</v>
      </c>
      <c r="F2981">
        <v>3</v>
      </c>
      <c r="G2981" s="6">
        <v>41261</v>
      </c>
      <c r="H2981">
        <v>51</v>
      </c>
      <c r="I2981">
        <v>2016</v>
      </c>
      <c r="J2981" t="s">
        <v>74</v>
      </c>
      <c r="K2981" t="s">
        <v>74</v>
      </c>
      <c r="L2981" t="s">
        <v>73</v>
      </c>
      <c r="M2981" t="s">
        <v>92</v>
      </c>
      <c r="N2981" t="s">
        <v>92</v>
      </c>
      <c r="O2981" t="s">
        <v>92</v>
      </c>
      <c r="P2981" t="s">
        <v>73</v>
      </c>
    </row>
    <row r="2982" spans="1:16" hidden="1" x14ac:dyDescent="0.25">
      <c r="A2982" t="s">
        <v>1636</v>
      </c>
      <c r="B2982" t="s">
        <v>41</v>
      </c>
      <c r="C2982" t="s">
        <v>42</v>
      </c>
      <c r="D2982" t="s">
        <v>113</v>
      </c>
      <c r="E2982" t="s">
        <v>1265</v>
      </c>
      <c r="F2982">
        <v>1</v>
      </c>
      <c r="G2982" s="6">
        <v>41261</v>
      </c>
      <c r="H2982">
        <v>51</v>
      </c>
      <c r="I2982">
        <v>2016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1637</v>
      </c>
      <c r="B2983" t="s">
        <v>43</v>
      </c>
      <c r="C2983" t="s">
        <v>44</v>
      </c>
      <c r="D2983" t="s">
        <v>114</v>
      </c>
      <c r="E2983" t="s">
        <v>1265</v>
      </c>
      <c r="F2983">
        <v>4</v>
      </c>
      <c r="G2983" s="6">
        <v>41261</v>
      </c>
      <c r="H2983">
        <v>51</v>
      </c>
      <c r="I2983">
        <v>2016</v>
      </c>
      <c r="J2983" t="s">
        <v>74</v>
      </c>
      <c r="K2983" t="s">
        <v>75</v>
      </c>
      <c r="L2983" t="s">
        <v>74</v>
      </c>
      <c r="M2983" t="s">
        <v>73</v>
      </c>
      <c r="N2983" t="s">
        <v>133</v>
      </c>
      <c r="O2983" t="s">
        <v>74</v>
      </c>
      <c r="P2983" t="s">
        <v>73</v>
      </c>
    </row>
    <row r="2984" spans="1:16" hidden="1" x14ac:dyDescent="0.25">
      <c r="A2984" t="s">
        <v>1638</v>
      </c>
      <c r="B2984" t="s">
        <v>45</v>
      </c>
      <c r="C2984" t="s">
        <v>46</v>
      </c>
      <c r="D2984" t="s">
        <v>115</v>
      </c>
      <c r="E2984" t="s">
        <v>1265</v>
      </c>
      <c r="F2984">
        <v>11</v>
      </c>
      <c r="G2984" s="6">
        <v>41261</v>
      </c>
      <c r="H2984">
        <v>51</v>
      </c>
      <c r="I2984">
        <v>2016</v>
      </c>
      <c r="J2984" t="s">
        <v>75</v>
      </c>
      <c r="K2984" t="s">
        <v>75</v>
      </c>
      <c r="L2984" t="s">
        <v>73</v>
      </c>
      <c r="M2984" t="s">
        <v>75</v>
      </c>
      <c r="N2984" t="s">
        <v>75</v>
      </c>
      <c r="O2984" t="s">
        <v>75</v>
      </c>
      <c r="P2984" t="s">
        <v>75</v>
      </c>
    </row>
    <row r="2985" spans="1:16" hidden="1" x14ac:dyDescent="0.25">
      <c r="A2985" t="s">
        <v>1639</v>
      </c>
      <c r="B2985" t="s">
        <v>47</v>
      </c>
      <c r="C2985" t="s">
        <v>48</v>
      </c>
      <c r="D2985" t="s">
        <v>116</v>
      </c>
      <c r="E2985" t="s">
        <v>1265</v>
      </c>
      <c r="F2985">
        <v>11</v>
      </c>
      <c r="G2985" s="6">
        <v>41261</v>
      </c>
      <c r="H2985">
        <v>51</v>
      </c>
      <c r="I2985">
        <v>2016</v>
      </c>
      <c r="J2985" t="s">
        <v>75</v>
      </c>
      <c r="K2985" t="s">
        <v>75</v>
      </c>
      <c r="L2985" t="s">
        <v>73</v>
      </c>
      <c r="M2985" t="s">
        <v>75</v>
      </c>
      <c r="N2985" t="s">
        <v>75</v>
      </c>
      <c r="O2985" t="s">
        <v>76</v>
      </c>
      <c r="P2985" t="s">
        <v>77</v>
      </c>
    </row>
    <row r="2986" spans="1:16" hidden="1" x14ac:dyDescent="0.25">
      <c r="A2986" t="s">
        <v>1640</v>
      </c>
      <c r="B2986" t="s">
        <v>49</v>
      </c>
      <c r="C2986" t="s">
        <v>50</v>
      </c>
      <c r="D2986" t="s">
        <v>117</v>
      </c>
      <c r="E2986" t="s">
        <v>1265</v>
      </c>
      <c r="F2986">
        <v>10</v>
      </c>
      <c r="G2986" s="6">
        <v>41261</v>
      </c>
      <c r="H2986">
        <v>51</v>
      </c>
      <c r="I2986">
        <v>2016</v>
      </c>
      <c r="J2986" t="s">
        <v>92</v>
      </c>
      <c r="K2986" t="s">
        <v>76</v>
      </c>
      <c r="L2986" t="s">
        <v>77</v>
      </c>
      <c r="M2986" t="s">
        <v>73</v>
      </c>
      <c r="N2986" t="s">
        <v>74</v>
      </c>
      <c r="O2986" t="s">
        <v>76</v>
      </c>
      <c r="P2986" t="s">
        <v>77</v>
      </c>
    </row>
    <row r="2987" spans="1:16" hidden="1" x14ac:dyDescent="0.25">
      <c r="A2987" t="s">
        <v>1641</v>
      </c>
      <c r="B2987" t="s">
        <v>51</v>
      </c>
      <c r="C2987" t="s">
        <v>52</v>
      </c>
      <c r="D2987" t="s">
        <v>118</v>
      </c>
      <c r="E2987" t="s">
        <v>1265</v>
      </c>
      <c r="F2987">
        <v>6</v>
      </c>
      <c r="G2987" s="6">
        <v>41261</v>
      </c>
      <c r="H2987">
        <v>51</v>
      </c>
      <c r="I2987">
        <v>2016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1642</v>
      </c>
      <c r="B2988" t="s">
        <v>53</v>
      </c>
      <c r="C2988" t="s">
        <v>54</v>
      </c>
      <c r="D2988" t="s">
        <v>119</v>
      </c>
      <c r="E2988" t="s">
        <v>1266</v>
      </c>
      <c r="F2988">
        <v>2</v>
      </c>
      <c r="G2988" s="6">
        <v>41261</v>
      </c>
      <c r="H2988">
        <v>51</v>
      </c>
      <c r="I2988">
        <v>2016</v>
      </c>
      <c r="J2988" t="s">
        <v>74</v>
      </c>
      <c r="K2988" t="s">
        <v>75</v>
      </c>
      <c r="L2988" t="s">
        <v>74</v>
      </c>
      <c r="M2988" t="s">
        <v>73</v>
      </c>
      <c r="N2988" t="s">
        <v>74</v>
      </c>
      <c r="O2988" t="s">
        <v>75</v>
      </c>
      <c r="P2988" t="s">
        <v>74</v>
      </c>
    </row>
    <row r="2989" spans="1:16" hidden="1" x14ac:dyDescent="0.25">
      <c r="A2989" t="s">
        <v>1643</v>
      </c>
      <c r="B2989" t="s">
        <v>1272</v>
      </c>
      <c r="C2989" t="s">
        <v>131</v>
      </c>
      <c r="D2989" t="s">
        <v>1275</v>
      </c>
      <c r="E2989" t="s">
        <v>1266</v>
      </c>
      <c r="F2989">
        <v>4</v>
      </c>
      <c r="G2989" s="6">
        <v>41261</v>
      </c>
      <c r="H2989">
        <v>51</v>
      </c>
      <c r="I2989">
        <v>2016</v>
      </c>
      <c r="J2989" t="s">
        <v>75</v>
      </c>
      <c r="K2989" t="s">
        <v>73</v>
      </c>
      <c r="L2989" t="s">
        <v>133</v>
      </c>
      <c r="M2989" t="s">
        <v>73</v>
      </c>
      <c r="N2989" t="s">
        <v>74</v>
      </c>
      <c r="O2989" t="s">
        <v>75</v>
      </c>
      <c r="P2989" t="s">
        <v>75</v>
      </c>
    </row>
    <row r="2990" spans="1:16" hidden="1" x14ac:dyDescent="0.25">
      <c r="A2990" t="s">
        <v>1644</v>
      </c>
      <c r="B2990" t="s">
        <v>1273</v>
      </c>
      <c r="C2990" t="s">
        <v>131</v>
      </c>
      <c r="D2990" t="s">
        <v>1277</v>
      </c>
      <c r="E2990" t="s">
        <v>1266</v>
      </c>
      <c r="F2990">
        <v>1</v>
      </c>
      <c r="G2990" s="6">
        <v>41261</v>
      </c>
      <c r="H2990">
        <v>51</v>
      </c>
      <c r="I2990">
        <v>2016</v>
      </c>
      <c r="J2990" t="s">
        <v>75</v>
      </c>
      <c r="K2990" t="s">
        <v>74</v>
      </c>
      <c r="L2990" t="s">
        <v>75</v>
      </c>
      <c r="M2990" t="s">
        <v>75</v>
      </c>
      <c r="N2990" t="s">
        <v>73</v>
      </c>
      <c r="O2990" t="s">
        <v>74</v>
      </c>
      <c r="P2990" t="s">
        <v>76</v>
      </c>
    </row>
    <row r="2991" spans="1:16" hidden="1" x14ac:dyDescent="0.25">
      <c r="A2991" t="s">
        <v>1645</v>
      </c>
      <c r="B2991" t="s">
        <v>1274</v>
      </c>
      <c r="C2991" t="s">
        <v>131</v>
      </c>
      <c r="D2991" t="s">
        <v>1278</v>
      </c>
      <c r="E2991" t="s">
        <v>1266</v>
      </c>
      <c r="F2991">
        <v>5</v>
      </c>
      <c r="G2991" s="6">
        <v>41261</v>
      </c>
      <c r="H2991">
        <v>51</v>
      </c>
      <c r="I2991">
        <v>2016</v>
      </c>
      <c r="J2991" t="s">
        <v>73</v>
      </c>
      <c r="K2991" t="s">
        <v>75</v>
      </c>
      <c r="L2991" t="s">
        <v>73</v>
      </c>
      <c r="M2991" t="s">
        <v>74</v>
      </c>
      <c r="N2991" t="s">
        <v>75</v>
      </c>
      <c r="O2991" t="s">
        <v>75</v>
      </c>
      <c r="P2991" t="s">
        <v>75</v>
      </c>
    </row>
    <row r="2992" spans="1:16" hidden="1" x14ac:dyDescent="0.25">
      <c r="A2992" t="s">
        <v>1646</v>
      </c>
      <c r="B2992" t="s">
        <v>1279</v>
      </c>
      <c r="C2992" t="s">
        <v>1280</v>
      </c>
      <c r="D2992" t="s">
        <v>1276</v>
      </c>
      <c r="E2992" t="s">
        <v>1266</v>
      </c>
      <c r="F2992">
        <v>6</v>
      </c>
      <c r="G2992" s="6">
        <v>41261</v>
      </c>
      <c r="H2992">
        <v>51</v>
      </c>
      <c r="I2992">
        <v>2016</v>
      </c>
      <c r="J2992" t="s">
        <v>75</v>
      </c>
      <c r="K2992" t="s">
        <v>74</v>
      </c>
      <c r="L2992" t="s">
        <v>73</v>
      </c>
      <c r="M2992" t="s">
        <v>74</v>
      </c>
      <c r="N2992" t="s">
        <v>75</v>
      </c>
      <c r="O2992" t="s">
        <v>75</v>
      </c>
      <c r="P2992" t="s">
        <v>73</v>
      </c>
    </row>
    <row r="2993" spans="1:16" hidden="1" x14ac:dyDescent="0.25">
      <c r="A2993" t="s">
        <v>1647</v>
      </c>
      <c r="B2993" t="s">
        <v>3</v>
      </c>
      <c r="C2993" t="s">
        <v>4</v>
      </c>
      <c r="D2993" t="s">
        <v>90</v>
      </c>
      <c r="E2993" t="s">
        <v>1265</v>
      </c>
      <c r="F2993">
        <v>2</v>
      </c>
      <c r="G2993" s="12">
        <v>41268</v>
      </c>
      <c r="H2993">
        <v>52</v>
      </c>
      <c r="I2993">
        <v>2016</v>
      </c>
      <c r="J2993" t="s">
        <v>75</v>
      </c>
      <c r="K2993" t="s">
        <v>75</v>
      </c>
      <c r="L2993" t="s">
        <v>74</v>
      </c>
      <c r="M2993" t="s">
        <v>75</v>
      </c>
      <c r="N2993" t="s">
        <v>74</v>
      </c>
      <c r="O2993" t="s">
        <v>73</v>
      </c>
      <c r="P2993" t="s">
        <v>75</v>
      </c>
    </row>
    <row r="2994" spans="1:16" hidden="1" x14ac:dyDescent="0.25">
      <c r="A2994" t="s">
        <v>1649</v>
      </c>
      <c r="B2994" t="s">
        <v>7</v>
      </c>
      <c r="C2994" t="s">
        <v>8</v>
      </c>
      <c r="D2994" t="s">
        <v>94</v>
      </c>
      <c r="E2994" t="s">
        <v>1265</v>
      </c>
      <c r="F2994">
        <v>8</v>
      </c>
      <c r="G2994" s="12">
        <v>41268</v>
      </c>
      <c r="H2994">
        <v>52</v>
      </c>
      <c r="I2994">
        <v>2016</v>
      </c>
      <c r="J2994" t="s">
        <v>75</v>
      </c>
      <c r="K2994" t="s">
        <v>75</v>
      </c>
      <c r="L2994" t="s">
        <v>75</v>
      </c>
      <c r="M2994" t="s">
        <v>76</v>
      </c>
      <c r="N2994" t="s">
        <v>77</v>
      </c>
      <c r="O2994" t="s">
        <v>73</v>
      </c>
      <c r="P2994" t="s">
        <v>74</v>
      </c>
    </row>
    <row r="2995" spans="1:16" hidden="1" x14ac:dyDescent="0.25">
      <c r="A2995" t="s">
        <v>1650</v>
      </c>
      <c r="B2995" t="s">
        <v>9</v>
      </c>
      <c r="C2995" t="s">
        <v>10</v>
      </c>
      <c r="D2995" t="s">
        <v>96</v>
      </c>
      <c r="E2995" t="s">
        <v>1265</v>
      </c>
      <c r="F2995">
        <v>9</v>
      </c>
      <c r="G2995" s="12">
        <v>41268</v>
      </c>
      <c r="H2995">
        <v>52</v>
      </c>
      <c r="I2995">
        <v>2016</v>
      </c>
      <c r="J2995" t="s">
        <v>73</v>
      </c>
      <c r="K2995" t="s">
        <v>92</v>
      </c>
      <c r="L2995" t="s">
        <v>74</v>
      </c>
      <c r="M2995" t="s">
        <v>75</v>
      </c>
      <c r="N2995" t="s">
        <v>73</v>
      </c>
      <c r="O2995" t="s">
        <v>74</v>
      </c>
      <c r="P2995" t="s">
        <v>73</v>
      </c>
    </row>
    <row r="2996" spans="1:16" hidden="1" x14ac:dyDescent="0.25">
      <c r="A2996" t="s">
        <v>1651</v>
      </c>
      <c r="B2996" t="s">
        <v>11</v>
      </c>
      <c r="C2996" t="s">
        <v>12</v>
      </c>
      <c r="D2996" t="s">
        <v>97</v>
      </c>
      <c r="E2996" t="s">
        <v>1265</v>
      </c>
      <c r="F2996">
        <v>10</v>
      </c>
      <c r="G2996" s="12">
        <v>41268</v>
      </c>
      <c r="H2996">
        <v>52</v>
      </c>
      <c r="I2996">
        <v>2016</v>
      </c>
      <c r="J2996" t="s">
        <v>75</v>
      </c>
      <c r="K2996" t="s">
        <v>76</v>
      </c>
      <c r="L2996" t="s">
        <v>77</v>
      </c>
      <c r="M2996" t="s">
        <v>73</v>
      </c>
      <c r="N2996" t="s">
        <v>74</v>
      </c>
      <c r="O2996" t="s">
        <v>75</v>
      </c>
      <c r="P2996" t="s">
        <v>75</v>
      </c>
    </row>
    <row r="2997" spans="1:16" hidden="1" x14ac:dyDescent="0.25">
      <c r="A2997" t="s">
        <v>1652</v>
      </c>
      <c r="B2997" t="s">
        <v>13</v>
      </c>
      <c r="C2997" t="s">
        <v>14</v>
      </c>
      <c r="D2997" t="s">
        <v>120</v>
      </c>
      <c r="E2997" t="s">
        <v>1303</v>
      </c>
      <c r="F2997">
        <v>1</v>
      </c>
      <c r="G2997" s="12">
        <v>41268</v>
      </c>
      <c r="H2997">
        <v>52</v>
      </c>
      <c r="I2997">
        <v>2016</v>
      </c>
      <c r="J2997" t="s">
        <v>125</v>
      </c>
      <c r="K2997" t="s">
        <v>125</v>
      </c>
      <c r="L2997" t="s">
        <v>125</v>
      </c>
      <c r="M2997" t="s">
        <v>125</v>
      </c>
      <c r="N2997" t="s">
        <v>125</v>
      </c>
      <c r="O2997" t="s">
        <v>125</v>
      </c>
      <c r="P2997" t="s">
        <v>125</v>
      </c>
    </row>
    <row r="2998" spans="1:16" hidden="1" x14ac:dyDescent="0.25">
      <c r="A2998" t="s">
        <v>1653</v>
      </c>
      <c r="B2998" t="s">
        <v>13</v>
      </c>
      <c r="C2998" t="s">
        <v>15</v>
      </c>
      <c r="D2998" t="s">
        <v>98</v>
      </c>
      <c r="E2998" t="s">
        <v>1394</v>
      </c>
      <c r="F2998">
        <v>1</v>
      </c>
      <c r="G2998" s="12">
        <v>41268</v>
      </c>
      <c r="H2998">
        <v>52</v>
      </c>
      <c r="I2998">
        <v>2016</v>
      </c>
      <c r="J2998" t="s">
        <v>74</v>
      </c>
      <c r="K2998" t="s">
        <v>75</v>
      </c>
      <c r="L2998" t="s">
        <v>75</v>
      </c>
      <c r="M2998" t="s">
        <v>74</v>
      </c>
      <c r="N2998" t="s">
        <v>75</v>
      </c>
      <c r="O2998" t="s">
        <v>73</v>
      </c>
      <c r="P2998" t="s">
        <v>75</v>
      </c>
    </row>
    <row r="2999" spans="1:16" hidden="1" x14ac:dyDescent="0.25">
      <c r="A2999" t="s">
        <v>1654</v>
      </c>
      <c r="B2999" t="s">
        <v>16</v>
      </c>
      <c r="C2999" t="s">
        <v>17</v>
      </c>
      <c r="D2999" t="s">
        <v>99</v>
      </c>
      <c r="E2999" t="s">
        <v>1265</v>
      </c>
      <c r="F2999">
        <v>4</v>
      </c>
      <c r="G2999" s="12">
        <v>41268</v>
      </c>
      <c r="H2999">
        <v>52</v>
      </c>
      <c r="I2999">
        <v>2016</v>
      </c>
      <c r="J2999" t="s">
        <v>74</v>
      </c>
      <c r="K2999" t="s">
        <v>75</v>
      </c>
      <c r="L2999" t="s">
        <v>75</v>
      </c>
      <c r="M2999" t="s">
        <v>73</v>
      </c>
      <c r="N2999" t="s">
        <v>74</v>
      </c>
      <c r="O2999" t="s">
        <v>74</v>
      </c>
      <c r="P2999" t="s">
        <v>75</v>
      </c>
    </row>
    <row r="3000" spans="1:16" hidden="1" x14ac:dyDescent="0.25">
      <c r="A3000" t="s">
        <v>1655</v>
      </c>
      <c r="B3000" t="s">
        <v>18</v>
      </c>
      <c r="C3000" t="s">
        <v>19</v>
      </c>
      <c r="D3000" t="s">
        <v>100</v>
      </c>
      <c r="E3000" t="s">
        <v>1265</v>
      </c>
      <c r="F3000">
        <v>6</v>
      </c>
      <c r="G3000" s="12">
        <v>41268</v>
      </c>
      <c r="H3000">
        <v>52</v>
      </c>
      <c r="I3000">
        <v>2016</v>
      </c>
      <c r="J3000" t="s">
        <v>73</v>
      </c>
      <c r="K3000" t="s">
        <v>73</v>
      </c>
      <c r="L3000" t="s">
        <v>74</v>
      </c>
      <c r="M3000" t="s">
        <v>74</v>
      </c>
      <c r="N3000" t="s">
        <v>75</v>
      </c>
      <c r="O3000" t="s">
        <v>75</v>
      </c>
      <c r="P3000" t="s">
        <v>73</v>
      </c>
    </row>
    <row r="3001" spans="1:16" hidden="1" x14ac:dyDescent="0.25">
      <c r="A3001" t="s">
        <v>1656</v>
      </c>
      <c r="B3001" t="s">
        <v>20</v>
      </c>
      <c r="C3001" t="s">
        <v>21</v>
      </c>
      <c r="D3001" t="s">
        <v>101</v>
      </c>
      <c r="E3001" t="s">
        <v>1265</v>
      </c>
      <c r="F3001">
        <v>7</v>
      </c>
      <c r="G3001" s="12">
        <v>41268</v>
      </c>
      <c r="H3001">
        <v>52</v>
      </c>
      <c r="I3001">
        <v>2016</v>
      </c>
      <c r="J3001" t="s">
        <v>76</v>
      </c>
      <c r="K3001" t="s">
        <v>77</v>
      </c>
      <c r="L3001" t="s">
        <v>73</v>
      </c>
      <c r="M3001" t="s">
        <v>74</v>
      </c>
      <c r="N3001" t="s">
        <v>75</v>
      </c>
      <c r="O3001" t="s">
        <v>75</v>
      </c>
      <c r="P3001" t="s">
        <v>73</v>
      </c>
    </row>
    <row r="3002" spans="1:16" hidden="1" x14ac:dyDescent="0.25">
      <c r="A3002" t="s">
        <v>1657</v>
      </c>
      <c r="B3002" t="s">
        <v>22</v>
      </c>
      <c r="C3002" t="s">
        <v>17</v>
      </c>
      <c r="D3002" t="s">
        <v>102</v>
      </c>
      <c r="E3002" t="s">
        <v>1265</v>
      </c>
      <c r="F3002">
        <v>10</v>
      </c>
      <c r="G3002" s="12">
        <v>41268</v>
      </c>
      <c r="H3002">
        <v>52</v>
      </c>
      <c r="I3002">
        <v>2016</v>
      </c>
      <c r="J3002" t="s">
        <v>74</v>
      </c>
      <c r="K3002" t="s">
        <v>76</v>
      </c>
      <c r="L3002" t="s">
        <v>77</v>
      </c>
      <c r="M3002" t="s">
        <v>73</v>
      </c>
      <c r="N3002" t="s">
        <v>133</v>
      </c>
      <c r="O3002" t="s">
        <v>75</v>
      </c>
      <c r="P3002" t="s">
        <v>73</v>
      </c>
    </row>
    <row r="3003" spans="1:16" hidden="1" x14ac:dyDescent="0.25">
      <c r="A3003" t="s">
        <v>1658</v>
      </c>
      <c r="B3003" t="s">
        <v>23</v>
      </c>
      <c r="C3003" t="s">
        <v>24</v>
      </c>
      <c r="D3003" t="s">
        <v>103</v>
      </c>
      <c r="E3003" t="s">
        <v>1394</v>
      </c>
      <c r="F3003">
        <v>11</v>
      </c>
      <c r="G3003" s="12">
        <v>41268</v>
      </c>
      <c r="H3003">
        <v>52</v>
      </c>
      <c r="I3003">
        <v>2016</v>
      </c>
      <c r="J3003" t="s">
        <v>74</v>
      </c>
      <c r="K3003" t="s">
        <v>74</v>
      </c>
      <c r="L3003" t="s">
        <v>73</v>
      </c>
      <c r="M3003" t="s">
        <v>133</v>
      </c>
      <c r="N3003" t="s">
        <v>75</v>
      </c>
      <c r="O3003" t="s">
        <v>74</v>
      </c>
      <c r="P3003" t="s">
        <v>73</v>
      </c>
    </row>
    <row r="3004" spans="1:16" hidden="1" x14ac:dyDescent="0.25">
      <c r="A3004" t="s">
        <v>1659</v>
      </c>
      <c r="B3004" t="s">
        <v>23</v>
      </c>
      <c r="C3004" t="s">
        <v>55</v>
      </c>
      <c r="D3004" t="s">
        <v>126</v>
      </c>
      <c r="E3004" t="s">
        <v>1265</v>
      </c>
      <c r="F3004">
        <v>4</v>
      </c>
      <c r="G3004" s="12">
        <v>41268</v>
      </c>
      <c r="H3004">
        <v>52</v>
      </c>
      <c r="I3004">
        <v>2016</v>
      </c>
      <c r="J3004" t="s">
        <v>73</v>
      </c>
      <c r="K3004" t="s">
        <v>75</v>
      </c>
      <c r="L3004" t="s">
        <v>74</v>
      </c>
      <c r="M3004" t="s">
        <v>73</v>
      </c>
      <c r="N3004" t="s">
        <v>74</v>
      </c>
      <c r="O3004" t="s">
        <v>74</v>
      </c>
      <c r="P3004" t="s">
        <v>75</v>
      </c>
    </row>
    <row r="3005" spans="1:16" hidden="1" x14ac:dyDescent="0.25">
      <c r="A3005" t="s">
        <v>1660</v>
      </c>
      <c r="B3005" t="s">
        <v>25</v>
      </c>
      <c r="C3005" t="s">
        <v>131</v>
      </c>
      <c r="D3005" t="s">
        <v>104</v>
      </c>
      <c r="E3005" t="s">
        <v>1265</v>
      </c>
      <c r="F3005">
        <v>11</v>
      </c>
      <c r="G3005" s="12">
        <v>41268</v>
      </c>
      <c r="H3005">
        <v>52</v>
      </c>
      <c r="I3005">
        <v>2016</v>
      </c>
      <c r="J3005" t="s">
        <v>75</v>
      </c>
      <c r="K3005" t="s">
        <v>73</v>
      </c>
      <c r="L3005" t="s">
        <v>75</v>
      </c>
      <c r="M3005" t="s">
        <v>74</v>
      </c>
      <c r="N3005" t="s">
        <v>74</v>
      </c>
      <c r="O3005" t="s">
        <v>76</v>
      </c>
      <c r="P3005" t="s">
        <v>77</v>
      </c>
    </row>
    <row r="3006" spans="1:16" hidden="1" x14ac:dyDescent="0.25">
      <c r="A3006" t="s">
        <v>1661</v>
      </c>
      <c r="B3006" t="s">
        <v>56</v>
      </c>
      <c r="C3006" t="s">
        <v>57</v>
      </c>
      <c r="D3006" t="s">
        <v>128</v>
      </c>
      <c r="E3006" t="s">
        <v>1265</v>
      </c>
      <c r="F3006">
        <v>11</v>
      </c>
      <c r="G3006" s="12">
        <v>41268</v>
      </c>
      <c r="H3006">
        <v>52</v>
      </c>
      <c r="I3006">
        <v>2016</v>
      </c>
      <c r="J3006" t="s">
        <v>73</v>
      </c>
      <c r="K3006" t="s">
        <v>75</v>
      </c>
      <c r="L3006" t="s">
        <v>75</v>
      </c>
      <c r="M3006" t="s">
        <v>73</v>
      </c>
      <c r="N3006" t="s">
        <v>74</v>
      </c>
      <c r="O3006" t="s">
        <v>76</v>
      </c>
      <c r="P3006" t="s">
        <v>77</v>
      </c>
    </row>
    <row r="3007" spans="1:16" hidden="1" x14ac:dyDescent="0.25">
      <c r="A3007" t="s">
        <v>1662</v>
      </c>
      <c r="B3007" t="s">
        <v>26</v>
      </c>
      <c r="C3007" t="s">
        <v>27</v>
      </c>
      <c r="D3007" t="s">
        <v>105</v>
      </c>
      <c r="E3007" t="s">
        <v>1394</v>
      </c>
      <c r="F3007">
        <v>3</v>
      </c>
      <c r="G3007" s="12">
        <v>41268</v>
      </c>
      <c r="H3007">
        <v>52</v>
      </c>
      <c r="I3007">
        <v>2016</v>
      </c>
      <c r="J3007" t="s">
        <v>73</v>
      </c>
      <c r="K3007" t="s">
        <v>74</v>
      </c>
      <c r="L3007" t="s">
        <v>73</v>
      </c>
      <c r="M3007" t="s">
        <v>75</v>
      </c>
      <c r="N3007" t="s">
        <v>92</v>
      </c>
      <c r="O3007" t="s">
        <v>75</v>
      </c>
      <c r="P3007" t="s">
        <v>75</v>
      </c>
    </row>
    <row r="3008" spans="1:16" hidden="1" x14ac:dyDescent="0.25">
      <c r="A3008" t="s">
        <v>1663</v>
      </c>
      <c r="B3008" t="s">
        <v>28</v>
      </c>
      <c r="C3008" t="s">
        <v>29</v>
      </c>
      <c r="D3008" t="s">
        <v>106</v>
      </c>
      <c r="E3008" t="s">
        <v>1265</v>
      </c>
      <c r="F3008">
        <v>6</v>
      </c>
      <c r="G3008" s="12">
        <v>41268</v>
      </c>
      <c r="H3008">
        <v>52</v>
      </c>
      <c r="I3008">
        <v>2016</v>
      </c>
      <c r="J3008" t="s">
        <v>77</v>
      </c>
      <c r="K3008" t="s">
        <v>73</v>
      </c>
      <c r="L3008" t="s">
        <v>74</v>
      </c>
      <c r="M3008" t="s">
        <v>75</v>
      </c>
      <c r="N3008" t="s">
        <v>75</v>
      </c>
      <c r="O3008" t="s">
        <v>75</v>
      </c>
      <c r="P3008" t="s">
        <v>74</v>
      </c>
    </row>
    <row r="3009" spans="1:16" x14ac:dyDescent="0.25">
      <c r="A3009" t="s">
        <v>1664</v>
      </c>
      <c r="B3009" t="s">
        <v>30</v>
      </c>
      <c r="C3009" t="s">
        <v>8</v>
      </c>
      <c r="D3009" t="s">
        <v>107</v>
      </c>
      <c r="E3009" t="s">
        <v>1394</v>
      </c>
      <c r="F3009">
        <v>5</v>
      </c>
      <c r="G3009" s="12">
        <v>41268</v>
      </c>
      <c r="H3009">
        <v>52</v>
      </c>
      <c r="I3009">
        <v>2016</v>
      </c>
      <c r="J3009" t="s">
        <v>73</v>
      </c>
      <c r="K3009" t="s">
        <v>73</v>
      </c>
      <c r="L3009" t="s">
        <v>75</v>
      </c>
      <c r="M3009" t="s">
        <v>75</v>
      </c>
      <c r="N3009" t="s">
        <v>75</v>
      </c>
      <c r="O3009" t="s">
        <v>1281</v>
      </c>
      <c r="P3009" t="s">
        <v>73</v>
      </c>
    </row>
    <row r="3010" spans="1:16" x14ac:dyDescent="0.25">
      <c r="A3010" t="s">
        <v>1665</v>
      </c>
      <c r="B3010" t="s">
        <v>30</v>
      </c>
      <c r="C3010" t="s">
        <v>31</v>
      </c>
      <c r="D3010" t="s">
        <v>108</v>
      </c>
      <c r="E3010" t="s">
        <v>1303</v>
      </c>
      <c r="F3010">
        <v>1</v>
      </c>
      <c r="G3010" s="12">
        <v>41268</v>
      </c>
      <c r="H3010">
        <v>52</v>
      </c>
      <c r="I3010">
        <v>2016</v>
      </c>
      <c r="J3010" t="s">
        <v>125</v>
      </c>
      <c r="K3010" t="s">
        <v>125</v>
      </c>
      <c r="L3010" t="s">
        <v>125</v>
      </c>
      <c r="M3010" t="s">
        <v>125</v>
      </c>
      <c r="N3010" t="s">
        <v>73</v>
      </c>
      <c r="O3010" t="s">
        <v>125</v>
      </c>
      <c r="P3010" t="s">
        <v>125</v>
      </c>
    </row>
    <row r="3011" spans="1:16" hidden="1" x14ac:dyDescent="0.25">
      <c r="A3011" t="s">
        <v>1666</v>
      </c>
      <c r="B3011" t="s">
        <v>32</v>
      </c>
      <c r="C3011" t="s">
        <v>33</v>
      </c>
      <c r="D3011" t="s">
        <v>109</v>
      </c>
      <c r="E3011" t="s">
        <v>1394</v>
      </c>
      <c r="F3011">
        <v>5</v>
      </c>
      <c r="G3011" s="12">
        <v>41268</v>
      </c>
      <c r="H3011">
        <v>52</v>
      </c>
      <c r="I3011">
        <v>2016</v>
      </c>
      <c r="J3011" t="s">
        <v>75</v>
      </c>
      <c r="K3011" t="s">
        <v>75</v>
      </c>
      <c r="L3011" t="s">
        <v>75</v>
      </c>
      <c r="M3011" t="s">
        <v>75</v>
      </c>
      <c r="N3011" t="s">
        <v>73</v>
      </c>
      <c r="O3011" t="s">
        <v>75</v>
      </c>
      <c r="P3011" t="s">
        <v>73</v>
      </c>
    </row>
    <row r="3012" spans="1:16" hidden="1" x14ac:dyDescent="0.25">
      <c r="A3012" t="s">
        <v>1667</v>
      </c>
      <c r="B3012" t="s">
        <v>32</v>
      </c>
      <c r="C3012" t="s">
        <v>34</v>
      </c>
      <c r="D3012" t="s">
        <v>122</v>
      </c>
      <c r="E3012" t="s">
        <v>1303</v>
      </c>
      <c r="F3012">
        <v>1</v>
      </c>
      <c r="G3012" s="12">
        <v>41268</v>
      </c>
      <c r="H3012">
        <v>52</v>
      </c>
      <c r="I3012">
        <v>2016</v>
      </c>
      <c r="J3012" t="s">
        <v>125</v>
      </c>
      <c r="K3012" t="s">
        <v>125</v>
      </c>
      <c r="L3012" t="s">
        <v>125</v>
      </c>
      <c r="M3012" t="s">
        <v>125</v>
      </c>
      <c r="N3012" t="s">
        <v>125</v>
      </c>
      <c r="O3012" t="s">
        <v>125</v>
      </c>
      <c r="P3012" t="s">
        <v>125</v>
      </c>
    </row>
    <row r="3013" spans="1:16" hidden="1" x14ac:dyDescent="0.25">
      <c r="A3013" t="s">
        <v>1668</v>
      </c>
      <c r="B3013" t="s">
        <v>35</v>
      </c>
      <c r="C3013" t="s">
        <v>36</v>
      </c>
      <c r="D3013" t="s">
        <v>110</v>
      </c>
      <c r="E3013" t="s">
        <v>1265</v>
      </c>
      <c r="F3013">
        <v>1</v>
      </c>
      <c r="G3013" s="12">
        <v>41268</v>
      </c>
      <c r="H3013">
        <v>52</v>
      </c>
      <c r="I3013">
        <v>2016</v>
      </c>
      <c r="J3013" t="s">
        <v>73</v>
      </c>
      <c r="K3013" t="s">
        <v>75</v>
      </c>
      <c r="L3013" t="s">
        <v>75</v>
      </c>
      <c r="M3013" t="s">
        <v>75</v>
      </c>
      <c r="N3013" t="s">
        <v>76</v>
      </c>
      <c r="O3013" t="s">
        <v>77</v>
      </c>
      <c r="P3013" t="s">
        <v>73</v>
      </c>
    </row>
    <row r="3014" spans="1:16" hidden="1" x14ac:dyDescent="0.25">
      <c r="A3014" t="s">
        <v>1669</v>
      </c>
      <c r="B3014" t="s">
        <v>58</v>
      </c>
      <c r="C3014" t="s">
        <v>59</v>
      </c>
      <c r="D3014" t="s">
        <v>129</v>
      </c>
      <c r="E3014" t="s">
        <v>1394</v>
      </c>
      <c r="F3014">
        <v>6</v>
      </c>
      <c r="G3014" s="12">
        <v>41268</v>
      </c>
      <c r="H3014">
        <v>52</v>
      </c>
      <c r="I3014">
        <v>2016</v>
      </c>
      <c r="J3014" t="s">
        <v>73</v>
      </c>
      <c r="K3014" t="s">
        <v>75</v>
      </c>
      <c r="L3014" t="s">
        <v>75</v>
      </c>
      <c r="M3014" t="s">
        <v>74</v>
      </c>
      <c r="N3014" t="s">
        <v>75</v>
      </c>
      <c r="O3014" t="s">
        <v>73</v>
      </c>
      <c r="P3014" t="s">
        <v>74</v>
      </c>
    </row>
    <row r="3015" spans="1:16" hidden="1" x14ac:dyDescent="0.25">
      <c r="A3015" t="s">
        <v>1670</v>
      </c>
      <c r="B3015" t="s">
        <v>37</v>
      </c>
      <c r="C3015" t="s">
        <v>38</v>
      </c>
      <c r="D3015" t="s">
        <v>111</v>
      </c>
      <c r="E3015" t="s">
        <v>1265</v>
      </c>
      <c r="F3015">
        <v>3</v>
      </c>
      <c r="G3015" s="12">
        <v>41268</v>
      </c>
      <c r="H3015">
        <v>52</v>
      </c>
      <c r="I3015">
        <v>2016</v>
      </c>
      <c r="J3015" t="s">
        <v>75</v>
      </c>
      <c r="K3015" t="s">
        <v>75</v>
      </c>
      <c r="L3015" t="s">
        <v>76</v>
      </c>
      <c r="M3015" t="s">
        <v>77</v>
      </c>
      <c r="N3015" t="s">
        <v>73</v>
      </c>
      <c r="O3015" t="s">
        <v>74</v>
      </c>
      <c r="P3015" t="s">
        <v>74</v>
      </c>
    </row>
    <row r="3016" spans="1:16" hidden="1" x14ac:dyDescent="0.25">
      <c r="A3016" t="s">
        <v>1671</v>
      </c>
      <c r="B3016" t="s">
        <v>39</v>
      </c>
      <c r="C3016" t="s">
        <v>40</v>
      </c>
      <c r="D3016" t="s">
        <v>112</v>
      </c>
      <c r="E3016" t="s">
        <v>1394</v>
      </c>
      <c r="F3016">
        <v>4</v>
      </c>
      <c r="G3016" s="12">
        <v>41268</v>
      </c>
      <c r="H3016">
        <v>52</v>
      </c>
      <c r="I3016">
        <v>2016</v>
      </c>
      <c r="J3016" t="s">
        <v>73</v>
      </c>
      <c r="K3016" t="s">
        <v>73</v>
      </c>
      <c r="L3016" t="s">
        <v>133</v>
      </c>
      <c r="M3016" t="s">
        <v>92</v>
      </c>
      <c r="N3016" t="s">
        <v>74</v>
      </c>
      <c r="O3016" t="s">
        <v>75</v>
      </c>
      <c r="P3016" t="s">
        <v>75</v>
      </c>
    </row>
    <row r="3017" spans="1:16" hidden="1" x14ac:dyDescent="0.25">
      <c r="A3017" t="s">
        <v>1672</v>
      </c>
      <c r="B3017" t="s">
        <v>41</v>
      </c>
      <c r="C3017" t="s">
        <v>42</v>
      </c>
      <c r="D3017" t="s">
        <v>113</v>
      </c>
      <c r="E3017" t="s">
        <v>1265</v>
      </c>
      <c r="F3017">
        <v>2</v>
      </c>
      <c r="G3017" s="12">
        <v>41268</v>
      </c>
      <c r="H3017">
        <v>52</v>
      </c>
      <c r="I3017">
        <v>2016</v>
      </c>
      <c r="J3017" t="s">
        <v>74</v>
      </c>
      <c r="K3017" t="s">
        <v>75</v>
      </c>
      <c r="L3017" t="s">
        <v>75</v>
      </c>
      <c r="M3017" t="s">
        <v>75</v>
      </c>
      <c r="N3017" t="s">
        <v>75</v>
      </c>
      <c r="O3017" t="s">
        <v>73</v>
      </c>
      <c r="P3017" t="s">
        <v>75</v>
      </c>
    </row>
    <row r="3018" spans="1:16" hidden="1" x14ac:dyDescent="0.25">
      <c r="A3018" t="s">
        <v>1673</v>
      </c>
      <c r="B3018" t="s">
        <v>43</v>
      </c>
      <c r="C3018" t="s">
        <v>44</v>
      </c>
      <c r="D3018" t="s">
        <v>114</v>
      </c>
      <c r="E3018" t="s">
        <v>1265</v>
      </c>
      <c r="F3018">
        <v>5</v>
      </c>
      <c r="G3018" s="12">
        <v>41268</v>
      </c>
      <c r="H3018">
        <v>52</v>
      </c>
      <c r="I3018">
        <v>2016</v>
      </c>
      <c r="J3018" t="s">
        <v>75</v>
      </c>
      <c r="K3018" t="s">
        <v>75</v>
      </c>
      <c r="L3018" t="s">
        <v>73</v>
      </c>
      <c r="M3018" t="s">
        <v>74</v>
      </c>
      <c r="N3018" t="s">
        <v>75</v>
      </c>
      <c r="O3018" t="s">
        <v>75</v>
      </c>
      <c r="P3018" t="s">
        <v>76</v>
      </c>
    </row>
    <row r="3019" spans="1:16" hidden="1" x14ac:dyDescent="0.25">
      <c r="A3019" t="s">
        <v>1674</v>
      </c>
      <c r="B3019" t="s">
        <v>45</v>
      </c>
      <c r="C3019" t="s">
        <v>46</v>
      </c>
      <c r="D3019" t="s">
        <v>115</v>
      </c>
      <c r="E3019" t="s">
        <v>1265</v>
      </c>
      <c r="F3019">
        <v>1</v>
      </c>
      <c r="G3019" s="12">
        <v>41268</v>
      </c>
      <c r="H3019">
        <v>52</v>
      </c>
      <c r="I3019">
        <v>2016</v>
      </c>
      <c r="J3019" t="s">
        <v>73</v>
      </c>
      <c r="K3019" t="s">
        <v>74</v>
      </c>
      <c r="L3019" t="s">
        <v>75</v>
      </c>
      <c r="M3019" t="s">
        <v>75</v>
      </c>
      <c r="N3019" t="s">
        <v>76</v>
      </c>
      <c r="O3019" t="s">
        <v>77</v>
      </c>
      <c r="P3019" t="s">
        <v>73</v>
      </c>
    </row>
    <row r="3020" spans="1:16" hidden="1" x14ac:dyDescent="0.25">
      <c r="A3020" t="s">
        <v>1675</v>
      </c>
      <c r="B3020" t="s">
        <v>47</v>
      </c>
      <c r="C3020" t="s">
        <v>48</v>
      </c>
      <c r="D3020" t="s">
        <v>116</v>
      </c>
      <c r="E3020" t="s">
        <v>1265</v>
      </c>
      <c r="F3020">
        <v>8</v>
      </c>
      <c r="G3020" s="12">
        <v>41268</v>
      </c>
      <c r="H3020">
        <v>52</v>
      </c>
      <c r="I3020">
        <v>2016</v>
      </c>
      <c r="J3020" t="s">
        <v>73</v>
      </c>
      <c r="K3020" t="s">
        <v>74</v>
      </c>
      <c r="L3020" t="s">
        <v>75</v>
      </c>
      <c r="M3020" t="s">
        <v>76</v>
      </c>
      <c r="N3020" t="s">
        <v>77</v>
      </c>
      <c r="O3020" t="s">
        <v>73</v>
      </c>
      <c r="P3020" t="s">
        <v>74</v>
      </c>
    </row>
    <row r="3021" spans="1:16" hidden="1" x14ac:dyDescent="0.25">
      <c r="A3021" t="s">
        <v>1676</v>
      </c>
      <c r="B3021" t="s">
        <v>49</v>
      </c>
      <c r="C3021" t="s">
        <v>50</v>
      </c>
      <c r="D3021" t="s">
        <v>117</v>
      </c>
      <c r="E3021" t="s">
        <v>1394</v>
      </c>
      <c r="F3021">
        <v>12</v>
      </c>
      <c r="G3021" s="12">
        <v>41268</v>
      </c>
      <c r="H3021">
        <v>52</v>
      </c>
      <c r="I3021">
        <v>2016</v>
      </c>
      <c r="J3021" t="s">
        <v>73</v>
      </c>
      <c r="K3021" t="s">
        <v>75</v>
      </c>
      <c r="L3021" t="s">
        <v>75</v>
      </c>
      <c r="M3021" t="s">
        <v>75</v>
      </c>
      <c r="N3021" t="s">
        <v>75</v>
      </c>
      <c r="O3021" t="s">
        <v>73</v>
      </c>
      <c r="P3021" t="s">
        <v>74</v>
      </c>
    </row>
    <row r="3022" spans="1:16" hidden="1" x14ac:dyDescent="0.25">
      <c r="A3022" t="s">
        <v>1677</v>
      </c>
      <c r="B3022" t="s">
        <v>51</v>
      </c>
      <c r="C3022" t="s">
        <v>52</v>
      </c>
      <c r="D3022" t="s">
        <v>118</v>
      </c>
      <c r="E3022" t="s">
        <v>1265</v>
      </c>
      <c r="F3022">
        <v>7</v>
      </c>
      <c r="G3022" s="12">
        <v>41268</v>
      </c>
      <c r="H3022">
        <v>52</v>
      </c>
      <c r="I3022">
        <v>2016</v>
      </c>
      <c r="J3022" t="s">
        <v>75</v>
      </c>
      <c r="K3022" t="s">
        <v>73</v>
      </c>
      <c r="L3022" t="s">
        <v>75</v>
      </c>
      <c r="M3022" t="s">
        <v>74</v>
      </c>
      <c r="N3022" t="s">
        <v>74</v>
      </c>
      <c r="O3022" t="s">
        <v>75</v>
      </c>
      <c r="P3022" t="s">
        <v>73</v>
      </c>
    </row>
    <row r="3023" spans="1:16" hidden="1" x14ac:dyDescent="0.25">
      <c r="A3023" t="s">
        <v>1678</v>
      </c>
      <c r="B3023" t="s">
        <v>53</v>
      </c>
      <c r="C3023" t="s">
        <v>54</v>
      </c>
      <c r="D3023" t="s">
        <v>119</v>
      </c>
      <c r="E3023" t="s">
        <v>1394</v>
      </c>
      <c r="F3023">
        <v>11</v>
      </c>
      <c r="G3023" s="12">
        <v>41268</v>
      </c>
      <c r="H3023">
        <v>52</v>
      </c>
      <c r="I3023">
        <v>2016</v>
      </c>
      <c r="J3023" t="s">
        <v>74</v>
      </c>
      <c r="K3023" t="s">
        <v>133</v>
      </c>
      <c r="L3023" t="s">
        <v>73</v>
      </c>
      <c r="M3023" t="s">
        <v>75</v>
      </c>
      <c r="N3023" t="s">
        <v>75</v>
      </c>
      <c r="O3023" t="s">
        <v>74</v>
      </c>
      <c r="P3023" t="s">
        <v>73</v>
      </c>
    </row>
    <row r="3024" spans="1:16" hidden="1" x14ac:dyDescent="0.25">
      <c r="A3024" t="s">
        <v>1679</v>
      </c>
      <c r="B3024" t="s">
        <v>1272</v>
      </c>
      <c r="C3024" t="s">
        <v>131</v>
      </c>
      <c r="D3024" t="s">
        <v>1275</v>
      </c>
      <c r="E3024" t="s">
        <v>1265</v>
      </c>
      <c r="F3024">
        <v>9</v>
      </c>
      <c r="G3024" s="12">
        <v>41268</v>
      </c>
      <c r="H3024">
        <v>52</v>
      </c>
      <c r="I3024">
        <v>2016</v>
      </c>
      <c r="J3024" t="s">
        <v>76</v>
      </c>
      <c r="K3024" t="s">
        <v>77</v>
      </c>
      <c r="L3024" t="s">
        <v>73</v>
      </c>
      <c r="M3024" t="s">
        <v>74</v>
      </c>
      <c r="N3024" t="s">
        <v>75</v>
      </c>
      <c r="O3024" t="s">
        <v>75</v>
      </c>
      <c r="P3024" t="s">
        <v>73</v>
      </c>
    </row>
    <row r="3025" spans="1:22" hidden="1" x14ac:dyDescent="0.25">
      <c r="A3025" t="s">
        <v>1680</v>
      </c>
      <c r="B3025" t="s">
        <v>1273</v>
      </c>
      <c r="C3025" t="s">
        <v>131</v>
      </c>
      <c r="D3025" t="s">
        <v>1277</v>
      </c>
      <c r="E3025" t="s">
        <v>1394</v>
      </c>
      <c r="F3025">
        <v>2</v>
      </c>
      <c r="G3025" s="12">
        <v>41268</v>
      </c>
      <c r="H3025">
        <v>52</v>
      </c>
      <c r="I3025">
        <v>2016</v>
      </c>
      <c r="J3025" t="s">
        <v>77</v>
      </c>
      <c r="K3025" t="s">
        <v>73</v>
      </c>
      <c r="L3025" t="s">
        <v>74</v>
      </c>
      <c r="M3025" t="s">
        <v>73</v>
      </c>
      <c r="N3025" t="s">
        <v>74</v>
      </c>
      <c r="O3025" t="s">
        <v>75</v>
      </c>
      <c r="P3025" t="s">
        <v>74</v>
      </c>
    </row>
    <row r="3026" spans="1:22" hidden="1" x14ac:dyDescent="0.25">
      <c r="A3026" t="s">
        <v>1681</v>
      </c>
      <c r="B3026" t="s">
        <v>1274</v>
      </c>
      <c r="C3026" t="s">
        <v>131</v>
      </c>
      <c r="D3026" t="s">
        <v>1278</v>
      </c>
      <c r="E3026" t="s">
        <v>1394</v>
      </c>
      <c r="F3026">
        <v>11</v>
      </c>
      <c r="G3026" s="12">
        <v>41268</v>
      </c>
      <c r="H3026">
        <v>52</v>
      </c>
      <c r="I3026">
        <v>2016</v>
      </c>
      <c r="J3026" t="s">
        <v>75</v>
      </c>
      <c r="K3026" t="s">
        <v>73</v>
      </c>
      <c r="L3026" t="s">
        <v>75</v>
      </c>
      <c r="M3026" t="s">
        <v>74</v>
      </c>
      <c r="N3026" t="s">
        <v>73</v>
      </c>
      <c r="O3026" t="s">
        <v>75</v>
      </c>
      <c r="P3026" t="s">
        <v>73</v>
      </c>
    </row>
    <row r="3027" spans="1:22" hidden="1" x14ac:dyDescent="0.25">
      <c r="A3027" t="s">
        <v>1682</v>
      </c>
      <c r="B3027" t="s">
        <v>1279</v>
      </c>
      <c r="C3027" t="s">
        <v>1280</v>
      </c>
      <c r="D3027" t="s">
        <v>1276</v>
      </c>
      <c r="E3027" t="s">
        <v>1265</v>
      </c>
      <c r="F3027">
        <v>5</v>
      </c>
      <c r="G3027" s="12">
        <v>41268</v>
      </c>
      <c r="H3027">
        <v>52</v>
      </c>
      <c r="I3027">
        <v>2016</v>
      </c>
      <c r="J3027" t="s">
        <v>75</v>
      </c>
      <c r="K3027" t="s">
        <v>74</v>
      </c>
      <c r="L3027" t="s">
        <v>75</v>
      </c>
      <c r="M3027" t="s">
        <v>75</v>
      </c>
      <c r="N3027" t="s">
        <v>73</v>
      </c>
      <c r="O3027" t="s">
        <v>74</v>
      </c>
      <c r="P3027" t="s">
        <v>76</v>
      </c>
    </row>
    <row r="3028" spans="1:22" hidden="1" x14ac:dyDescent="0.25">
      <c r="A3028" t="s">
        <v>1648</v>
      </c>
      <c r="B3028" t="s">
        <v>5</v>
      </c>
      <c r="C3028" t="s">
        <v>6</v>
      </c>
      <c r="D3028" t="s">
        <v>93</v>
      </c>
      <c r="E3028" t="s">
        <v>1265</v>
      </c>
      <c r="F3028">
        <v>3</v>
      </c>
      <c r="G3028" s="12">
        <v>41268</v>
      </c>
      <c r="H3028">
        <v>52</v>
      </c>
      <c r="I3028">
        <v>2016</v>
      </c>
      <c r="J3028" t="s">
        <v>73</v>
      </c>
      <c r="K3028" t="s">
        <v>75</v>
      </c>
      <c r="L3028" t="s">
        <v>76</v>
      </c>
      <c r="M3028" t="s">
        <v>77</v>
      </c>
      <c r="N3028" t="s">
        <v>73</v>
      </c>
      <c r="O3028" t="s">
        <v>74</v>
      </c>
      <c r="P3028" t="s">
        <v>75</v>
      </c>
    </row>
    <row r="3029" spans="1:22" x14ac:dyDescent="0.25">
      <c r="V3029" t="s">
        <v>1722</v>
      </c>
    </row>
  </sheetData>
  <conditionalFormatting sqref="A1:A1048576">
    <cfRule type="duplicateValues" dxfId="21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3030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0" t="s">
        <v>1385</v>
      </c>
      <c r="J10" t="s">
        <v>72</v>
      </c>
      <c r="K10">
        <v>2</v>
      </c>
      <c r="L10" s="6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0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0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0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0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0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0"/>
      <c r="J11" t="s">
        <v>72</v>
      </c>
      <c r="K11">
        <v>3</v>
      </c>
      <c r="L11" s="6">
        <v>41114</v>
      </c>
      <c r="M11">
        <v>30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min_hour(420)</f>
        <v>07:00</v>
      </c>
      <c r="W11" s="10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0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0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0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0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0"/>
      <c r="J12" t="s">
        <v>72</v>
      </c>
      <c r="K12">
        <v>8</v>
      </c>
      <c r="L12" s="6">
        <v>41114</v>
      </c>
      <c r="M12">
        <v>30</v>
      </c>
      <c r="N12">
        <v>2016</v>
      </c>
      <c r="O12" t="s">
        <v>92</v>
      </c>
      <c r="P12" t="s">
        <v>92</v>
      </c>
      <c r="Q12" t="s">
        <v>92</v>
      </c>
      <c r="R12" t="s">
        <v>92</v>
      </c>
      <c r="S12" t="s">
        <v>92</v>
      </c>
      <c r="T12" t="s">
        <v>73</v>
      </c>
      <c r="U12" t="s">
        <v>75</v>
      </c>
      <c r="V12" t="str">
        <f>min_hour(280)</f>
        <v>04:40</v>
      </c>
      <c r="W12" s="10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0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0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0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0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0"/>
      <c r="J13" t="s">
        <v>72</v>
      </c>
      <c r="K13">
        <v>9</v>
      </c>
      <c r="L13" s="6">
        <v>41114</v>
      </c>
      <c r="M13">
        <v>30</v>
      </c>
      <c r="N13">
        <v>2016</v>
      </c>
      <c r="O13" t="s">
        <v>92</v>
      </c>
      <c r="P13" t="s">
        <v>92</v>
      </c>
      <c r="Q13" t="s">
        <v>73</v>
      </c>
      <c r="R13" t="s">
        <v>92</v>
      </c>
      <c r="S13" t="s">
        <v>92</v>
      </c>
      <c r="T13" t="s">
        <v>92</v>
      </c>
      <c r="U13" t="s">
        <v>92</v>
      </c>
      <c r="V13" t="str">
        <f>min_hour(300)</f>
        <v>05:00</v>
      </c>
      <c r="W13" s="10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0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0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0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0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0"/>
      <c r="J14" t="s">
        <v>72</v>
      </c>
      <c r="K14">
        <v>10</v>
      </c>
      <c r="L14" s="6">
        <v>41114</v>
      </c>
      <c r="M14">
        <v>30</v>
      </c>
      <c r="N14">
        <v>2016</v>
      </c>
      <c r="O14" t="s">
        <v>75</v>
      </c>
      <c r="P14" t="s">
        <v>76</v>
      </c>
      <c r="Q14" t="s">
        <v>77</v>
      </c>
      <c r="R14" t="s">
        <v>73</v>
      </c>
      <c r="S14" t="s">
        <v>74</v>
      </c>
      <c r="T14" t="s">
        <v>75</v>
      </c>
      <c r="U14" t="s">
        <v>75</v>
      </c>
      <c r="V14" t="str">
        <f>min_hour(60)</f>
        <v>01:00</v>
      </c>
      <c r="W14" s="10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0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0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0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0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0"/>
      <c r="J15" t="s">
        <v>78</v>
      </c>
      <c r="K15">
        <v>2</v>
      </c>
      <c r="L15" s="6">
        <v>41114</v>
      </c>
      <c r="M15">
        <v>30</v>
      </c>
      <c r="N15">
        <v>2016</v>
      </c>
      <c r="O15" t="s">
        <v>91</v>
      </c>
      <c r="P15" t="s">
        <v>95</v>
      </c>
      <c r="Q15" t="s">
        <v>95</v>
      </c>
      <c r="R15" t="s">
        <v>73</v>
      </c>
      <c r="S15" t="s">
        <v>91</v>
      </c>
      <c r="T15" t="s">
        <v>91</v>
      </c>
      <c r="U15" t="s">
        <v>95</v>
      </c>
      <c r="V15" t="str">
        <f>min_hour(-1800)</f>
        <v>-30:00</v>
      </c>
      <c r="W15" s="10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0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0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0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0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0"/>
      <c r="J16" t="s">
        <v>72</v>
      </c>
      <c r="K16">
        <v>3</v>
      </c>
      <c r="L16" s="6">
        <v>41114</v>
      </c>
      <c r="M16">
        <v>30</v>
      </c>
      <c r="N16">
        <v>2016</v>
      </c>
      <c r="O16" t="s">
        <v>75</v>
      </c>
      <c r="P16" t="s">
        <v>75</v>
      </c>
      <c r="Q16" t="s">
        <v>75</v>
      </c>
      <c r="R16" t="s">
        <v>75</v>
      </c>
      <c r="S16" t="s">
        <v>73</v>
      </c>
      <c r="T16" t="s">
        <v>74</v>
      </c>
      <c r="U16" t="s">
        <v>75</v>
      </c>
      <c r="V16" t="str">
        <f>min_hour(300)</f>
        <v>05:00</v>
      </c>
      <c r="W16" s="10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0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0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0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0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0"/>
      <c r="J17" t="s">
        <v>72</v>
      </c>
      <c r="K17">
        <v>4</v>
      </c>
      <c r="L17" s="6">
        <v>41114</v>
      </c>
      <c r="M17">
        <v>30</v>
      </c>
      <c r="N17">
        <v>2016</v>
      </c>
      <c r="O17" t="s">
        <v>92</v>
      </c>
      <c r="P17" t="s">
        <v>92</v>
      </c>
      <c r="Q17" t="s">
        <v>92</v>
      </c>
      <c r="R17" t="s">
        <v>73</v>
      </c>
      <c r="S17" t="s">
        <v>92</v>
      </c>
      <c r="T17" t="s">
        <v>92</v>
      </c>
      <c r="U17" t="s">
        <v>92</v>
      </c>
      <c r="V17" t="str">
        <f>min_hour(540)</f>
        <v>09:00</v>
      </c>
      <c r="W17" s="10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0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0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0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0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0"/>
      <c r="J18" t="s">
        <v>72</v>
      </c>
      <c r="K18">
        <v>6</v>
      </c>
      <c r="L18" s="6">
        <v>41114</v>
      </c>
      <c r="M18">
        <v>30</v>
      </c>
      <c r="N18">
        <v>2016</v>
      </c>
      <c r="O18" t="s">
        <v>92</v>
      </c>
      <c r="P18" t="s">
        <v>73</v>
      </c>
      <c r="Q18" t="s">
        <v>92</v>
      </c>
      <c r="R18" t="s">
        <v>92</v>
      </c>
      <c r="S18" t="s">
        <v>92</v>
      </c>
      <c r="T18" t="s">
        <v>92</v>
      </c>
      <c r="U18" t="s">
        <v>92</v>
      </c>
      <c r="V18" t="str">
        <f>min_hour(300)</f>
        <v>05:00</v>
      </c>
      <c r="W18" s="10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0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0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0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0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0"/>
      <c r="J19" t="s">
        <v>72</v>
      </c>
      <c r="K19">
        <v>5</v>
      </c>
      <c r="L19" s="6">
        <v>41114</v>
      </c>
      <c r="M19">
        <v>30</v>
      </c>
      <c r="N19">
        <v>2016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min_hour(720)</f>
        <v>12:00</v>
      </c>
      <c r="W19" s="10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0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0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0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0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0"/>
      <c r="J20" t="s">
        <v>72</v>
      </c>
      <c r="K20">
        <v>11</v>
      </c>
      <c r="L20" s="6">
        <v>41114</v>
      </c>
      <c r="M20">
        <v>30</v>
      </c>
      <c r="N20">
        <v>2016</v>
      </c>
      <c r="O20" t="s">
        <v>95</v>
      </c>
      <c r="P20" t="s">
        <v>95</v>
      </c>
      <c r="Q20" t="s">
        <v>73</v>
      </c>
      <c r="R20" t="s">
        <v>91</v>
      </c>
      <c r="S20" t="s">
        <v>95</v>
      </c>
      <c r="T20" t="s">
        <v>91</v>
      </c>
      <c r="U20" t="s">
        <v>95</v>
      </c>
      <c r="V20" t="str">
        <f>min_hour(220)</f>
        <v>03:40</v>
      </c>
      <c r="W20" s="10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0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0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0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0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0"/>
      <c r="J21" t="s">
        <v>78</v>
      </c>
      <c r="K21">
        <v>5</v>
      </c>
      <c r="L21" s="6">
        <v>41114</v>
      </c>
      <c r="M21">
        <v>30</v>
      </c>
      <c r="N21">
        <v>2016</v>
      </c>
      <c r="O21" t="s">
        <v>73</v>
      </c>
      <c r="P21" t="s">
        <v>91</v>
      </c>
      <c r="Q21" t="s">
        <v>91</v>
      </c>
      <c r="R21" t="s">
        <v>75</v>
      </c>
      <c r="S21" t="s">
        <v>74</v>
      </c>
      <c r="T21" t="s">
        <v>75</v>
      </c>
      <c r="U21" t="s">
        <v>73</v>
      </c>
      <c r="V21" t="str">
        <f>min_hour(-200)</f>
        <v>-03:20</v>
      </c>
      <c r="W21" s="10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0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0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0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0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0"/>
      <c r="J22" t="s">
        <v>72</v>
      </c>
      <c r="K22">
        <v>5</v>
      </c>
      <c r="L22" s="6">
        <v>41114</v>
      </c>
      <c r="M22">
        <v>30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min_hour(-1380)</f>
        <v>-23:00</v>
      </c>
      <c r="W22" s="10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0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0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0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0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0"/>
      <c r="J23" t="s">
        <v>72</v>
      </c>
      <c r="K23">
        <v>2</v>
      </c>
      <c r="L23" s="6">
        <v>41114</v>
      </c>
      <c r="M23">
        <v>30</v>
      </c>
      <c r="N23">
        <v>2016</v>
      </c>
      <c r="O23" t="s">
        <v>74</v>
      </c>
      <c r="P23" t="s">
        <v>75</v>
      </c>
      <c r="Q23" t="s">
        <v>75</v>
      </c>
      <c r="R23" t="s">
        <v>75</v>
      </c>
      <c r="S23" t="s">
        <v>75</v>
      </c>
      <c r="T23" t="s">
        <v>73</v>
      </c>
      <c r="U23" t="s">
        <v>74</v>
      </c>
      <c r="V23" t="str">
        <f>min_hour(-720)</f>
        <v>-12:00</v>
      </c>
      <c r="W23" s="10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0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0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0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0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0"/>
      <c r="J24" t="s">
        <v>72</v>
      </c>
      <c r="K24">
        <v>10</v>
      </c>
      <c r="L24" s="6">
        <v>41114</v>
      </c>
      <c r="M24">
        <v>30</v>
      </c>
      <c r="N24">
        <v>2016</v>
      </c>
      <c r="O24" t="s">
        <v>95</v>
      </c>
      <c r="P24" t="s">
        <v>95</v>
      </c>
      <c r="Q24" t="s">
        <v>73</v>
      </c>
      <c r="R24" t="s">
        <v>91</v>
      </c>
      <c r="S24" t="s">
        <v>91</v>
      </c>
      <c r="T24" t="s">
        <v>95</v>
      </c>
      <c r="U24" t="s">
        <v>91</v>
      </c>
      <c r="V24" t="str">
        <f>min_hour(60)</f>
        <v>01:00</v>
      </c>
      <c r="W24" s="10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0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0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0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0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0"/>
      <c r="J25" t="s">
        <v>72</v>
      </c>
      <c r="K25">
        <v>11</v>
      </c>
      <c r="L25" s="6">
        <v>41114</v>
      </c>
      <c r="M25">
        <v>30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76</v>
      </c>
      <c r="U25" t="s">
        <v>77</v>
      </c>
      <c r="V25" t="str">
        <f>min_hour(140)</f>
        <v>02:20</v>
      </c>
      <c r="W25" s="10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0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0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0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0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0"/>
      <c r="J26" t="s">
        <v>72</v>
      </c>
      <c r="K26">
        <v>1</v>
      </c>
      <c r="L26" s="6">
        <v>41114</v>
      </c>
      <c r="M26">
        <v>30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min_hour(-600)</f>
        <v>-10:00</v>
      </c>
      <c r="W26" s="10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0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0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0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0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0"/>
      <c r="J27" t="s">
        <v>78</v>
      </c>
      <c r="K27">
        <v>1</v>
      </c>
      <c r="L27" s="6">
        <v>41114</v>
      </c>
      <c r="M27">
        <v>30</v>
      </c>
      <c r="N27">
        <v>2016</v>
      </c>
      <c r="O27" t="s">
        <v>95</v>
      </c>
      <c r="P27" t="s">
        <v>95</v>
      </c>
      <c r="Q27" t="s">
        <v>95</v>
      </c>
      <c r="R27" t="s">
        <v>95</v>
      </c>
      <c r="S27" t="s">
        <v>73</v>
      </c>
      <c r="T27" t="s">
        <v>91</v>
      </c>
      <c r="U27" t="s">
        <v>91</v>
      </c>
      <c r="V27" t="str">
        <f>min_hour(-1680)</f>
        <v>-28:00</v>
      </c>
      <c r="W27" s="10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0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0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0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0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0"/>
      <c r="J28" t="s">
        <v>72</v>
      </c>
      <c r="K28">
        <v>8</v>
      </c>
      <c r="L28" s="6">
        <v>41114</v>
      </c>
      <c r="M28">
        <v>30</v>
      </c>
      <c r="N28">
        <v>2016</v>
      </c>
      <c r="O28" t="s">
        <v>74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0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0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0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0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0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0"/>
      <c r="J29" t="s">
        <v>78</v>
      </c>
      <c r="K29">
        <v>2</v>
      </c>
      <c r="L29" s="6">
        <v>41114</v>
      </c>
      <c r="M29">
        <v>30</v>
      </c>
      <c r="N29">
        <v>2016</v>
      </c>
      <c r="O29" t="s">
        <v>75</v>
      </c>
      <c r="P29" t="s">
        <v>76</v>
      </c>
      <c r="Q29" t="s">
        <v>77</v>
      </c>
      <c r="R29" t="s">
        <v>73</v>
      </c>
      <c r="S29" t="s">
        <v>75</v>
      </c>
      <c r="T29" t="s">
        <v>75</v>
      </c>
      <c r="U29" t="s">
        <v>75</v>
      </c>
      <c r="V29" t="str">
        <f>min_hour(300)</f>
        <v>05:00</v>
      </c>
      <c r="W29" s="10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0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0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0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0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0"/>
      <c r="J30" t="s">
        <v>78</v>
      </c>
      <c r="K30">
        <v>2</v>
      </c>
      <c r="L30" s="6">
        <v>41114</v>
      </c>
      <c r="M30">
        <v>30</v>
      </c>
      <c r="N30">
        <v>2016</v>
      </c>
      <c r="O30" t="s">
        <v>95</v>
      </c>
      <c r="P30" t="s">
        <v>95</v>
      </c>
      <c r="Q30" t="s">
        <v>95</v>
      </c>
      <c r="R30" t="s">
        <v>73</v>
      </c>
      <c r="S30" t="s">
        <v>91</v>
      </c>
      <c r="T30" t="s">
        <v>95</v>
      </c>
      <c r="U30" t="s">
        <v>95</v>
      </c>
      <c r="V30" t="str">
        <f>min_hour(60)</f>
        <v>01:00</v>
      </c>
      <c r="W30" s="10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0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0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0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0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0"/>
      <c r="J31" t="s">
        <v>78</v>
      </c>
      <c r="K31">
        <v>1</v>
      </c>
      <c r="L31" s="6">
        <v>41114</v>
      </c>
      <c r="M31">
        <v>30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min_hour(20)</f>
        <v>00:20</v>
      </c>
      <c r="W31" s="10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0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0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0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0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0"/>
      <c r="J32" t="s">
        <v>78</v>
      </c>
      <c r="K32">
        <v>1</v>
      </c>
      <c r="L32" s="6">
        <v>41114</v>
      </c>
      <c r="M32">
        <v>30</v>
      </c>
      <c r="N32">
        <v>2016</v>
      </c>
      <c r="O32" t="s">
        <v>95</v>
      </c>
      <c r="P32" t="s">
        <v>95</v>
      </c>
      <c r="Q32" t="s">
        <v>95</v>
      </c>
      <c r="R32" t="s">
        <v>95</v>
      </c>
      <c r="S32" t="s">
        <v>73</v>
      </c>
      <c r="T32" t="s">
        <v>91</v>
      </c>
      <c r="U32" t="s">
        <v>91</v>
      </c>
      <c r="V32" t="str">
        <f>min_hour(300)</f>
        <v>05:00</v>
      </c>
      <c r="W32" s="10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0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0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0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0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0"/>
      <c r="J33" t="s">
        <v>72</v>
      </c>
      <c r="K33">
        <v>9</v>
      </c>
      <c r="L33" s="6">
        <v>41114</v>
      </c>
      <c r="M33">
        <v>30</v>
      </c>
      <c r="N33">
        <v>2016</v>
      </c>
      <c r="O33" t="s">
        <v>92</v>
      </c>
      <c r="P33" t="s">
        <v>92</v>
      </c>
      <c r="Q33" t="s">
        <v>92</v>
      </c>
      <c r="R33" t="s">
        <v>92</v>
      </c>
      <c r="S33" t="s">
        <v>73</v>
      </c>
      <c r="T33" t="s">
        <v>92</v>
      </c>
      <c r="U33" t="s">
        <v>92</v>
      </c>
      <c r="V33" t="str">
        <f>min_hour(360)</f>
        <v>06:00</v>
      </c>
      <c r="W33" s="10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0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0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0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0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0"/>
      <c r="J34" t="s">
        <v>78</v>
      </c>
      <c r="K34">
        <v>4</v>
      </c>
      <c r="L34" s="6">
        <v>41114</v>
      </c>
      <c r="M34">
        <v>30</v>
      </c>
      <c r="N34">
        <v>2016</v>
      </c>
      <c r="O34" t="s">
        <v>75</v>
      </c>
      <c r="P34" t="s">
        <v>73</v>
      </c>
      <c r="Q34" t="s">
        <v>74</v>
      </c>
      <c r="R34" t="s">
        <v>75</v>
      </c>
      <c r="S34" t="s">
        <v>75</v>
      </c>
      <c r="T34" t="s">
        <v>76</v>
      </c>
      <c r="U34" t="s">
        <v>77</v>
      </c>
      <c r="V34" t="str">
        <f>min_hour(300)</f>
        <v>05:00</v>
      </c>
      <c r="W34" s="10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0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0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0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0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0"/>
      <c r="J35" t="s">
        <v>72</v>
      </c>
      <c r="K35">
        <v>8</v>
      </c>
      <c r="L35" s="6">
        <v>41114</v>
      </c>
      <c r="M35">
        <v>30</v>
      </c>
      <c r="N35">
        <v>2016</v>
      </c>
      <c r="O35" t="s">
        <v>74</v>
      </c>
      <c r="P35" t="s">
        <v>74</v>
      </c>
      <c r="Q35" t="s">
        <v>75</v>
      </c>
      <c r="R35" t="s">
        <v>76</v>
      </c>
      <c r="S35" t="s">
        <v>77</v>
      </c>
      <c r="T35" t="s">
        <v>73</v>
      </c>
      <c r="U35" t="s">
        <v>74</v>
      </c>
      <c r="V35" t="str">
        <f>min_hour(80)</f>
        <v>01:20</v>
      </c>
      <c r="W35" s="10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0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0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0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0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0"/>
      <c r="J36" t="s">
        <v>72</v>
      </c>
      <c r="K36">
        <v>4</v>
      </c>
      <c r="L36" s="6">
        <v>41114</v>
      </c>
      <c r="M36">
        <v>30</v>
      </c>
      <c r="N36">
        <v>2016</v>
      </c>
      <c r="O36" t="s">
        <v>92</v>
      </c>
      <c r="P36" t="s">
        <v>92</v>
      </c>
      <c r="Q36" t="s">
        <v>92</v>
      </c>
      <c r="R36" t="s">
        <v>73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0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0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0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0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0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0"/>
      <c r="J37" t="s">
        <v>72</v>
      </c>
      <c r="K37">
        <v>1</v>
      </c>
      <c r="L37" s="6">
        <v>41114</v>
      </c>
      <c r="M37">
        <v>30</v>
      </c>
      <c r="N37">
        <v>2016</v>
      </c>
      <c r="O37" t="s">
        <v>73</v>
      </c>
      <c r="P37" t="s">
        <v>74</v>
      </c>
      <c r="Q37" t="s">
        <v>74</v>
      </c>
      <c r="R37" t="s">
        <v>74</v>
      </c>
      <c r="S37" t="s">
        <v>75</v>
      </c>
      <c r="T37" t="s">
        <v>75</v>
      </c>
      <c r="U37" t="s">
        <v>73</v>
      </c>
      <c r="V37" t="str">
        <f>min_hour(180)</f>
        <v>03:00</v>
      </c>
      <c r="W37" s="10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0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0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0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0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0"/>
      <c r="J38" t="s">
        <v>72</v>
      </c>
      <c r="K38">
        <v>7</v>
      </c>
      <c r="L38" s="6">
        <v>41114</v>
      </c>
      <c r="M38">
        <v>30</v>
      </c>
      <c r="N38">
        <v>2016</v>
      </c>
      <c r="O38" t="s">
        <v>73</v>
      </c>
      <c r="P38" t="s">
        <v>74</v>
      </c>
      <c r="Q38" t="s">
        <v>74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0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0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0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0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0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0"/>
      <c r="J39" t="s">
        <v>78</v>
      </c>
      <c r="K39">
        <v>5</v>
      </c>
      <c r="L39" s="6">
        <v>41114</v>
      </c>
      <c r="M39">
        <v>30</v>
      </c>
      <c r="N39">
        <v>2016</v>
      </c>
      <c r="O39" t="s">
        <v>73</v>
      </c>
      <c r="P39" t="s">
        <v>74</v>
      </c>
      <c r="Q39" t="s">
        <v>75</v>
      </c>
      <c r="R39" t="s">
        <v>75</v>
      </c>
      <c r="S39" t="s">
        <v>76</v>
      </c>
      <c r="T39" t="s">
        <v>77</v>
      </c>
      <c r="U39" t="s">
        <v>73</v>
      </c>
      <c r="V39" t="str">
        <f>min_hour(-120)</f>
        <v>-02:00</v>
      </c>
      <c r="W39" s="10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0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0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0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0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0"/>
      <c r="J40" t="s">
        <v>72</v>
      </c>
      <c r="K40">
        <v>7</v>
      </c>
      <c r="L40" s="6">
        <v>41114</v>
      </c>
      <c r="M40">
        <v>30</v>
      </c>
      <c r="N40">
        <v>2016</v>
      </c>
      <c r="O40" t="s">
        <v>73</v>
      </c>
      <c r="P40" t="s">
        <v>92</v>
      </c>
      <c r="Q40" t="s">
        <v>92</v>
      </c>
      <c r="R40" t="s">
        <v>92</v>
      </c>
      <c r="S40" t="s">
        <v>92</v>
      </c>
      <c r="T40" t="s">
        <v>92</v>
      </c>
      <c r="U40" t="s">
        <v>73</v>
      </c>
      <c r="V40" t="str">
        <f>min_hour(120)</f>
        <v>02:00</v>
      </c>
      <c r="W40" s="10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0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0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0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0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0"/>
      <c r="J41" t="s">
        <v>72</v>
      </c>
      <c r="K41">
        <v>6</v>
      </c>
      <c r="L41" s="6">
        <v>41114</v>
      </c>
      <c r="M41">
        <v>30</v>
      </c>
      <c r="N41">
        <v>2016</v>
      </c>
      <c r="O41" t="s">
        <v>91</v>
      </c>
      <c r="P41" t="s">
        <v>73</v>
      </c>
      <c r="Q41" t="s">
        <v>91</v>
      </c>
      <c r="R41" t="s">
        <v>95</v>
      </c>
      <c r="S41" t="s">
        <v>95</v>
      </c>
      <c r="T41" t="s">
        <v>95</v>
      </c>
      <c r="U41" t="s">
        <v>95</v>
      </c>
      <c r="V41" t="str">
        <f>min_hour(300)</f>
        <v>05:00</v>
      </c>
      <c r="W41" s="10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0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0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0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0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0" priority="1" operator="equal">
      <formula>"RC"</formula>
    </cfRule>
    <cfRule type="cellIs" dxfId="19" priority="2" operator="equal">
      <formula>"R"</formula>
    </cfRule>
    <cfRule type="cellIs" dxfId="18" priority="3" operator="equal">
      <formula>"S"</formula>
    </cfRule>
    <cfRule type="cellIs" dxfId="1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0" t="s">
        <v>1380</v>
      </c>
      <c r="J10" t="s">
        <v>72</v>
      </c>
      <c r="K10">
        <v>7</v>
      </c>
      <c r="L10" s="6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0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0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0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0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0"/>
      <c r="J11" t="s">
        <v>72</v>
      </c>
      <c r="K11">
        <v>8</v>
      </c>
      <c r="L11" s="6">
        <v>41149</v>
      </c>
      <c r="M11">
        <v>35</v>
      </c>
      <c r="N11">
        <v>2016</v>
      </c>
      <c r="O11" t="s">
        <v>73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  <c r="V11" t="str">
        <f>min_hour(260)</f>
        <v>04:20</v>
      </c>
      <c r="W11" s="10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0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0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0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0"/>
      <c r="J12" t="s">
        <v>72</v>
      </c>
      <c r="K12">
        <v>2</v>
      </c>
      <c r="L12" s="6">
        <v>41149</v>
      </c>
      <c r="M12">
        <v>35</v>
      </c>
      <c r="N12">
        <v>2016</v>
      </c>
      <c r="O12" t="s">
        <v>74</v>
      </c>
      <c r="P12" t="s">
        <v>75</v>
      </c>
      <c r="Q12" t="s">
        <v>75</v>
      </c>
      <c r="R12" t="s">
        <v>75</v>
      </c>
      <c r="S12" t="s">
        <v>75</v>
      </c>
      <c r="T12" t="s">
        <v>73</v>
      </c>
      <c r="U12" t="s">
        <v>75</v>
      </c>
      <c r="V12" t="str">
        <f>min_hour(-60)</f>
        <v>-01:00</v>
      </c>
      <c r="W12" s="10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0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0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0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0"/>
      <c r="J13" t="s">
        <v>72</v>
      </c>
      <c r="K13">
        <v>3</v>
      </c>
      <c r="L13" s="6">
        <v>41149</v>
      </c>
      <c r="M13">
        <v>35</v>
      </c>
      <c r="N13">
        <v>2016</v>
      </c>
      <c r="O13" t="s">
        <v>74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0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0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0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0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0"/>
      <c r="J14" t="s">
        <v>72</v>
      </c>
      <c r="K14">
        <v>4</v>
      </c>
      <c r="L14" s="6">
        <v>41149</v>
      </c>
      <c r="M14">
        <v>35</v>
      </c>
      <c r="N14">
        <v>2016</v>
      </c>
      <c r="O14" t="s">
        <v>74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min_hour(300)</f>
        <v>05:00</v>
      </c>
      <c r="W14" s="10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0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0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0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0"/>
      <c r="J15" t="s">
        <v>78</v>
      </c>
      <c r="K15">
        <v>1</v>
      </c>
      <c r="L15" s="6">
        <v>41149</v>
      </c>
      <c r="M15">
        <v>35</v>
      </c>
      <c r="N15">
        <v>2016</v>
      </c>
      <c r="O15" t="s">
        <v>91</v>
      </c>
      <c r="P15" t="s">
        <v>95</v>
      </c>
      <c r="Q15" t="s">
        <v>95</v>
      </c>
      <c r="R15" t="s">
        <v>95</v>
      </c>
      <c r="S15" t="s">
        <v>73</v>
      </c>
      <c r="T15" t="s">
        <v>91</v>
      </c>
      <c r="U15" t="s">
        <v>91</v>
      </c>
      <c r="V15" t="str">
        <f>min_hour(-1300)</f>
        <v>-21:40</v>
      </c>
      <c r="W15" s="10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0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0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0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0"/>
      <c r="J16" t="s">
        <v>78</v>
      </c>
      <c r="K16">
        <v>6</v>
      </c>
      <c r="L16" s="6">
        <v>41149</v>
      </c>
      <c r="M16">
        <v>35</v>
      </c>
      <c r="N16">
        <v>2016</v>
      </c>
      <c r="O16" t="s">
        <v>73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min_hour(-120)</f>
        <v>-02:00</v>
      </c>
      <c r="W16" s="10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0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0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0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0"/>
      <c r="J17" t="s">
        <v>72</v>
      </c>
      <c r="K17">
        <v>9</v>
      </c>
      <c r="L17" s="6">
        <v>41149</v>
      </c>
      <c r="M17">
        <v>35</v>
      </c>
      <c r="N17">
        <v>2016</v>
      </c>
      <c r="O17" t="s">
        <v>75</v>
      </c>
      <c r="P17" t="s">
        <v>74</v>
      </c>
      <c r="Q17" t="s">
        <v>74</v>
      </c>
      <c r="R17" t="s">
        <v>75</v>
      </c>
      <c r="S17" t="s">
        <v>73</v>
      </c>
      <c r="T17" t="s">
        <v>74</v>
      </c>
      <c r="U17" t="s">
        <v>74</v>
      </c>
      <c r="V17" t="str">
        <f>min_hour(540)</f>
        <v>09:00</v>
      </c>
      <c r="W17" s="10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0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0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0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0"/>
      <c r="J18" t="s">
        <v>72</v>
      </c>
      <c r="K18">
        <v>11</v>
      </c>
      <c r="L18" s="6">
        <v>41149</v>
      </c>
      <c r="M18">
        <v>35</v>
      </c>
      <c r="N18">
        <v>2016</v>
      </c>
      <c r="O18" t="s">
        <v>76</v>
      </c>
      <c r="P18" t="s">
        <v>77</v>
      </c>
      <c r="Q18" t="s">
        <v>73</v>
      </c>
      <c r="R18" t="s">
        <v>75</v>
      </c>
      <c r="S18" t="s">
        <v>75</v>
      </c>
      <c r="T18" t="s">
        <v>76</v>
      </c>
      <c r="U18" t="s">
        <v>77</v>
      </c>
      <c r="V18" t="str">
        <f>min_hour(300)</f>
        <v>05:00</v>
      </c>
      <c r="W18" s="10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0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0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0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0"/>
      <c r="J19" t="s">
        <v>72</v>
      </c>
      <c r="K19">
        <v>10</v>
      </c>
      <c r="L19" s="6">
        <v>41149</v>
      </c>
      <c r="M19">
        <v>35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74</v>
      </c>
      <c r="T19" t="s">
        <v>75</v>
      </c>
      <c r="U19" t="s">
        <v>75</v>
      </c>
      <c r="V19" t="str">
        <f>min_hour(300)</f>
        <v>05:00</v>
      </c>
      <c r="W19" s="10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0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0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0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0"/>
      <c r="J20" t="s">
        <v>72</v>
      </c>
      <c r="K20">
        <v>5</v>
      </c>
      <c r="L20" s="6">
        <v>41149</v>
      </c>
      <c r="M20">
        <v>35</v>
      </c>
      <c r="N20">
        <v>2016</v>
      </c>
      <c r="O20" t="s">
        <v>92</v>
      </c>
      <c r="P20" t="s">
        <v>75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min_hour(640)</f>
        <v>10:40</v>
      </c>
      <c r="W20" s="10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0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0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0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126</v>
      </c>
      <c r="B21" t="s">
        <v>23</v>
      </c>
      <c r="C21" t="s">
        <v>55</v>
      </c>
      <c r="I21" s="10"/>
      <c r="J21" t="s">
        <v>78</v>
      </c>
      <c r="K21">
        <v>2</v>
      </c>
      <c r="L21" s="6">
        <v>41149</v>
      </c>
      <c r="M21">
        <v>35</v>
      </c>
      <c r="N21">
        <v>2016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min_hour(60)</f>
        <v>01:00</v>
      </c>
      <c r="W21" s="10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0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0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0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104</v>
      </c>
      <c r="B22" t="s">
        <v>25</v>
      </c>
      <c r="C22" t="s">
        <v>131</v>
      </c>
      <c r="I22" s="10"/>
      <c r="J22" t="s">
        <v>72</v>
      </c>
      <c r="K22">
        <v>1</v>
      </c>
      <c r="L22" s="6">
        <v>41149</v>
      </c>
      <c r="M22">
        <v>35</v>
      </c>
      <c r="N22">
        <v>2016</v>
      </c>
      <c r="O22" t="s">
        <v>73</v>
      </c>
      <c r="P22" t="s">
        <v>92</v>
      </c>
      <c r="Q22" t="s">
        <v>92</v>
      </c>
      <c r="R22" t="s">
        <v>92</v>
      </c>
      <c r="S22" t="s">
        <v>92</v>
      </c>
      <c r="T22" t="s">
        <v>92</v>
      </c>
      <c r="U22" t="s">
        <v>73</v>
      </c>
      <c r="V22" t="str">
        <f>min_hour(120)</f>
        <v>02:00</v>
      </c>
      <c r="W22" s="10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0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0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0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128</v>
      </c>
      <c r="B23" t="s">
        <v>56</v>
      </c>
      <c r="C23" t="s">
        <v>57</v>
      </c>
      <c r="I23" s="10"/>
      <c r="J23" t="s">
        <v>72</v>
      </c>
      <c r="K23">
        <v>4</v>
      </c>
      <c r="L23" s="6">
        <v>41149</v>
      </c>
      <c r="M23">
        <v>35</v>
      </c>
      <c r="N23">
        <v>2016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min_hour(-120)</f>
        <v>-02:00</v>
      </c>
      <c r="W23" s="10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0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0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0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105</v>
      </c>
      <c r="B24" t="s">
        <v>26</v>
      </c>
      <c r="C24" t="s">
        <v>27</v>
      </c>
      <c r="I24" s="10"/>
      <c r="J24" t="s">
        <v>72</v>
      </c>
      <c r="K24">
        <v>5</v>
      </c>
      <c r="L24" s="6">
        <v>41149</v>
      </c>
      <c r="M24">
        <v>35</v>
      </c>
      <c r="N24">
        <v>2016</v>
      </c>
      <c r="O24" t="s">
        <v>76</v>
      </c>
      <c r="P24" t="s">
        <v>77</v>
      </c>
      <c r="Q24" t="s">
        <v>73</v>
      </c>
      <c r="R24" t="s">
        <v>74</v>
      </c>
      <c r="S24" t="s">
        <v>75</v>
      </c>
      <c r="T24" t="s">
        <v>75</v>
      </c>
      <c r="U24" t="s">
        <v>76</v>
      </c>
      <c r="V24" t="str">
        <f>min_hour(480)</f>
        <v>08:00</v>
      </c>
      <c r="W24" s="10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0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0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0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106</v>
      </c>
      <c r="B25" t="s">
        <v>28</v>
      </c>
      <c r="C25" t="s">
        <v>29</v>
      </c>
      <c r="I25" s="10"/>
      <c r="J25" t="s">
        <v>78</v>
      </c>
      <c r="K25">
        <v>4</v>
      </c>
      <c r="L25" s="6">
        <v>41149</v>
      </c>
      <c r="M25">
        <v>35</v>
      </c>
      <c r="N25">
        <v>2016</v>
      </c>
      <c r="O25" t="s">
        <v>77</v>
      </c>
      <c r="P25" t="s">
        <v>73</v>
      </c>
      <c r="Q25" t="s">
        <v>74</v>
      </c>
      <c r="R25" t="s">
        <v>74</v>
      </c>
      <c r="S25" t="s">
        <v>75</v>
      </c>
      <c r="T25" t="s">
        <v>75</v>
      </c>
      <c r="U25" t="s">
        <v>74</v>
      </c>
      <c r="V25" t="str">
        <f>min_hour(60)</f>
        <v>01:00</v>
      </c>
      <c r="W25" s="10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0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0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0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107</v>
      </c>
      <c r="B26" t="s">
        <v>30</v>
      </c>
      <c r="C26" t="s">
        <v>8</v>
      </c>
      <c r="I26" s="10"/>
      <c r="J26" t="s">
        <v>78</v>
      </c>
      <c r="K26">
        <v>6</v>
      </c>
      <c r="L26" s="6">
        <v>41149</v>
      </c>
      <c r="M26">
        <v>35</v>
      </c>
      <c r="N26">
        <v>2016</v>
      </c>
      <c r="O26" t="s">
        <v>75</v>
      </c>
      <c r="P26" t="s">
        <v>74</v>
      </c>
      <c r="Q26" t="s">
        <v>75</v>
      </c>
      <c r="R26" t="s">
        <v>74</v>
      </c>
      <c r="S26" t="s">
        <v>75</v>
      </c>
      <c r="T26" t="s">
        <v>73</v>
      </c>
      <c r="U26" t="s">
        <v>75</v>
      </c>
      <c r="V26" t="str">
        <f>min_hour(-720)</f>
        <v>-12:00</v>
      </c>
      <c r="W26" s="10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0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0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0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108</v>
      </c>
      <c r="B27" t="s">
        <v>30</v>
      </c>
      <c r="C27" t="s">
        <v>31</v>
      </c>
      <c r="I27" s="10"/>
      <c r="J27" t="s">
        <v>72</v>
      </c>
      <c r="K27">
        <v>8</v>
      </c>
      <c r="L27" s="6">
        <v>41149</v>
      </c>
      <c r="M27">
        <v>35</v>
      </c>
      <c r="N27">
        <v>2016</v>
      </c>
      <c r="O27" t="s">
        <v>92</v>
      </c>
      <c r="P27" t="s">
        <v>92</v>
      </c>
      <c r="Q27" t="s">
        <v>92</v>
      </c>
      <c r="R27" t="s">
        <v>92</v>
      </c>
      <c r="S27" t="s">
        <v>92</v>
      </c>
      <c r="T27" t="s">
        <v>73</v>
      </c>
      <c r="U27" t="s">
        <v>92</v>
      </c>
      <c r="V27" t="str">
        <f>min_hour(-60)</f>
        <v>-01:00</v>
      </c>
      <c r="W27" s="10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0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0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0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122</v>
      </c>
      <c r="B28" t="s">
        <v>32</v>
      </c>
      <c r="C28" t="s">
        <v>34</v>
      </c>
      <c r="I28" s="10"/>
      <c r="J28" t="s">
        <v>78</v>
      </c>
      <c r="K28">
        <v>1</v>
      </c>
      <c r="L28" s="6">
        <v>41149</v>
      </c>
      <c r="M28">
        <v>35</v>
      </c>
      <c r="N28">
        <v>2016</v>
      </c>
      <c r="O28" t="s">
        <v>95</v>
      </c>
      <c r="P28" t="s">
        <v>95</v>
      </c>
      <c r="Q28" t="s">
        <v>95</v>
      </c>
      <c r="R28" t="s">
        <v>95</v>
      </c>
      <c r="S28" t="s">
        <v>73</v>
      </c>
      <c r="T28" t="s">
        <v>95</v>
      </c>
      <c r="U28" t="s">
        <v>95</v>
      </c>
      <c r="V28" t="str">
        <f>min_hour(300)</f>
        <v>05:00</v>
      </c>
      <c r="W28" s="10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0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0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0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110</v>
      </c>
      <c r="B29" t="s">
        <v>35</v>
      </c>
      <c r="C29" t="s">
        <v>36</v>
      </c>
      <c r="I29" s="10"/>
      <c r="J29" t="s">
        <v>72</v>
      </c>
      <c r="K29">
        <v>2</v>
      </c>
      <c r="L29" s="6">
        <v>41149</v>
      </c>
      <c r="M29">
        <v>35</v>
      </c>
      <c r="N29">
        <v>2016</v>
      </c>
      <c r="O29" t="s">
        <v>75</v>
      </c>
      <c r="P29" t="s">
        <v>74</v>
      </c>
      <c r="Q29" t="s">
        <v>75</v>
      </c>
      <c r="R29" t="s">
        <v>74</v>
      </c>
      <c r="S29" t="s">
        <v>75</v>
      </c>
      <c r="T29" t="s">
        <v>73</v>
      </c>
      <c r="U29" t="s">
        <v>75</v>
      </c>
      <c r="V29" t="str">
        <f>min_hour(-200)</f>
        <v>-03:20</v>
      </c>
      <c r="W29" s="10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0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0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0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129</v>
      </c>
      <c r="B30" t="s">
        <v>58</v>
      </c>
      <c r="C30" t="s">
        <v>59</v>
      </c>
      <c r="I30" s="10"/>
      <c r="J30" t="s">
        <v>78</v>
      </c>
      <c r="K30">
        <v>6</v>
      </c>
      <c r="L30" s="6">
        <v>41149</v>
      </c>
      <c r="M30">
        <v>35</v>
      </c>
      <c r="N30">
        <v>2016</v>
      </c>
      <c r="O30" t="s">
        <v>75</v>
      </c>
      <c r="P30" t="s">
        <v>74</v>
      </c>
      <c r="Q30" t="s">
        <v>75</v>
      </c>
      <c r="R30" t="s">
        <v>74</v>
      </c>
      <c r="S30" t="s">
        <v>75</v>
      </c>
      <c r="T30" t="s">
        <v>73</v>
      </c>
      <c r="U30" t="s">
        <v>75</v>
      </c>
      <c r="V30" t="str">
        <f>min_hour(120)</f>
        <v>02:00</v>
      </c>
      <c r="W30" s="10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0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0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0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111</v>
      </c>
      <c r="B31" t="s">
        <v>37</v>
      </c>
      <c r="C31" t="s">
        <v>38</v>
      </c>
      <c r="I31" s="10"/>
      <c r="J31" t="s">
        <v>72</v>
      </c>
      <c r="K31">
        <v>3</v>
      </c>
      <c r="L31" s="6">
        <v>41149</v>
      </c>
      <c r="M31">
        <v>35</v>
      </c>
      <c r="N31">
        <v>2016</v>
      </c>
      <c r="O31" t="s">
        <v>75</v>
      </c>
      <c r="P31" t="s">
        <v>75</v>
      </c>
      <c r="Q31" t="s">
        <v>76</v>
      </c>
      <c r="R31" t="s">
        <v>77</v>
      </c>
      <c r="S31" t="s">
        <v>73</v>
      </c>
      <c r="T31" t="s">
        <v>74</v>
      </c>
      <c r="U31" t="s">
        <v>75</v>
      </c>
      <c r="V31" t="str">
        <f>min_hour(840)</f>
        <v>14:00</v>
      </c>
      <c r="W31" s="10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0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0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0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112</v>
      </c>
      <c r="B32" t="s">
        <v>39</v>
      </c>
      <c r="C32" t="s">
        <v>40</v>
      </c>
      <c r="I32" s="10"/>
      <c r="J32" t="s">
        <v>72</v>
      </c>
      <c r="K32">
        <v>6</v>
      </c>
      <c r="L32" s="6">
        <v>41149</v>
      </c>
      <c r="M32">
        <v>35</v>
      </c>
      <c r="N32">
        <v>2016</v>
      </c>
      <c r="O32" t="s">
        <v>92</v>
      </c>
      <c r="P32" t="s">
        <v>92</v>
      </c>
      <c r="Q32" t="s">
        <v>73</v>
      </c>
      <c r="R32" t="s">
        <v>92</v>
      </c>
      <c r="S32" t="s">
        <v>92</v>
      </c>
      <c r="T32" t="s">
        <v>92</v>
      </c>
      <c r="U32" t="s">
        <v>92</v>
      </c>
      <c r="V32" t="str">
        <f>min_hour(820)</f>
        <v>13:40</v>
      </c>
      <c r="W32" s="10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0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0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0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113</v>
      </c>
      <c r="B33" t="s">
        <v>41</v>
      </c>
      <c r="C33" t="s">
        <v>42</v>
      </c>
      <c r="I33" s="10"/>
      <c r="J33" t="s">
        <v>72</v>
      </c>
      <c r="K33">
        <v>7</v>
      </c>
      <c r="L33" s="6">
        <v>41149</v>
      </c>
      <c r="M33">
        <v>35</v>
      </c>
      <c r="N33">
        <v>2016</v>
      </c>
      <c r="O33" t="s">
        <v>74</v>
      </c>
      <c r="P33" t="s">
        <v>75</v>
      </c>
      <c r="Q33" t="s">
        <v>75</v>
      </c>
      <c r="R33" t="s">
        <v>75</v>
      </c>
      <c r="S33" t="s">
        <v>74</v>
      </c>
      <c r="T33" t="s">
        <v>73</v>
      </c>
      <c r="U33" t="s">
        <v>75</v>
      </c>
      <c r="V33" t="str">
        <f>min_hour(560)</f>
        <v>09:20</v>
      </c>
      <c r="W33" s="10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0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0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0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114</v>
      </c>
      <c r="B34" t="s">
        <v>43</v>
      </c>
      <c r="C34" t="s">
        <v>44</v>
      </c>
      <c r="I34" s="10"/>
      <c r="J34" t="s">
        <v>72</v>
      </c>
      <c r="K34">
        <v>10</v>
      </c>
      <c r="L34" s="6">
        <v>41149</v>
      </c>
      <c r="M34">
        <v>35</v>
      </c>
      <c r="N34">
        <v>2016</v>
      </c>
      <c r="O34" t="s">
        <v>75</v>
      </c>
      <c r="P34" t="s">
        <v>74</v>
      </c>
      <c r="Q34" t="s">
        <v>74</v>
      </c>
      <c r="R34" t="s">
        <v>75</v>
      </c>
      <c r="S34" t="s">
        <v>73</v>
      </c>
      <c r="T34" t="s">
        <v>74</v>
      </c>
      <c r="U34" t="s">
        <v>74</v>
      </c>
      <c r="V34" t="str">
        <f>min_hour(540)</f>
        <v>09:00</v>
      </c>
      <c r="W34" s="10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0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0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0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115</v>
      </c>
      <c r="B35" t="s">
        <v>45</v>
      </c>
      <c r="C35" t="s">
        <v>46</v>
      </c>
      <c r="I35" s="10"/>
      <c r="J35" t="s">
        <v>72</v>
      </c>
      <c r="K35">
        <v>6</v>
      </c>
      <c r="L35" s="6">
        <v>41149</v>
      </c>
      <c r="M35">
        <v>35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min_hour(780)</f>
        <v>13:00</v>
      </c>
      <c r="W35" s="10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0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0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0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116</v>
      </c>
      <c r="B36" t="s">
        <v>47</v>
      </c>
      <c r="C36" t="s">
        <v>48</v>
      </c>
      <c r="I36" s="10"/>
      <c r="J36" t="s">
        <v>78</v>
      </c>
      <c r="K36">
        <v>5</v>
      </c>
      <c r="L36" s="6">
        <v>41149</v>
      </c>
      <c r="M36">
        <v>35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0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0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0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0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117</v>
      </c>
      <c r="B37" t="s">
        <v>49</v>
      </c>
      <c r="C37" t="s">
        <v>50</v>
      </c>
      <c r="I37" s="10"/>
      <c r="J37" t="s">
        <v>78</v>
      </c>
      <c r="K37">
        <v>4</v>
      </c>
      <c r="L37" s="6">
        <v>41149</v>
      </c>
      <c r="M37">
        <v>35</v>
      </c>
      <c r="N37">
        <v>2016</v>
      </c>
      <c r="O37" t="s">
        <v>92</v>
      </c>
      <c r="P37" t="s">
        <v>73</v>
      </c>
      <c r="Q37" t="s">
        <v>92</v>
      </c>
      <c r="R37" t="s">
        <v>92</v>
      </c>
      <c r="S37" t="s">
        <v>92</v>
      </c>
      <c r="T37" t="s">
        <v>92</v>
      </c>
      <c r="U37" t="s">
        <v>92</v>
      </c>
      <c r="V37" t="str">
        <f>min_hour(300)</f>
        <v>05:00</v>
      </c>
      <c r="W37" s="10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0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0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0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118</v>
      </c>
      <c r="B38" t="s">
        <v>51</v>
      </c>
      <c r="C38" t="s">
        <v>52</v>
      </c>
      <c r="I38" s="10"/>
      <c r="J38" t="s">
        <v>72</v>
      </c>
      <c r="K38">
        <v>1</v>
      </c>
      <c r="L38" s="6">
        <v>41149</v>
      </c>
      <c r="M38">
        <v>35</v>
      </c>
      <c r="N38">
        <v>2016</v>
      </c>
      <c r="O38" t="s">
        <v>73</v>
      </c>
      <c r="P38" t="s">
        <v>74</v>
      </c>
      <c r="Q38" t="s">
        <v>75</v>
      </c>
      <c r="R38" t="s">
        <v>75</v>
      </c>
      <c r="S38" t="s">
        <v>76</v>
      </c>
      <c r="T38" t="s">
        <v>77</v>
      </c>
      <c r="U38" t="s">
        <v>73</v>
      </c>
      <c r="V38" t="str">
        <f>min_hour(-120)</f>
        <v>-02:00</v>
      </c>
      <c r="W38" s="10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0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0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0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119</v>
      </c>
      <c r="B39" t="s">
        <v>53</v>
      </c>
      <c r="C39" t="s">
        <v>54</v>
      </c>
      <c r="I39" s="10"/>
      <c r="J39" t="s">
        <v>72</v>
      </c>
      <c r="K39">
        <v>11</v>
      </c>
      <c r="L39" s="6">
        <v>41149</v>
      </c>
      <c r="M39">
        <v>35</v>
      </c>
      <c r="N39">
        <v>2016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min_hour(300)</f>
        <v>05:00</v>
      </c>
      <c r="W39" s="10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0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0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0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103</v>
      </c>
      <c r="B40" t="s">
        <v>23</v>
      </c>
      <c r="C40" t="s">
        <v>24</v>
      </c>
      <c r="I40" s="10"/>
      <c r="J40" t="s">
        <v>78</v>
      </c>
      <c r="K40">
        <v>4</v>
      </c>
      <c r="L40" s="6">
        <v>41149</v>
      </c>
      <c r="M40">
        <v>35</v>
      </c>
      <c r="N40">
        <v>2016</v>
      </c>
      <c r="V40" t="str">
        <f>min_hour(-2300)</f>
        <v>-38:20</v>
      </c>
      <c r="W40" s="10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0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0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0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109</v>
      </c>
      <c r="B41" t="s">
        <v>32</v>
      </c>
      <c r="C41" t="s">
        <v>33</v>
      </c>
      <c r="I41" s="10"/>
      <c r="J41" t="s">
        <v>72</v>
      </c>
      <c r="K41">
        <v>9</v>
      </c>
      <c r="L41" s="6">
        <v>41149</v>
      </c>
      <c r="M41">
        <v>35</v>
      </c>
      <c r="N41">
        <v>2016</v>
      </c>
      <c r="O41" t="s">
        <v>131</v>
      </c>
      <c r="V41" t="str">
        <f>min_hour(-2040)</f>
        <v>-34:00</v>
      </c>
      <c r="W41" s="10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0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0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0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6" priority="1" operator="equal">
      <formula>"RC"</formula>
    </cfRule>
    <cfRule type="cellIs" dxfId="15" priority="2" operator="equal">
      <formula>"R"</formula>
    </cfRule>
    <cfRule type="cellIs" dxfId="14" priority="3" operator="equal">
      <formula>"S"</formula>
    </cfRule>
    <cfRule type="cellIs" dxfId="1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0" t="s">
        <v>1357</v>
      </c>
      <c r="J10" t="s">
        <v>72</v>
      </c>
      <c r="K10">
        <v>11</v>
      </c>
      <c r="L10" s="6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0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0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0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0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0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0"/>
      <c r="J11" t="s">
        <v>72</v>
      </c>
      <c r="K11">
        <v>1</v>
      </c>
      <c r="L11" s="6">
        <v>41177</v>
      </c>
      <c r="M11">
        <v>39</v>
      </c>
      <c r="N11">
        <v>2016</v>
      </c>
      <c r="O11" t="s">
        <v>73</v>
      </c>
      <c r="P11" t="s">
        <v>74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min_hour(-360)</f>
        <v>-06:00</v>
      </c>
      <c r="W11" s="10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0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0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0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0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0"/>
      <c r="J12" t="s">
        <v>72</v>
      </c>
      <c r="K12">
        <v>6</v>
      </c>
      <c r="L12" s="6">
        <v>41177</v>
      </c>
      <c r="M12">
        <v>39</v>
      </c>
      <c r="N12">
        <v>2016</v>
      </c>
      <c r="O12" t="s">
        <v>77</v>
      </c>
      <c r="P12" t="s">
        <v>73</v>
      </c>
      <c r="Q12" t="s">
        <v>74</v>
      </c>
      <c r="R12" t="s">
        <v>75</v>
      </c>
      <c r="S12" t="s">
        <v>75</v>
      </c>
      <c r="T12" t="s">
        <v>75</v>
      </c>
      <c r="U12" t="s">
        <v>74</v>
      </c>
      <c r="V12" t="str">
        <f>min_hour(-360)</f>
        <v>-06:00</v>
      </c>
      <c r="W12" s="10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0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0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0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0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0"/>
      <c r="J13" t="s">
        <v>72</v>
      </c>
      <c r="K13">
        <v>7</v>
      </c>
      <c r="L13" s="6">
        <v>41177</v>
      </c>
      <c r="M13">
        <v>39</v>
      </c>
      <c r="N13">
        <v>2016</v>
      </c>
      <c r="O13" t="s">
        <v>73</v>
      </c>
      <c r="P13" t="s">
        <v>74</v>
      </c>
      <c r="Q13" t="s">
        <v>75</v>
      </c>
      <c r="R13" t="s">
        <v>74</v>
      </c>
      <c r="S13" t="s">
        <v>75</v>
      </c>
      <c r="T13" t="s">
        <v>75</v>
      </c>
      <c r="U13" t="s">
        <v>73</v>
      </c>
      <c r="V13" t="str">
        <f>min_hour(120)</f>
        <v>02:00</v>
      </c>
      <c r="W13" s="10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0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0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0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0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0"/>
      <c r="J14" t="s">
        <v>72</v>
      </c>
      <c r="K14">
        <v>8</v>
      </c>
      <c r="L14" s="6">
        <v>41177</v>
      </c>
      <c r="M14">
        <v>39</v>
      </c>
      <c r="N14">
        <v>2016</v>
      </c>
      <c r="O14" t="s">
        <v>74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>min_hour(120)</f>
        <v>02:00</v>
      </c>
      <c r="W14" s="10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0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0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0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0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0"/>
      <c r="J15" t="s">
        <v>78</v>
      </c>
      <c r="K15">
        <v>5</v>
      </c>
      <c r="L15" s="6">
        <v>41177</v>
      </c>
      <c r="M15">
        <v>39</v>
      </c>
      <c r="N15">
        <v>2016</v>
      </c>
      <c r="O15" t="s">
        <v>73</v>
      </c>
      <c r="P15" t="s">
        <v>1685</v>
      </c>
      <c r="Q15" t="s">
        <v>75</v>
      </c>
      <c r="R15" t="s">
        <v>1685</v>
      </c>
      <c r="S15" t="s">
        <v>75</v>
      </c>
      <c r="T15" t="s">
        <v>75</v>
      </c>
      <c r="U15" t="s">
        <v>73</v>
      </c>
      <c r="V15" t="str">
        <f>min_hour(-1840)</f>
        <v>-30:40</v>
      </c>
      <c r="W15" s="10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0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0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0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0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0"/>
      <c r="J16" t="s">
        <v>78</v>
      </c>
      <c r="K16">
        <v>4</v>
      </c>
      <c r="L16" s="6">
        <v>41177</v>
      </c>
      <c r="M16">
        <v>39</v>
      </c>
      <c r="N16">
        <v>2016</v>
      </c>
      <c r="O16" t="s">
        <v>75</v>
      </c>
      <c r="P16" t="s">
        <v>73</v>
      </c>
      <c r="Q16" t="s">
        <v>75</v>
      </c>
      <c r="R16" t="s">
        <v>75</v>
      </c>
      <c r="S16" t="s">
        <v>75</v>
      </c>
      <c r="T16" t="s">
        <v>74</v>
      </c>
      <c r="U16" t="s">
        <v>75</v>
      </c>
      <c r="V16" t="str">
        <f>min_hour(780)</f>
        <v>13:00</v>
      </c>
      <c r="W16" s="10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0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0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0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0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0"/>
      <c r="J17" t="s">
        <v>72</v>
      </c>
      <c r="K17">
        <v>2</v>
      </c>
      <c r="L17" s="6">
        <v>41177</v>
      </c>
      <c r="M17">
        <v>39</v>
      </c>
      <c r="N17">
        <v>2016</v>
      </c>
      <c r="O17" t="s">
        <v>74</v>
      </c>
      <c r="P17" t="s">
        <v>75</v>
      </c>
      <c r="Q17" t="s">
        <v>74</v>
      </c>
      <c r="R17" t="s">
        <v>75</v>
      </c>
      <c r="S17" t="s">
        <v>75</v>
      </c>
      <c r="T17" t="s">
        <v>73</v>
      </c>
      <c r="U17" t="s">
        <v>74</v>
      </c>
      <c r="V17" t="str">
        <f>min_hour(-540)</f>
        <v>-09:00</v>
      </c>
      <c r="W17" s="10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0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0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0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0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0"/>
      <c r="J18" t="s">
        <v>72</v>
      </c>
      <c r="K18">
        <v>4</v>
      </c>
      <c r="L18" s="6">
        <v>41177</v>
      </c>
      <c r="M18">
        <v>39</v>
      </c>
      <c r="N18">
        <v>2016</v>
      </c>
      <c r="O18" t="s">
        <v>74</v>
      </c>
      <c r="P18" t="s">
        <v>75</v>
      </c>
      <c r="Q18" t="s">
        <v>75</v>
      </c>
      <c r="R18" t="s">
        <v>73</v>
      </c>
      <c r="S18" t="s">
        <v>74</v>
      </c>
      <c r="T18" t="s">
        <v>75</v>
      </c>
      <c r="U18" t="s">
        <v>75</v>
      </c>
      <c r="V18" t="str">
        <f>min_hour(60)</f>
        <v>01:00</v>
      </c>
      <c r="W18" s="10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0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0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0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0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0"/>
      <c r="J19" t="s">
        <v>72</v>
      </c>
      <c r="K19">
        <v>3</v>
      </c>
      <c r="L19" s="6">
        <v>41177</v>
      </c>
      <c r="M19">
        <v>39</v>
      </c>
      <c r="N19">
        <v>2016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min_hour(-360)</f>
        <v>-06:00</v>
      </c>
      <c r="W19" s="10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0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0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0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0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0"/>
      <c r="J20" t="s">
        <v>78</v>
      </c>
      <c r="K20">
        <v>1</v>
      </c>
      <c r="L20" s="6">
        <v>41177</v>
      </c>
      <c r="M20">
        <v>39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75</v>
      </c>
      <c r="V20" t="str">
        <f>min_hour(540)</f>
        <v>09:00</v>
      </c>
      <c r="W20" s="10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0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0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0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0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0"/>
      <c r="J21" t="s">
        <v>78</v>
      </c>
      <c r="K21">
        <v>2</v>
      </c>
      <c r="L21" s="6">
        <v>41177</v>
      </c>
      <c r="M21">
        <v>39</v>
      </c>
      <c r="N21">
        <v>2016</v>
      </c>
      <c r="O21" t="s">
        <v>74</v>
      </c>
      <c r="P21" t="s">
        <v>74</v>
      </c>
      <c r="Q21" t="s">
        <v>133</v>
      </c>
      <c r="R21" t="s">
        <v>73</v>
      </c>
      <c r="S21" t="s">
        <v>74</v>
      </c>
      <c r="T21" t="s">
        <v>74</v>
      </c>
      <c r="U21" t="s">
        <v>74</v>
      </c>
      <c r="V21" t="str">
        <f>min_hour(-1740)</f>
        <v>-29:00</v>
      </c>
      <c r="W21" s="10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0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0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0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0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0"/>
      <c r="J22" t="s">
        <v>72</v>
      </c>
      <c r="K22">
        <v>2</v>
      </c>
      <c r="L22" s="6">
        <v>41177</v>
      </c>
      <c r="M22">
        <v>39</v>
      </c>
      <c r="N22">
        <v>2016</v>
      </c>
      <c r="O22" t="s">
        <v>74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133</v>
      </c>
      <c r="V22" t="str">
        <f>min_hour(180)</f>
        <v>03:00</v>
      </c>
      <c r="W22" s="10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0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0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0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0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0"/>
      <c r="J23" t="s">
        <v>72</v>
      </c>
      <c r="K23">
        <v>5</v>
      </c>
      <c r="L23" s="6">
        <v>41177</v>
      </c>
      <c r="M23">
        <v>39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133</v>
      </c>
      <c r="U23" t="s">
        <v>76</v>
      </c>
      <c r="V23" t="str">
        <f>min_hour(720)</f>
        <v>12:00</v>
      </c>
      <c r="W23" s="10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0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0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0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0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0"/>
      <c r="J24" t="s">
        <v>72</v>
      </c>
      <c r="K24">
        <v>8</v>
      </c>
      <c r="L24" s="6">
        <v>41177</v>
      </c>
      <c r="M24">
        <v>39</v>
      </c>
      <c r="N24">
        <v>2016</v>
      </c>
      <c r="O24" t="s">
        <v>74</v>
      </c>
      <c r="P24" t="s">
        <v>75</v>
      </c>
      <c r="Q24" t="s">
        <v>75</v>
      </c>
      <c r="R24" t="s">
        <v>76</v>
      </c>
      <c r="S24" t="s">
        <v>77</v>
      </c>
      <c r="T24" t="s">
        <v>73</v>
      </c>
      <c r="U24" t="s">
        <v>74</v>
      </c>
      <c r="V24" t="str">
        <f>min_hour(-360)</f>
        <v>-06:00</v>
      </c>
      <c r="W24" s="10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0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0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0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0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0"/>
      <c r="J25" t="s">
        <v>72</v>
      </c>
      <c r="K25">
        <v>9</v>
      </c>
      <c r="L25" s="6">
        <v>41177</v>
      </c>
      <c r="M25">
        <v>39</v>
      </c>
      <c r="N25">
        <v>2016</v>
      </c>
      <c r="O25" t="s">
        <v>75</v>
      </c>
      <c r="P25" t="s">
        <v>75</v>
      </c>
      <c r="Q25" t="s">
        <v>74</v>
      </c>
      <c r="R25" t="s">
        <v>75</v>
      </c>
      <c r="S25" t="s">
        <v>73</v>
      </c>
      <c r="T25" t="s">
        <v>92</v>
      </c>
      <c r="U25" t="s">
        <v>92</v>
      </c>
      <c r="V25" t="str">
        <f>min_hour(540)</f>
        <v>09:00</v>
      </c>
      <c r="W25" s="10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0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0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0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0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0"/>
      <c r="J26" t="s">
        <v>72</v>
      </c>
      <c r="K26">
        <v>4</v>
      </c>
      <c r="L26" s="6">
        <v>41177</v>
      </c>
      <c r="M26">
        <v>39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133</v>
      </c>
      <c r="T26" t="s">
        <v>75</v>
      </c>
      <c r="U26" t="s">
        <v>75</v>
      </c>
      <c r="V26" t="str">
        <f>min_hour(780)</f>
        <v>13:00</v>
      </c>
      <c r="W26" s="10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0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0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0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0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0"/>
      <c r="J27" t="s">
        <v>78</v>
      </c>
      <c r="K27">
        <v>4</v>
      </c>
      <c r="L27" s="6">
        <v>41177</v>
      </c>
      <c r="M27">
        <v>39</v>
      </c>
      <c r="N27">
        <v>2016</v>
      </c>
      <c r="O27" t="s">
        <v>133</v>
      </c>
      <c r="P27" t="s">
        <v>73</v>
      </c>
      <c r="Q27" t="s">
        <v>1685</v>
      </c>
      <c r="R27" t="s">
        <v>1685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0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0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0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0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0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0"/>
      <c r="J28" t="s">
        <v>72</v>
      </c>
      <c r="K28">
        <v>1</v>
      </c>
      <c r="L28" s="6">
        <v>41177</v>
      </c>
      <c r="M28">
        <v>39</v>
      </c>
      <c r="N28">
        <v>2016</v>
      </c>
      <c r="O28" t="s">
        <v>73</v>
      </c>
      <c r="P28" t="s">
        <v>75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min_hour(-120)</f>
        <v>-02:00</v>
      </c>
      <c r="W28" s="10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0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0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0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0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0"/>
      <c r="J29" t="s">
        <v>78</v>
      </c>
      <c r="K29">
        <v>6</v>
      </c>
      <c r="L29" s="6">
        <v>41177</v>
      </c>
      <c r="M29">
        <v>39</v>
      </c>
      <c r="N29">
        <v>2016</v>
      </c>
      <c r="O29" t="s">
        <v>74</v>
      </c>
      <c r="P29" t="s">
        <v>75</v>
      </c>
      <c r="Q29" t="s">
        <v>74</v>
      </c>
      <c r="R29" t="s">
        <v>75</v>
      </c>
      <c r="S29" t="s">
        <v>75</v>
      </c>
      <c r="T29" t="s">
        <v>73</v>
      </c>
      <c r="U29" t="s">
        <v>74</v>
      </c>
      <c r="V29" t="str">
        <f>min_hour(-2220)</f>
        <v>-37:00</v>
      </c>
      <c r="W29" s="10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0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0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0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0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0"/>
      <c r="J30" t="s">
        <v>78</v>
      </c>
      <c r="K30">
        <v>5</v>
      </c>
      <c r="L30" s="6">
        <v>41177</v>
      </c>
      <c r="M30">
        <v>39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75</v>
      </c>
      <c r="T30" t="s">
        <v>75</v>
      </c>
      <c r="U30" t="s">
        <v>73</v>
      </c>
      <c r="V30" t="str">
        <f>min_hour(600)</f>
        <v>10:00</v>
      </c>
      <c r="W30" s="10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0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0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0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0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0"/>
      <c r="J31" t="s">
        <v>72</v>
      </c>
      <c r="K31">
        <v>6</v>
      </c>
      <c r="L31" s="6">
        <v>41177</v>
      </c>
      <c r="M31">
        <v>39</v>
      </c>
      <c r="N31">
        <v>2016</v>
      </c>
      <c r="O31" t="s">
        <v>77</v>
      </c>
      <c r="P31" t="s">
        <v>73</v>
      </c>
      <c r="Q31" t="s">
        <v>74</v>
      </c>
      <c r="R31" t="s">
        <v>74</v>
      </c>
      <c r="S31" t="s">
        <v>75</v>
      </c>
      <c r="T31" t="s">
        <v>75</v>
      </c>
      <c r="U31" t="s">
        <v>74</v>
      </c>
      <c r="V31" t="str">
        <f>min_hour(220)</f>
        <v>03:40</v>
      </c>
      <c r="W31" s="10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0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0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0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0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0"/>
      <c r="J32" t="s">
        <v>78</v>
      </c>
      <c r="K32">
        <v>4</v>
      </c>
      <c r="L32" s="6">
        <v>41177</v>
      </c>
      <c r="M32">
        <v>39</v>
      </c>
      <c r="N32">
        <v>2016</v>
      </c>
      <c r="O32" t="s">
        <v>75</v>
      </c>
      <c r="P32" t="s">
        <v>73</v>
      </c>
      <c r="Q32" t="s">
        <v>133</v>
      </c>
      <c r="R32" t="s">
        <v>75</v>
      </c>
      <c r="S32" t="s">
        <v>75</v>
      </c>
      <c r="T32" t="s">
        <v>74</v>
      </c>
      <c r="U32" t="s">
        <v>75</v>
      </c>
      <c r="V32" t="str">
        <f>min_hour(1020)</f>
        <v>17:00</v>
      </c>
      <c r="W32" s="10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0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0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0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0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0"/>
      <c r="J33" t="s">
        <v>72</v>
      </c>
      <c r="K33">
        <v>7</v>
      </c>
      <c r="L33" s="6">
        <v>41177</v>
      </c>
      <c r="M33">
        <v>39</v>
      </c>
      <c r="N33">
        <v>2016</v>
      </c>
      <c r="O33" t="s">
        <v>73</v>
      </c>
      <c r="P33" t="s">
        <v>74</v>
      </c>
      <c r="Q33" t="s">
        <v>75</v>
      </c>
      <c r="R33" t="s">
        <v>75</v>
      </c>
      <c r="S33" t="s">
        <v>74</v>
      </c>
      <c r="T33" t="s">
        <v>75</v>
      </c>
      <c r="U33" t="s">
        <v>73</v>
      </c>
      <c r="V33" t="str">
        <f>min_hour(360)</f>
        <v>06:00</v>
      </c>
      <c r="W33" s="10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0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0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0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0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0"/>
      <c r="J34" t="s">
        <v>72</v>
      </c>
      <c r="K34">
        <v>10</v>
      </c>
      <c r="L34" s="6">
        <v>41177</v>
      </c>
      <c r="M34">
        <v>39</v>
      </c>
      <c r="N34">
        <v>2016</v>
      </c>
      <c r="O34" t="s">
        <v>75</v>
      </c>
      <c r="P34" t="s">
        <v>76</v>
      </c>
      <c r="Q34" t="s">
        <v>77</v>
      </c>
      <c r="R34" t="s">
        <v>73</v>
      </c>
      <c r="S34" t="s">
        <v>74</v>
      </c>
      <c r="T34" t="s">
        <v>75</v>
      </c>
      <c r="U34" t="s">
        <v>75</v>
      </c>
      <c r="V34" t="str">
        <f>min_hour(820)</f>
        <v>13:40</v>
      </c>
      <c r="W34" s="10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0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0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0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0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0"/>
      <c r="J35" t="s">
        <v>72</v>
      </c>
      <c r="K35">
        <v>11</v>
      </c>
      <c r="L35" s="6">
        <v>41177</v>
      </c>
      <c r="M35">
        <v>39</v>
      </c>
      <c r="N35">
        <v>2016</v>
      </c>
      <c r="O35" t="s">
        <v>74</v>
      </c>
      <c r="P35" t="s">
        <v>75</v>
      </c>
      <c r="Q35" t="s">
        <v>73</v>
      </c>
      <c r="R35" t="s">
        <v>74</v>
      </c>
      <c r="S35" t="s">
        <v>133</v>
      </c>
      <c r="T35" t="s">
        <v>76</v>
      </c>
      <c r="U35" t="s">
        <v>77</v>
      </c>
      <c r="V35" t="str">
        <f>min_hour(780)</f>
        <v>13:00</v>
      </c>
      <c r="W35" s="10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0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0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0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0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0"/>
      <c r="J36" t="s">
        <v>72</v>
      </c>
      <c r="K36">
        <v>3</v>
      </c>
      <c r="L36" s="6">
        <v>41177</v>
      </c>
      <c r="M36">
        <v>39</v>
      </c>
      <c r="N36">
        <v>2016</v>
      </c>
      <c r="O36" t="s">
        <v>75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min_hour(-540)</f>
        <v>-09:00</v>
      </c>
      <c r="W36" s="10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0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0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0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0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0"/>
      <c r="J37" t="s">
        <v>72</v>
      </c>
      <c r="K37">
        <v>10</v>
      </c>
      <c r="L37" s="6">
        <v>41177</v>
      </c>
      <c r="M37">
        <v>39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min_hour(300)</f>
        <v>05:00</v>
      </c>
      <c r="W37" s="10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0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0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0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0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0"/>
      <c r="J38" t="s">
        <v>78</v>
      </c>
      <c r="K38">
        <v>3</v>
      </c>
      <c r="L38" s="6">
        <v>41177</v>
      </c>
      <c r="M38">
        <v>39</v>
      </c>
      <c r="N38">
        <v>2016</v>
      </c>
      <c r="O38" t="s">
        <v>75</v>
      </c>
      <c r="P38" t="s">
        <v>75</v>
      </c>
      <c r="Q38" t="s">
        <v>73</v>
      </c>
      <c r="R38" t="s">
        <v>133</v>
      </c>
      <c r="S38" t="s">
        <v>75</v>
      </c>
      <c r="T38" t="s">
        <v>74</v>
      </c>
      <c r="U38" t="s">
        <v>75</v>
      </c>
      <c r="V38" t="str">
        <f>min_hour(780)</f>
        <v>13:00</v>
      </c>
      <c r="W38" s="10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0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0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0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0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0"/>
      <c r="J39" t="s">
        <v>72</v>
      </c>
      <c r="K39">
        <v>9</v>
      </c>
      <c r="L39" s="6">
        <v>41177</v>
      </c>
      <c r="M39">
        <v>39</v>
      </c>
      <c r="N39">
        <v>2016</v>
      </c>
      <c r="O39" t="s">
        <v>75</v>
      </c>
      <c r="P39" t="s">
        <v>75</v>
      </c>
      <c r="Q39" t="s">
        <v>75</v>
      </c>
      <c r="R39" t="s">
        <v>73</v>
      </c>
      <c r="S39" t="s">
        <v>133</v>
      </c>
      <c r="T39" t="s">
        <v>74</v>
      </c>
      <c r="U39" t="s">
        <v>75</v>
      </c>
      <c r="V39" t="str">
        <f>min_hour(1020)</f>
        <v>17:00</v>
      </c>
      <c r="W39" s="10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0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0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0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0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0"/>
      <c r="J40" t="s">
        <v>72</v>
      </c>
      <c r="K40">
        <v>5</v>
      </c>
      <c r="L40" s="6">
        <v>41177</v>
      </c>
      <c r="M40">
        <v>39</v>
      </c>
      <c r="N40">
        <v>2016</v>
      </c>
      <c r="O40" t="s">
        <v>76</v>
      </c>
      <c r="P40" t="s">
        <v>77</v>
      </c>
      <c r="Q40" t="s">
        <v>73</v>
      </c>
      <c r="R40" t="s">
        <v>74</v>
      </c>
      <c r="S40" t="s">
        <v>75</v>
      </c>
      <c r="T40" t="s">
        <v>133</v>
      </c>
      <c r="U40" t="s">
        <v>76</v>
      </c>
      <c r="V40" t="str">
        <f>min_hour(480)</f>
        <v>08:00</v>
      </c>
      <c r="W40" s="10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0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0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0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0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0"/>
      <c r="J41" t="s">
        <v>78</v>
      </c>
      <c r="K41">
        <v>2</v>
      </c>
      <c r="L41" s="6">
        <v>41177</v>
      </c>
      <c r="M41">
        <v>39</v>
      </c>
      <c r="N41">
        <v>2016</v>
      </c>
      <c r="O41" t="s">
        <v>75</v>
      </c>
      <c r="P41" t="s">
        <v>74</v>
      </c>
      <c r="Q41" t="s">
        <v>75</v>
      </c>
      <c r="R41" t="s">
        <v>73</v>
      </c>
      <c r="S41" t="s">
        <v>74</v>
      </c>
      <c r="T41" t="s">
        <v>75</v>
      </c>
      <c r="U41" t="s">
        <v>74</v>
      </c>
      <c r="V41" t="str">
        <f>min_hour(-120)</f>
        <v>-02:00</v>
      </c>
      <c r="W41" s="10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0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0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0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0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2" priority="1" operator="equal">
      <formula>"RC"</formula>
    </cfRule>
    <cfRule type="cellIs" dxfId="11" priority="2" operator="equal">
      <formula>"R"</formula>
    </cfRule>
    <cfRule type="cellIs" dxfId="10" priority="3" operator="equal">
      <formula>"S"</formula>
    </cfRule>
    <cfRule type="cellIs" dxfId="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BN45"/>
  <sheetViews>
    <sheetView tabSelected="1" workbookViewId="0">
      <selection activeCell="W28" sqref="W28"/>
    </sheetView>
  </sheetViews>
  <sheetFormatPr defaultRowHeight="15" outlineLevelCol="1" x14ac:dyDescent="0.25"/>
  <cols>
    <col min="1" max="2" width="11.7109375" bestFit="1" customWidth="1"/>
    <col min="3" max="3" width="13.85546875" bestFit="1" customWidth="1"/>
    <col min="5" max="8" width="0" hidden="1" customWidth="1"/>
    <col min="9" max="9" width="5.5703125" bestFit="1" customWidth="1"/>
    <col min="10" max="10" width="13.140625" bestFit="1" customWidth="1" outlineLevel="1"/>
    <col min="11" max="11" width="16" bestFit="1" customWidth="1" outlineLevel="1"/>
    <col min="12" max="12" width="11" style="6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140625" outlineLevel="1"/>
    <col min="23" max="23" width="6.140625" bestFit="1" customWidth="1"/>
    <col min="24" max="30" width="8.7109375" bestFit="1" customWidth="1"/>
    <col min="31" max="31" width="2" bestFit="1" customWidth="1"/>
    <col min="32" max="32" width="4.5703125" bestFit="1" customWidth="1"/>
    <col min="33" max="33" width="12.28515625" bestFit="1" customWidth="1"/>
    <col min="34" max="34" width="6.140625" bestFit="1" customWidth="1"/>
    <col min="35" max="41" width="8.7109375" bestFit="1" customWidth="1"/>
    <col min="42" max="42" width="2" bestFit="1" customWidth="1"/>
    <col min="43" max="43" width="4.5703125" bestFit="1" customWidth="1"/>
    <col min="44" max="44" width="12.28515625" bestFit="1" customWidth="1"/>
    <col min="45" max="45" width="6.140625" bestFit="1" customWidth="1"/>
    <col min="46" max="52" width="8.7109375" bestFit="1" customWidth="1"/>
    <col min="53" max="53" width="2" bestFit="1" customWidth="1"/>
    <col min="54" max="54" width="4.5703125" bestFit="1" customWidth="1"/>
    <col min="55" max="55" width="12.28515625" bestFit="1" customWidth="1"/>
    <col min="56" max="56" width="6.140625" bestFit="1" customWidth="1"/>
    <col min="57" max="63" width="8.7109375" bestFit="1" customWidth="1"/>
    <col min="64" max="64" width="2" bestFit="1" customWidth="1"/>
    <col min="65" max="65" width="4.5703125" bestFit="1" customWidth="1"/>
    <col min="66" max="66" width="12.28515625" bestFit="1" customWidth="1"/>
  </cols>
  <sheetData>
    <row r="1" spans="1:66" x14ac:dyDescent="0.25">
      <c r="A1">
        <v>1</v>
      </c>
    </row>
    <row r="2" spans="1:66" x14ac:dyDescent="0.25">
      <c r="A2">
        <v>4</v>
      </c>
    </row>
    <row r="8" spans="1:66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1" t="s">
        <v>1683</v>
      </c>
      <c r="J10" t="s">
        <v>1265</v>
      </c>
      <c r="K10">
        <v>2</v>
      </c>
      <c r="L10" s="6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</row>
    <row r="11" spans="1:66" x14ac:dyDescent="0.25">
      <c r="A11" t="s">
        <v>93</v>
      </c>
      <c r="B11" t="s">
        <v>5</v>
      </c>
      <c r="C11" t="s">
        <v>6</v>
      </c>
      <c r="I11" s="11"/>
      <c r="J11" t="s">
        <v>1265</v>
      </c>
      <c r="K11">
        <v>8</v>
      </c>
      <c r="L11" s="6">
        <v>41268</v>
      </c>
      <c r="M11">
        <v>52</v>
      </c>
      <c r="N11">
        <v>2016</v>
      </c>
      <c r="O11" t="s">
        <v>75</v>
      </c>
      <c r="P11" t="s">
        <v>75</v>
      </c>
      <c r="Q11" t="s">
        <v>75</v>
      </c>
      <c r="R11" t="s">
        <v>76</v>
      </c>
      <c r="S11" t="s">
        <v>77</v>
      </c>
      <c r="T11" t="s">
        <v>73</v>
      </c>
      <c r="U11" t="s">
        <v>74</v>
      </c>
    </row>
    <row r="12" spans="1:66" x14ac:dyDescent="0.25">
      <c r="A12" t="s">
        <v>94</v>
      </c>
      <c r="B12" t="s">
        <v>7</v>
      </c>
      <c r="C12" t="s">
        <v>8</v>
      </c>
      <c r="I12" s="11"/>
      <c r="J12" t="s">
        <v>1265</v>
      </c>
      <c r="K12">
        <v>9</v>
      </c>
      <c r="L12" s="6">
        <v>41268</v>
      </c>
      <c r="M12">
        <v>52</v>
      </c>
      <c r="N12">
        <v>2016</v>
      </c>
      <c r="O12" t="s">
        <v>73</v>
      </c>
      <c r="P12" t="s">
        <v>92</v>
      </c>
      <c r="Q12" t="s">
        <v>74</v>
      </c>
      <c r="R12" t="s">
        <v>75</v>
      </c>
      <c r="S12" t="s">
        <v>73</v>
      </c>
      <c r="T12" t="s">
        <v>74</v>
      </c>
      <c r="U12" t="s">
        <v>73</v>
      </c>
    </row>
    <row r="13" spans="1:66" x14ac:dyDescent="0.25">
      <c r="A13" t="s">
        <v>96</v>
      </c>
      <c r="B13" t="s">
        <v>9</v>
      </c>
      <c r="C13" t="s">
        <v>10</v>
      </c>
      <c r="I13" s="11"/>
      <c r="J13" t="s">
        <v>1265</v>
      </c>
      <c r="K13">
        <v>10</v>
      </c>
      <c r="L13" s="6">
        <v>41268</v>
      </c>
      <c r="M13">
        <v>52</v>
      </c>
      <c r="N13">
        <v>2016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</row>
    <row r="14" spans="1:66" x14ac:dyDescent="0.25">
      <c r="A14" t="s">
        <v>97</v>
      </c>
      <c r="B14" t="s">
        <v>11</v>
      </c>
      <c r="C14" t="s">
        <v>12</v>
      </c>
      <c r="I14" s="11"/>
      <c r="J14" t="s">
        <v>1303</v>
      </c>
      <c r="K14">
        <v>1</v>
      </c>
      <c r="L14" s="6">
        <v>41268</v>
      </c>
      <c r="M14">
        <v>52</v>
      </c>
      <c r="N14">
        <v>2016</v>
      </c>
      <c r="O14" t="s">
        <v>125</v>
      </c>
      <c r="P14" t="s">
        <v>125</v>
      </c>
      <c r="Q14" t="s">
        <v>125</v>
      </c>
      <c r="R14" t="s">
        <v>125</v>
      </c>
      <c r="S14" t="s">
        <v>125</v>
      </c>
      <c r="T14" t="s">
        <v>125</v>
      </c>
      <c r="U14" t="s">
        <v>125</v>
      </c>
    </row>
    <row r="15" spans="1:66" x14ac:dyDescent="0.25">
      <c r="A15" t="s">
        <v>120</v>
      </c>
      <c r="B15" t="s">
        <v>13</v>
      </c>
      <c r="C15" t="s">
        <v>14</v>
      </c>
      <c r="I15" s="11"/>
      <c r="J15" t="s">
        <v>1394</v>
      </c>
      <c r="K15">
        <v>1</v>
      </c>
      <c r="L15" s="6">
        <v>41268</v>
      </c>
      <c r="M15">
        <v>52</v>
      </c>
      <c r="N15">
        <v>2016</v>
      </c>
      <c r="O15" t="s">
        <v>74</v>
      </c>
      <c r="P15" t="s">
        <v>75</v>
      </c>
      <c r="Q15" t="s">
        <v>75</v>
      </c>
      <c r="R15" t="s">
        <v>74</v>
      </c>
      <c r="S15" t="s">
        <v>75</v>
      </c>
      <c r="T15" t="s">
        <v>73</v>
      </c>
      <c r="U15" t="s">
        <v>75</v>
      </c>
    </row>
    <row r="16" spans="1:66" x14ac:dyDescent="0.25">
      <c r="A16" t="s">
        <v>98</v>
      </c>
      <c r="B16" t="s">
        <v>13</v>
      </c>
      <c r="C16" t="s">
        <v>15</v>
      </c>
      <c r="I16" s="11"/>
      <c r="J16" t="s">
        <v>1265</v>
      </c>
      <c r="K16">
        <v>4</v>
      </c>
      <c r="L16" s="6">
        <v>41268</v>
      </c>
      <c r="M16">
        <v>52</v>
      </c>
      <c r="N16">
        <v>2016</v>
      </c>
      <c r="O16" t="s">
        <v>74</v>
      </c>
      <c r="P16" t="s">
        <v>75</v>
      </c>
      <c r="Q16" t="s">
        <v>75</v>
      </c>
      <c r="R16" t="s">
        <v>73</v>
      </c>
      <c r="S16" t="s">
        <v>74</v>
      </c>
      <c r="T16" t="s">
        <v>74</v>
      </c>
      <c r="U16" t="s">
        <v>75</v>
      </c>
    </row>
    <row r="17" spans="1:21" x14ac:dyDescent="0.25">
      <c r="A17" t="s">
        <v>99</v>
      </c>
      <c r="B17" t="s">
        <v>16</v>
      </c>
      <c r="C17" t="s">
        <v>17</v>
      </c>
      <c r="I17" s="11"/>
      <c r="J17" t="s">
        <v>1265</v>
      </c>
      <c r="K17">
        <v>6</v>
      </c>
      <c r="L17" s="6">
        <v>41268</v>
      </c>
      <c r="M17">
        <v>52</v>
      </c>
      <c r="N17">
        <v>2016</v>
      </c>
      <c r="O17" t="s">
        <v>73</v>
      </c>
      <c r="P17" t="s">
        <v>73</v>
      </c>
      <c r="Q17" t="s">
        <v>74</v>
      </c>
      <c r="R17" t="s">
        <v>74</v>
      </c>
      <c r="S17" t="s">
        <v>75</v>
      </c>
      <c r="T17" t="s">
        <v>75</v>
      </c>
      <c r="U17" t="s">
        <v>73</v>
      </c>
    </row>
    <row r="18" spans="1:21" x14ac:dyDescent="0.25">
      <c r="A18" t="s">
        <v>100</v>
      </c>
      <c r="B18" t="s">
        <v>18</v>
      </c>
      <c r="C18" t="s">
        <v>19</v>
      </c>
      <c r="I18" s="11"/>
      <c r="J18" t="s">
        <v>1265</v>
      </c>
      <c r="K18">
        <v>7</v>
      </c>
      <c r="L18" s="6">
        <v>41268</v>
      </c>
      <c r="M18">
        <v>52</v>
      </c>
      <c r="N18">
        <v>2016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73</v>
      </c>
    </row>
    <row r="19" spans="1:21" x14ac:dyDescent="0.25">
      <c r="A19" t="s">
        <v>101</v>
      </c>
      <c r="B19" t="s">
        <v>20</v>
      </c>
      <c r="C19" t="s">
        <v>21</v>
      </c>
      <c r="I19" s="11"/>
      <c r="J19" t="s">
        <v>1265</v>
      </c>
      <c r="K19">
        <v>10</v>
      </c>
      <c r="L19" s="6">
        <v>41268</v>
      </c>
      <c r="M19">
        <v>52</v>
      </c>
      <c r="N19">
        <v>2016</v>
      </c>
      <c r="O19" t="s">
        <v>74</v>
      </c>
      <c r="P19" t="s">
        <v>76</v>
      </c>
      <c r="Q19" t="s">
        <v>77</v>
      </c>
      <c r="R19" t="s">
        <v>73</v>
      </c>
      <c r="S19" t="s">
        <v>133</v>
      </c>
      <c r="T19" t="s">
        <v>75</v>
      </c>
      <c r="U19" t="s">
        <v>73</v>
      </c>
    </row>
    <row r="20" spans="1:21" x14ac:dyDescent="0.25">
      <c r="A20" t="s">
        <v>102</v>
      </c>
      <c r="B20" t="s">
        <v>22</v>
      </c>
      <c r="C20" t="s">
        <v>17</v>
      </c>
      <c r="I20" s="11"/>
      <c r="J20" t="s">
        <v>1394</v>
      </c>
      <c r="K20">
        <v>11</v>
      </c>
      <c r="L20" s="6">
        <v>41268</v>
      </c>
      <c r="M20">
        <v>52</v>
      </c>
      <c r="N20">
        <v>2016</v>
      </c>
      <c r="O20" t="s">
        <v>74</v>
      </c>
      <c r="P20" t="s">
        <v>74</v>
      </c>
      <c r="Q20" t="s">
        <v>73</v>
      </c>
      <c r="R20" t="s">
        <v>133</v>
      </c>
      <c r="S20" t="s">
        <v>75</v>
      </c>
      <c r="T20" t="s">
        <v>74</v>
      </c>
      <c r="U20" t="s">
        <v>73</v>
      </c>
    </row>
    <row r="21" spans="1:21" x14ac:dyDescent="0.25">
      <c r="A21" t="s">
        <v>103</v>
      </c>
      <c r="B21" t="s">
        <v>23</v>
      </c>
      <c r="C21" t="s">
        <v>24</v>
      </c>
      <c r="I21" s="11"/>
      <c r="J21" t="s">
        <v>1265</v>
      </c>
      <c r="K21">
        <v>4</v>
      </c>
      <c r="L21" s="6">
        <v>41268</v>
      </c>
      <c r="M21">
        <v>52</v>
      </c>
      <c r="N21">
        <v>2016</v>
      </c>
      <c r="O21" t="s">
        <v>73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</row>
    <row r="22" spans="1:21" x14ac:dyDescent="0.25">
      <c r="A22" t="s">
        <v>126</v>
      </c>
      <c r="B22" t="s">
        <v>23</v>
      </c>
      <c r="C22" t="s">
        <v>55</v>
      </c>
      <c r="I22" s="11"/>
      <c r="J22" t="s">
        <v>1265</v>
      </c>
      <c r="K22">
        <v>11</v>
      </c>
      <c r="L22" s="6">
        <v>41268</v>
      </c>
      <c r="M22">
        <v>52</v>
      </c>
      <c r="N22">
        <v>2016</v>
      </c>
      <c r="O22" t="s">
        <v>75</v>
      </c>
      <c r="P22" t="s">
        <v>73</v>
      </c>
      <c r="Q22" t="s">
        <v>75</v>
      </c>
      <c r="R22" t="s">
        <v>74</v>
      </c>
      <c r="S22" t="s">
        <v>74</v>
      </c>
      <c r="T22" t="s">
        <v>76</v>
      </c>
      <c r="U22" t="s">
        <v>77</v>
      </c>
    </row>
    <row r="23" spans="1:21" x14ac:dyDescent="0.25">
      <c r="A23" t="s">
        <v>104</v>
      </c>
      <c r="B23" t="s">
        <v>25</v>
      </c>
      <c r="C23" t="s">
        <v>131</v>
      </c>
      <c r="I23" s="11"/>
      <c r="J23" t="s">
        <v>1265</v>
      </c>
      <c r="K23">
        <v>11</v>
      </c>
      <c r="L23" s="6">
        <v>41268</v>
      </c>
      <c r="M23">
        <v>52</v>
      </c>
      <c r="N23">
        <v>2016</v>
      </c>
      <c r="O23" t="s">
        <v>73</v>
      </c>
      <c r="P23" t="s">
        <v>75</v>
      </c>
      <c r="Q23" t="s">
        <v>75</v>
      </c>
      <c r="R23" t="s">
        <v>73</v>
      </c>
      <c r="S23" t="s">
        <v>74</v>
      </c>
      <c r="T23" t="s">
        <v>76</v>
      </c>
      <c r="U23" t="s">
        <v>77</v>
      </c>
    </row>
    <row r="24" spans="1:21" x14ac:dyDescent="0.25">
      <c r="A24" t="s">
        <v>128</v>
      </c>
      <c r="B24" t="s">
        <v>56</v>
      </c>
      <c r="C24" t="s">
        <v>57</v>
      </c>
      <c r="I24" s="11"/>
      <c r="J24" t="s">
        <v>1394</v>
      </c>
      <c r="K24">
        <v>3</v>
      </c>
      <c r="L24" s="6">
        <v>41268</v>
      </c>
      <c r="M24">
        <v>52</v>
      </c>
      <c r="N24">
        <v>2016</v>
      </c>
      <c r="O24" t="s">
        <v>73</v>
      </c>
      <c r="P24" t="s">
        <v>74</v>
      </c>
      <c r="Q24" t="s">
        <v>73</v>
      </c>
      <c r="R24" t="s">
        <v>75</v>
      </c>
      <c r="S24" t="s">
        <v>92</v>
      </c>
      <c r="T24" t="s">
        <v>75</v>
      </c>
      <c r="U24" t="s">
        <v>75</v>
      </c>
    </row>
    <row r="25" spans="1:21" x14ac:dyDescent="0.25">
      <c r="A25" t="s">
        <v>105</v>
      </c>
      <c r="B25" t="s">
        <v>26</v>
      </c>
      <c r="C25" t="s">
        <v>27</v>
      </c>
      <c r="I25" s="11"/>
      <c r="J25" t="s">
        <v>1265</v>
      </c>
      <c r="K25">
        <v>6</v>
      </c>
      <c r="L25" s="6">
        <v>41268</v>
      </c>
      <c r="M25">
        <v>52</v>
      </c>
      <c r="N25">
        <v>2016</v>
      </c>
      <c r="O25" t="s">
        <v>77</v>
      </c>
      <c r="P25" t="s">
        <v>73</v>
      </c>
      <c r="Q25" t="s">
        <v>74</v>
      </c>
      <c r="R25" t="s">
        <v>75</v>
      </c>
      <c r="S25" t="s">
        <v>75</v>
      </c>
      <c r="T25" t="s">
        <v>75</v>
      </c>
      <c r="U25" t="s">
        <v>74</v>
      </c>
    </row>
    <row r="26" spans="1:21" x14ac:dyDescent="0.25">
      <c r="A26" t="s">
        <v>106</v>
      </c>
      <c r="B26" t="s">
        <v>28</v>
      </c>
      <c r="C26" t="s">
        <v>29</v>
      </c>
      <c r="I26" s="11"/>
      <c r="J26" t="s">
        <v>1394</v>
      </c>
      <c r="K26">
        <v>5</v>
      </c>
      <c r="L26" s="6">
        <v>41268</v>
      </c>
      <c r="M26">
        <v>52</v>
      </c>
      <c r="N26">
        <v>2016</v>
      </c>
      <c r="O26" t="s">
        <v>73</v>
      </c>
      <c r="P26" t="s">
        <v>73</v>
      </c>
      <c r="Q26" t="s">
        <v>75</v>
      </c>
      <c r="R26" t="s">
        <v>75</v>
      </c>
      <c r="S26" t="s">
        <v>75</v>
      </c>
      <c r="T26" t="s">
        <v>1281</v>
      </c>
      <c r="U26" t="s">
        <v>73</v>
      </c>
    </row>
    <row r="27" spans="1:21" x14ac:dyDescent="0.25">
      <c r="A27" t="s">
        <v>107</v>
      </c>
      <c r="B27" t="s">
        <v>30</v>
      </c>
      <c r="C27" t="s">
        <v>8</v>
      </c>
      <c r="I27" s="11"/>
      <c r="J27" t="s">
        <v>1303</v>
      </c>
      <c r="K27">
        <v>1</v>
      </c>
      <c r="L27" s="6">
        <v>41268</v>
      </c>
      <c r="M27">
        <v>52</v>
      </c>
      <c r="N27">
        <v>2016</v>
      </c>
      <c r="O27" t="s">
        <v>125</v>
      </c>
      <c r="P27" t="s">
        <v>125</v>
      </c>
      <c r="Q27" t="s">
        <v>125</v>
      </c>
      <c r="R27" t="s">
        <v>125</v>
      </c>
      <c r="S27" t="s">
        <v>73</v>
      </c>
      <c r="T27" t="s">
        <v>125</v>
      </c>
      <c r="U27" t="s">
        <v>125</v>
      </c>
    </row>
    <row r="28" spans="1:21" x14ac:dyDescent="0.25">
      <c r="A28" t="s">
        <v>108</v>
      </c>
      <c r="B28" t="s">
        <v>30</v>
      </c>
      <c r="C28" t="s">
        <v>31</v>
      </c>
      <c r="I28" s="11"/>
      <c r="J28" t="s">
        <v>1394</v>
      </c>
      <c r="K28">
        <v>5</v>
      </c>
      <c r="L28" s="6">
        <v>41268</v>
      </c>
      <c r="M28">
        <v>52</v>
      </c>
      <c r="N28">
        <v>2016</v>
      </c>
      <c r="O28" t="s">
        <v>75</v>
      </c>
      <c r="P28" t="s">
        <v>75</v>
      </c>
      <c r="Q28" t="s">
        <v>75</v>
      </c>
      <c r="R28" t="s">
        <v>75</v>
      </c>
      <c r="S28" t="s">
        <v>73</v>
      </c>
      <c r="T28" t="s">
        <v>75</v>
      </c>
      <c r="U28" t="s">
        <v>73</v>
      </c>
    </row>
    <row r="29" spans="1:21" x14ac:dyDescent="0.25">
      <c r="A29" t="s">
        <v>109</v>
      </c>
      <c r="B29" t="s">
        <v>32</v>
      </c>
      <c r="C29" t="s">
        <v>33</v>
      </c>
      <c r="I29" s="11"/>
      <c r="J29" t="s">
        <v>1303</v>
      </c>
      <c r="K29">
        <v>1</v>
      </c>
      <c r="L29" s="6">
        <v>41268</v>
      </c>
      <c r="M29">
        <v>52</v>
      </c>
      <c r="N29">
        <v>2016</v>
      </c>
      <c r="O29" t="s">
        <v>125</v>
      </c>
      <c r="P29" t="s">
        <v>125</v>
      </c>
      <c r="Q29" t="s">
        <v>125</v>
      </c>
      <c r="R29" t="s">
        <v>125</v>
      </c>
      <c r="S29" t="s">
        <v>125</v>
      </c>
      <c r="T29" t="s">
        <v>125</v>
      </c>
      <c r="U29" t="s">
        <v>125</v>
      </c>
    </row>
    <row r="30" spans="1:21" x14ac:dyDescent="0.25">
      <c r="A30" t="s">
        <v>122</v>
      </c>
      <c r="B30" t="s">
        <v>32</v>
      </c>
      <c r="C30" t="s">
        <v>34</v>
      </c>
      <c r="I30" s="11"/>
      <c r="J30" t="s">
        <v>1265</v>
      </c>
      <c r="K30">
        <v>1</v>
      </c>
      <c r="L30" s="6">
        <v>41268</v>
      </c>
      <c r="M30">
        <v>52</v>
      </c>
      <c r="N30">
        <v>2016</v>
      </c>
      <c r="O30" t="s">
        <v>73</v>
      </c>
      <c r="P30" t="s">
        <v>75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</row>
    <row r="31" spans="1:21" x14ac:dyDescent="0.25">
      <c r="A31" t="s">
        <v>110</v>
      </c>
      <c r="B31" t="s">
        <v>35</v>
      </c>
      <c r="C31" t="s">
        <v>36</v>
      </c>
      <c r="I31" s="11"/>
      <c r="J31" t="s">
        <v>1394</v>
      </c>
      <c r="K31">
        <v>6</v>
      </c>
      <c r="L31" s="6">
        <v>41268</v>
      </c>
      <c r="M31">
        <v>52</v>
      </c>
      <c r="N31">
        <v>2016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73</v>
      </c>
      <c r="U31" t="s">
        <v>74</v>
      </c>
    </row>
    <row r="32" spans="1:21" x14ac:dyDescent="0.25">
      <c r="A32" t="s">
        <v>129</v>
      </c>
      <c r="B32" t="s">
        <v>58</v>
      </c>
      <c r="C32" t="s">
        <v>59</v>
      </c>
      <c r="I32" s="11"/>
      <c r="J32" t="s">
        <v>1265</v>
      </c>
      <c r="K32">
        <v>3</v>
      </c>
      <c r="L32" s="6">
        <v>41268</v>
      </c>
      <c r="M32">
        <v>52</v>
      </c>
      <c r="N32">
        <v>2016</v>
      </c>
      <c r="O32" t="s">
        <v>75</v>
      </c>
      <c r="P32" t="s">
        <v>75</v>
      </c>
      <c r="Q32" t="s">
        <v>76</v>
      </c>
      <c r="R32" t="s">
        <v>77</v>
      </c>
      <c r="S32" t="s">
        <v>73</v>
      </c>
      <c r="T32" t="s">
        <v>74</v>
      </c>
      <c r="U32" t="s">
        <v>74</v>
      </c>
    </row>
    <row r="33" spans="1:21" x14ac:dyDescent="0.25">
      <c r="A33" t="s">
        <v>111</v>
      </c>
      <c r="B33" t="s">
        <v>37</v>
      </c>
      <c r="C33" t="s">
        <v>38</v>
      </c>
      <c r="I33" s="11"/>
      <c r="J33" t="s">
        <v>1394</v>
      </c>
      <c r="K33">
        <v>4</v>
      </c>
      <c r="L33" s="6">
        <v>41268</v>
      </c>
      <c r="M33">
        <v>52</v>
      </c>
      <c r="N33">
        <v>2016</v>
      </c>
      <c r="O33" t="s">
        <v>73</v>
      </c>
      <c r="P33" t="s">
        <v>73</v>
      </c>
      <c r="Q33" t="s">
        <v>133</v>
      </c>
      <c r="R33" t="s">
        <v>92</v>
      </c>
      <c r="S33" t="s">
        <v>74</v>
      </c>
      <c r="T33" t="s">
        <v>75</v>
      </c>
      <c r="U33" t="s">
        <v>75</v>
      </c>
    </row>
    <row r="34" spans="1:21" x14ac:dyDescent="0.25">
      <c r="A34" t="s">
        <v>112</v>
      </c>
      <c r="B34" t="s">
        <v>39</v>
      </c>
      <c r="C34" t="s">
        <v>40</v>
      </c>
      <c r="I34" s="11"/>
      <c r="J34" t="s">
        <v>1265</v>
      </c>
      <c r="K34">
        <v>2</v>
      </c>
      <c r="L34" s="6">
        <v>41268</v>
      </c>
      <c r="M34">
        <v>52</v>
      </c>
      <c r="N34">
        <v>2016</v>
      </c>
      <c r="O34" t="s">
        <v>74</v>
      </c>
      <c r="P34" t="s">
        <v>75</v>
      </c>
      <c r="Q34" t="s">
        <v>75</v>
      </c>
      <c r="R34" t="s">
        <v>75</v>
      </c>
      <c r="S34" t="s">
        <v>75</v>
      </c>
      <c r="T34" t="s">
        <v>73</v>
      </c>
      <c r="U34" t="s">
        <v>75</v>
      </c>
    </row>
    <row r="35" spans="1:21" x14ac:dyDescent="0.25">
      <c r="A35" t="s">
        <v>113</v>
      </c>
      <c r="B35" t="s">
        <v>41</v>
      </c>
      <c r="C35" t="s">
        <v>42</v>
      </c>
      <c r="I35" s="11"/>
      <c r="J35" t="s">
        <v>1265</v>
      </c>
      <c r="K35">
        <v>5</v>
      </c>
      <c r="L35" s="6">
        <v>41268</v>
      </c>
      <c r="M35">
        <v>52</v>
      </c>
      <c r="N35">
        <v>2016</v>
      </c>
      <c r="O35" t="s">
        <v>75</v>
      </c>
      <c r="P35" t="s">
        <v>75</v>
      </c>
      <c r="Q35" t="s">
        <v>73</v>
      </c>
      <c r="R35" t="s">
        <v>74</v>
      </c>
      <c r="S35" t="s">
        <v>75</v>
      </c>
      <c r="T35" t="s">
        <v>75</v>
      </c>
      <c r="U35" t="s">
        <v>76</v>
      </c>
    </row>
    <row r="36" spans="1:21" x14ac:dyDescent="0.25">
      <c r="A36" t="s">
        <v>114</v>
      </c>
      <c r="B36" t="s">
        <v>43</v>
      </c>
      <c r="C36" t="s">
        <v>44</v>
      </c>
      <c r="I36" s="11"/>
      <c r="J36" t="s">
        <v>1265</v>
      </c>
      <c r="K36">
        <v>1</v>
      </c>
      <c r="L36" s="6">
        <v>41268</v>
      </c>
      <c r="M36">
        <v>52</v>
      </c>
      <c r="N36">
        <v>2016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</row>
    <row r="37" spans="1:21" x14ac:dyDescent="0.25">
      <c r="A37" t="s">
        <v>115</v>
      </c>
      <c r="B37" t="s">
        <v>45</v>
      </c>
      <c r="C37" t="s">
        <v>46</v>
      </c>
      <c r="I37" s="11"/>
      <c r="J37" t="s">
        <v>1265</v>
      </c>
      <c r="K37">
        <v>8</v>
      </c>
      <c r="L37" s="6">
        <v>41268</v>
      </c>
      <c r="M37">
        <v>52</v>
      </c>
      <c r="N37">
        <v>2016</v>
      </c>
      <c r="O37" t="s">
        <v>73</v>
      </c>
      <c r="P37" t="s">
        <v>74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</row>
    <row r="38" spans="1:21" x14ac:dyDescent="0.25">
      <c r="A38" t="s">
        <v>116</v>
      </c>
      <c r="B38" t="s">
        <v>47</v>
      </c>
      <c r="C38" t="s">
        <v>48</v>
      </c>
      <c r="I38" s="11"/>
      <c r="J38" t="s">
        <v>1394</v>
      </c>
      <c r="K38">
        <v>12</v>
      </c>
      <c r="L38" s="6">
        <v>41268</v>
      </c>
      <c r="M38">
        <v>52</v>
      </c>
      <c r="N38">
        <v>2016</v>
      </c>
      <c r="O38" t="s">
        <v>73</v>
      </c>
      <c r="P38" t="s">
        <v>75</v>
      </c>
      <c r="Q38" t="s">
        <v>75</v>
      </c>
      <c r="R38" t="s">
        <v>75</v>
      </c>
      <c r="S38" t="s">
        <v>75</v>
      </c>
      <c r="T38" t="s">
        <v>73</v>
      </c>
      <c r="U38" t="s">
        <v>74</v>
      </c>
    </row>
    <row r="39" spans="1:21" x14ac:dyDescent="0.25">
      <c r="A39" t="s">
        <v>117</v>
      </c>
      <c r="B39" t="s">
        <v>49</v>
      </c>
      <c r="C39" t="s">
        <v>50</v>
      </c>
      <c r="I39" s="11"/>
      <c r="J39" t="s">
        <v>1265</v>
      </c>
      <c r="K39">
        <v>7</v>
      </c>
      <c r="L39" s="6">
        <v>41268</v>
      </c>
      <c r="M39">
        <v>52</v>
      </c>
      <c r="N39">
        <v>2016</v>
      </c>
      <c r="O39" t="s">
        <v>75</v>
      </c>
      <c r="P39" t="s">
        <v>73</v>
      </c>
      <c r="Q39" t="s">
        <v>75</v>
      </c>
      <c r="R39" t="s">
        <v>74</v>
      </c>
      <c r="S39" t="s">
        <v>74</v>
      </c>
      <c r="T39" t="s">
        <v>75</v>
      </c>
      <c r="U39" t="s">
        <v>73</v>
      </c>
    </row>
    <row r="40" spans="1:21" x14ac:dyDescent="0.25">
      <c r="A40" t="s">
        <v>118</v>
      </c>
      <c r="B40" t="s">
        <v>51</v>
      </c>
      <c r="C40" t="s">
        <v>52</v>
      </c>
      <c r="I40" s="11"/>
      <c r="J40" t="s">
        <v>1394</v>
      </c>
      <c r="K40">
        <v>11</v>
      </c>
      <c r="L40" s="6">
        <v>41268</v>
      </c>
      <c r="M40">
        <v>52</v>
      </c>
      <c r="N40">
        <v>2016</v>
      </c>
      <c r="O40" t="s">
        <v>74</v>
      </c>
      <c r="P40" t="s">
        <v>133</v>
      </c>
      <c r="Q40" t="s">
        <v>73</v>
      </c>
      <c r="R40" t="s">
        <v>75</v>
      </c>
      <c r="S40" t="s">
        <v>75</v>
      </c>
      <c r="T40" t="s">
        <v>74</v>
      </c>
      <c r="U40" t="s">
        <v>73</v>
      </c>
    </row>
    <row r="41" spans="1:21" x14ac:dyDescent="0.25">
      <c r="A41" t="s">
        <v>119</v>
      </c>
      <c r="B41" t="s">
        <v>53</v>
      </c>
      <c r="C41" t="s">
        <v>54</v>
      </c>
      <c r="I41" s="11"/>
      <c r="J41" t="s">
        <v>1265</v>
      </c>
      <c r="K41">
        <v>9</v>
      </c>
      <c r="L41" s="6">
        <v>41268</v>
      </c>
      <c r="M41">
        <v>52</v>
      </c>
      <c r="N41">
        <v>2016</v>
      </c>
      <c r="O41" t="s">
        <v>76</v>
      </c>
      <c r="P41" t="s">
        <v>77</v>
      </c>
      <c r="Q41" t="s">
        <v>73</v>
      </c>
      <c r="R41" t="s">
        <v>74</v>
      </c>
      <c r="S41" t="s">
        <v>75</v>
      </c>
      <c r="T41" t="s">
        <v>75</v>
      </c>
      <c r="U41" t="s">
        <v>73</v>
      </c>
    </row>
    <row r="42" spans="1:21" x14ac:dyDescent="0.25">
      <c r="A42" t="s">
        <v>1275</v>
      </c>
      <c r="B42" t="s">
        <v>1272</v>
      </c>
      <c r="C42" t="s">
        <v>131</v>
      </c>
      <c r="I42" s="11"/>
      <c r="J42" t="s">
        <v>1394</v>
      </c>
      <c r="K42">
        <v>2</v>
      </c>
      <c r="L42" s="6">
        <v>41268</v>
      </c>
      <c r="M42">
        <v>52</v>
      </c>
      <c r="N42">
        <v>2016</v>
      </c>
      <c r="O42" t="s">
        <v>77</v>
      </c>
      <c r="P42" t="s">
        <v>73</v>
      </c>
      <c r="Q42" t="s">
        <v>74</v>
      </c>
      <c r="R42" t="s">
        <v>73</v>
      </c>
      <c r="S42" t="s">
        <v>74</v>
      </c>
      <c r="T42" t="s">
        <v>75</v>
      </c>
      <c r="U42" t="s">
        <v>74</v>
      </c>
    </row>
    <row r="43" spans="1:21" x14ac:dyDescent="0.25">
      <c r="A43" t="s">
        <v>1277</v>
      </c>
      <c r="B43" t="s">
        <v>1273</v>
      </c>
      <c r="C43" t="s">
        <v>131</v>
      </c>
      <c r="I43" s="11"/>
      <c r="J43" t="s">
        <v>1394</v>
      </c>
      <c r="K43">
        <v>11</v>
      </c>
      <c r="L43" s="6">
        <v>41268</v>
      </c>
      <c r="M43">
        <v>52</v>
      </c>
      <c r="N43">
        <v>2016</v>
      </c>
      <c r="O43" t="s">
        <v>75</v>
      </c>
      <c r="P43" t="s">
        <v>73</v>
      </c>
      <c r="Q43" t="s">
        <v>75</v>
      </c>
      <c r="R43" t="s">
        <v>74</v>
      </c>
      <c r="S43" t="s">
        <v>73</v>
      </c>
      <c r="T43" t="s">
        <v>75</v>
      </c>
      <c r="U43" t="s">
        <v>73</v>
      </c>
    </row>
    <row r="44" spans="1:21" x14ac:dyDescent="0.25">
      <c r="A44" t="s">
        <v>1278</v>
      </c>
      <c r="B44" t="s">
        <v>1274</v>
      </c>
      <c r="C44" t="s">
        <v>131</v>
      </c>
      <c r="I44" s="11"/>
      <c r="J44" t="s">
        <v>1265</v>
      </c>
      <c r="K44">
        <v>5</v>
      </c>
      <c r="L44" s="6">
        <v>41268</v>
      </c>
      <c r="M44">
        <v>52</v>
      </c>
      <c r="N44">
        <v>2016</v>
      </c>
      <c r="O44" t="s">
        <v>75</v>
      </c>
      <c r="P44" t="s">
        <v>74</v>
      </c>
      <c r="Q44" t="s">
        <v>75</v>
      </c>
      <c r="R44" t="s">
        <v>75</v>
      </c>
      <c r="S44" t="s">
        <v>73</v>
      </c>
      <c r="T44" t="s">
        <v>74</v>
      </c>
      <c r="U44" t="s">
        <v>76</v>
      </c>
    </row>
    <row r="45" spans="1:21" x14ac:dyDescent="0.25">
      <c r="A45" t="s">
        <v>1276</v>
      </c>
      <c r="B45" t="s">
        <v>1279</v>
      </c>
      <c r="C45" t="s">
        <v>1280</v>
      </c>
      <c r="I45" s="11"/>
      <c r="J45" t="s">
        <v>1265</v>
      </c>
      <c r="K45">
        <v>3</v>
      </c>
      <c r="L45" s="6">
        <v>41268</v>
      </c>
      <c r="M45">
        <v>52</v>
      </c>
      <c r="N45">
        <v>2016</v>
      </c>
      <c r="O45" t="s">
        <v>73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</row>
  </sheetData>
  <mergeCells count="1">
    <mergeCell ref="I10:I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2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5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260" r:id="rId6" name="BtnCreaReport">
              <controlPr defaultSize="0" print="0" autoFill="0" autoPict="0" macro="[0]!creaFileReportTurno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2017_1_4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2016-12-23T15:25:15Z</dcterms:modified>
</cp:coreProperties>
</file>