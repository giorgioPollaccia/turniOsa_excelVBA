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ate1904="1" defaultThemeVersion="153222"/>
  <mc:AlternateContent xmlns:mc="http://schemas.openxmlformats.org/markup-compatibility/2006">
    <mc:Choice Requires="x15">
      <x15ac:absPath xmlns:x15ac="http://schemas.microsoft.com/office/spreadsheetml/2010/11/ac" url="D:\TURNI_EXCEL\ottobre_2016\"/>
    </mc:Choice>
  </mc:AlternateContent>
  <bookViews>
    <workbookView xWindow="0" yWindow="1230" windowWidth="25200" windowHeight="12570"/>
  </bookViews>
  <sheets>
    <sheet name="Sheet2" sheetId="1" r:id="rId1"/>
    <sheet name="xl_DCF_History" sheetId="2" state="veryHidden" r:id="rId2"/>
    <sheet name="Classified as UnClassified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3" i="1" l="1"/>
  <c r="AE33" i="1"/>
  <c r="V33" i="1"/>
  <c r="M33" i="1"/>
  <c r="AO32" i="1"/>
  <c r="AE32" i="1"/>
  <c r="V32" i="1"/>
  <c r="M32" i="1"/>
  <c r="AF32" i="1" s="1"/>
  <c r="AO31" i="1"/>
  <c r="AE31" i="1"/>
  <c r="V31" i="1"/>
  <c r="AF31" i="1" s="1"/>
  <c r="M31" i="1"/>
  <c r="AO30" i="1"/>
  <c r="AE30" i="1"/>
  <c r="V30" i="1"/>
  <c r="M30" i="1"/>
  <c r="AO29" i="1"/>
  <c r="AE29" i="1"/>
  <c r="V29" i="1"/>
  <c r="AF29" i="1" s="1"/>
  <c r="M29" i="1"/>
  <c r="AO28" i="1"/>
  <c r="AE28" i="1"/>
  <c r="V28" i="1"/>
  <c r="M28" i="1"/>
  <c r="AO27" i="1"/>
  <c r="AE27" i="1"/>
  <c r="AF27" i="1" s="1"/>
  <c r="V27" i="1"/>
  <c r="M27" i="1"/>
  <c r="AO26" i="1"/>
  <c r="AE26" i="1"/>
  <c r="V26" i="1"/>
  <c r="M26" i="1"/>
  <c r="AO25" i="1"/>
  <c r="AE25" i="1"/>
  <c r="V25" i="1"/>
  <c r="M25" i="1"/>
  <c r="AO24" i="1"/>
  <c r="AE24" i="1"/>
  <c r="V24" i="1"/>
  <c r="M24" i="1"/>
  <c r="AO23" i="1"/>
  <c r="AF23" i="1"/>
  <c r="AE23" i="1"/>
  <c r="V23" i="1"/>
  <c r="M23" i="1"/>
  <c r="AO22" i="1"/>
  <c r="AE22" i="1"/>
  <c r="V22" i="1"/>
  <c r="M22" i="1"/>
  <c r="AO21" i="1"/>
  <c r="AE21" i="1"/>
  <c r="V21" i="1"/>
  <c r="M21" i="1"/>
  <c r="AF21" i="1" s="1"/>
  <c r="AO20" i="1"/>
  <c r="AE20" i="1"/>
  <c r="V20" i="1"/>
  <c r="M20" i="1"/>
  <c r="AO19" i="1"/>
  <c r="AE19" i="1"/>
  <c r="V19" i="1"/>
  <c r="M19" i="1"/>
  <c r="AF19" i="1" s="1"/>
  <c r="AO18" i="1"/>
  <c r="AE18" i="1"/>
  <c r="V18" i="1"/>
  <c r="M18" i="1"/>
  <c r="AF18" i="1" s="1"/>
  <c r="AO17" i="1"/>
  <c r="AE17" i="1"/>
  <c r="V17" i="1"/>
  <c r="M17" i="1"/>
  <c r="AF17" i="1" s="1"/>
  <c r="AO16" i="1"/>
  <c r="AE16" i="1"/>
  <c r="V16" i="1"/>
  <c r="M16" i="1"/>
  <c r="AO15" i="1"/>
  <c r="AE15" i="1"/>
  <c r="V15" i="1"/>
  <c r="M15" i="1"/>
  <c r="AF15" i="1" s="1"/>
  <c r="AO14" i="1"/>
  <c r="AE14" i="1"/>
  <c r="V14" i="1"/>
  <c r="AF14" i="1" s="1"/>
  <c r="M14" i="1"/>
  <c r="AO13" i="1"/>
  <c r="AE13" i="1"/>
  <c r="V13" i="1"/>
  <c r="M13" i="1"/>
  <c r="AO12" i="1"/>
  <c r="AE12" i="1"/>
  <c r="V12" i="1"/>
  <c r="M12" i="1"/>
  <c r="AO11" i="1"/>
  <c r="AE11" i="1"/>
  <c r="V11" i="1"/>
  <c r="AF11" i="1" s="1"/>
  <c r="M11" i="1"/>
  <c r="AO10" i="1"/>
  <c r="AE10" i="1"/>
  <c r="V10" i="1"/>
  <c r="M10" i="1"/>
  <c r="AO9" i="1"/>
  <c r="AE9" i="1"/>
  <c r="AF9" i="1" s="1"/>
  <c r="V9" i="1"/>
  <c r="M9" i="1"/>
  <c r="AO8" i="1"/>
  <c r="AE8" i="1"/>
  <c r="V8" i="1"/>
  <c r="M8" i="1"/>
  <c r="AO7" i="1"/>
  <c r="AE7" i="1"/>
  <c r="V7" i="1"/>
  <c r="M7" i="1"/>
  <c r="AO6" i="1"/>
  <c r="AE6" i="1"/>
  <c r="V6" i="1"/>
  <c r="M6" i="1"/>
  <c r="AO5" i="1"/>
  <c r="AF5" i="1"/>
  <c r="AE5" i="1"/>
  <c r="V5" i="1"/>
  <c r="M5" i="1"/>
  <c r="AO4" i="1"/>
  <c r="AE4" i="1"/>
  <c r="V4" i="1"/>
  <c r="M4" i="1"/>
  <c r="AF4" i="1" s="1"/>
  <c r="AO3" i="1"/>
  <c r="AE3" i="1"/>
  <c r="V3" i="1"/>
  <c r="M3" i="1"/>
  <c r="AO2" i="1"/>
  <c r="AE2" i="1"/>
  <c r="V2" i="1"/>
  <c r="M2" i="1"/>
  <c r="AF2" i="1" s="1"/>
  <c r="AF16" i="1" l="1"/>
  <c r="AF33" i="1"/>
  <c r="AF3" i="1"/>
  <c r="AF6" i="1"/>
  <c r="AF8" i="1"/>
  <c r="AF20" i="1"/>
  <c r="AF24" i="1"/>
  <c r="AF26" i="1"/>
  <c r="AF7" i="1"/>
  <c r="AF10" i="1"/>
  <c r="AF12" i="1"/>
  <c r="AF25" i="1"/>
  <c r="AF28" i="1"/>
  <c r="AF30" i="1"/>
</calcChain>
</file>

<file path=xl/sharedStrings.xml><?xml version="1.0" encoding="utf-8"?>
<sst xmlns="http://schemas.openxmlformats.org/spreadsheetml/2006/main" count="703" uniqueCount="325">
  <si>
    <t>27 7/4/2016</t>
  </si>
  <si>
    <t>28 7/11/2016</t>
  </si>
  <si>
    <t>29 7/18/2016</t>
  </si>
  <si>
    <t>30 7/25/2016</t>
  </si>
  <si>
    <t>31 8/1/2016</t>
  </si>
  <si>
    <t>32 8/8/2016</t>
  </si>
  <si>
    <t>33 8/15/2016</t>
  </si>
  <si>
    <t>34 8/22/2016</t>
  </si>
  <si>
    <t>35 8/29/2016</t>
  </si>
  <si>
    <t>36 9/5/2016</t>
  </si>
  <si>
    <t>37 9/12/2016</t>
  </si>
  <si>
    <t>38 9/19/2016</t>
  </si>
  <si>
    <t>39 9/26/2016</t>
  </si>
  <si>
    <t>40 10/3/2016</t>
  </si>
  <si>
    <t>41 10/10/2016</t>
  </si>
  <si>
    <t>42 10/17/2016</t>
  </si>
  <si>
    <t>43 10/24/2016</t>
  </si>
  <si>
    <t>44 10/31/2016</t>
  </si>
  <si>
    <t>1</t>
  </si>
  <si>
    <t>Alaimo</t>
  </si>
  <si>
    <t>Dorella</t>
  </si>
  <si>
    <t xml:space="preserve"> P N S R P P P</t>
  </si>
  <si>
    <t xml:space="preserve"> M R P P M N S</t>
  </si>
  <si>
    <t xml:space="preserve"> R P P M N S R</t>
  </si>
  <si>
    <t xml:space="preserve"> P P M P M R P</t>
  </si>
  <si>
    <t xml:space="preserve"> P M N S R P M</t>
  </si>
  <si>
    <t xml:space="preserve"> P P P R P M M</t>
  </si>
  <si>
    <t xml:space="preserve"> N S R P M M N</t>
  </si>
  <si>
    <t xml:space="preserve"> S R P P M M P</t>
  </si>
  <si>
    <t xml:space="preserve"> R P M P P M R</t>
  </si>
  <si>
    <t xml:space="preserve"> P P P N S R P</t>
  </si>
  <si>
    <t xml:space="preserve"> P P M R P P P</t>
  </si>
  <si>
    <t xml:space="preserve"> M P R P P N S</t>
  </si>
  <si>
    <t xml:space="preserve"> R P M M N S R</t>
  </si>
  <si>
    <t xml:space="preserve"> P M M M M R M</t>
  </si>
  <si>
    <t xml:space="preserve"> M M P R P P M</t>
  </si>
  <si>
    <t>2</t>
  </si>
  <si>
    <t>Canino</t>
  </si>
  <si>
    <t>Gaetana</t>
  </si>
  <si>
    <t xml:space="preserve"> F F R F F F R</t>
  </si>
  <si>
    <t xml:space="preserve"> M1 P P M N S R</t>
  </si>
  <si>
    <t xml:space="preserve"> P M M M M M R</t>
  </si>
  <si>
    <t xml:space="preserve"> M M N S R P M</t>
  </si>
  <si>
    <t xml:space="preserve"> P M P R P M M</t>
  </si>
  <si>
    <t xml:space="preserve"> N S R P M F N</t>
  </si>
  <si>
    <t xml:space="preserve"> S R P M P M P</t>
  </si>
  <si>
    <t xml:space="preserve"> R P M P P M M</t>
  </si>
  <si>
    <t xml:space="preserve"> R M M N S R P</t>
  </si>
  <si>
    <t xml:space="preserve"> M M M R P M P</t>
  </si>
  <si>
    <t xml:space="preserve"> M N S R P M M</t>
  </si>
  <si>
    <t xml:space="preserve"> M M R P M N S</t>
  </si>
  <si>
    <t xml:space="preserve"> P M P R P P M</t>
  </si>
  <si>
    <t>3</t>
  </si>
  <si>
    <t>Canzoneri</t>
  </si>
  <si>
    <t>Domenica</t>
  </si>
  <si>
    <t xml:space="preserve"> P1 M1 R P M M N</t>
  </si>
  <si>
    <t xml:space="preserve"> S R P M M F F</t>
  </si>
  <si>
    <t xml:space="preserve"> R F F F F F R</t>
  </si>
  <si>
    <t xml:space="preserve"> F F F F F R M</t>
  </si>
  <si>
    <t xml:space="preserve"> M P P M R P M</t>
  </si>
  <si>
    <t xml:space="preserve"> P M R M M N S</t>
  </si>
  <si>
    <t xml:space="preserve"> M M N S R P ROI</t>
  </si>
  <si>
    <t xml:space="preserve"> M M M R P P M</t>
  </si>
  <si>
    <t xml:space="preserve"> S R P M M M P</t>
  </si>
  <si>
    <t xml:space="preserve"> M M M N S R P</t>
  </si>
  <si>
    <t xml:space="preserve"> M P P M R P P</t>
  </si>
  <si>
    <t xml:space="preserve"> M M R M M N S</t>
  </si>
  <si>
    <t>4</t>
  </si>
  <si>
    <t>Carbone</t>
  </si>
  <si>
    <t>Maria Rita</t>
  </si>
  <si>
    <t xml:space="preserve"> F F R F F F F</t>
  </si>
  <si>
    <t xml:space="preserve"> R P M M F F R</t>
  </si>
  <si>
    <t xml:space="preserve"> P M P M R M M</t>
  </si>
  <si>
    <t xml:space="preserve"> M M P M R F M</t>
  </si>
  <si>
    <t xml:space="preserve"> S R P P M M M</t>
  </si>
  <si>
    <t xml:space="preserve"> R P M P M M R</t>
  </si>
  <si>
    <t>5</t>
  </si>
  <si>
    <t>Carollo</t>
  </si>
  <si>
    <t>Maria</t>
  </si>
  <si>
    <t xml:space="preserve"> R P M M M M R</t>
  </si>
  <si>
    <t xml:space="preserve"> P M M N S R P</t>
  </si>
  <si>
    <t xml:space="preserve"> M R P M M N S</t>
  </si>
  <si>
    <t xml:space="preserve"> F F F F F R F</t>
  </si>
  <si>
    <t xml:space="preserve"> P M N S R P P</t>
  </si>
  <si>
    <t xml:space="preserve"> S R P M M M M</t>
  </si>
  <si>
    <t xml:space="preserve"> R P M M P M R</t>
  </si>
  <si>
    <t>6</t>
  </si>
  <si>
    <t>Conti</t>
  </si>
  <si>
    <t>Rosaria</t>
  </si>
  <si>
    <t xml:space="preserve"> R 104 M P 104 F R</t>
  </si>
  <si>
    <t xml:space="preserve"> P 104 M M M R P</t>
  </si>
  <si>
    <t xml:space="preserve"> M1 P1 M1 M1 R P1 M1</t>
  </si>
  <si>
    <t xml:space="preserve"> P1 M1 M1 R P1 P1 M1</t>
  </si>
  <si>
    <t xml:space="preserve"> P1 P1 R M1 M1 P1 M1</t>
  </si>
  <si>
    <t xml:space="preserve"> 104 R M1 P1 M1 M1 104</t>
  </si>
  <si>
    <t xml:space="preserve"> R M M P M 104 R</t>
  </si>
  <si>
    <t xml:space="preserve"> M M M P M R M</t>
  </si>
  <si>
    <t xml:space="preserve"> P1 M1 M1 M1 R P1 P1</t>
  </si>
  <si>
    <t xml:space="preserve"> 104 M M M R M M</t>
  </si>
  <si>
    <t xml:space="preserve"> F R F F F F F</t>
  </si>
  <si>
    <t xml:space="preserve"> R 104 M 104 M M R</t>
  </si>
  <si>
    <t xml:space="preserve"> M P M P M R M</t>
  </si>
  <si>
    <t xml:space="preserve"> M P M M R P P</t>
  </si>
  <si>
    <t xml:space="preserve"> P M P R P M P</t>
  </si>
  <si>
    <t xml:space="preserve"> P P R M M P M</t>
  </si>
  <si>
    <t xml:space="preserve"> M R P M P M M</t>
  </si>
  <si>
    <t>7</t>
  </si>
  <si>
    <t>V</t>
  </si>
  <si>
    <t xml:space="preserve"> S R P P M N S</t>
  </si>
  <si>
    <t xml:space="preserve"> R P M F P M R</t>
  </si>
  <si>
    <t xml:space="preserve"> M M M M R P M</t>
  </si>
  <si>
    <t xml:space="preserve"> P N S R P P M</t>
  </si>
  <si>
    <t xml:space="preserve"> F F F F R F F</t>
  </si>
  <si>
    <t xml:space="preserve"> F F F R F F F</t>
  </si>
  <si>
    <t xml:space="preserve"> P RC R M M P M</t>
  </si>
  <si>
    <t xml:space="preserve"> M R M M M P M</t>
  </si>
  <si>
    <t xml:space="preserve"> R M M P M M R</t>
  </si>
  <si>
    <t>8</t>
  </si>
  <si>
    <t>Cottone</t>
  </si>
  <si>
    <t>Francesco</t>
  </si>
  <si>
    <t xml:space="preserve"> M M M M M R P</t>
  </si>
  <si>
    <t xml:space="preserve"> N S R P P M N</t>
  </si>
  <si>
    <t xml:space="preserve"> R P M P N S R</t>
  </si>
  <si>
    <t xml:space="preserve"> M N S R P M P</t>
  </si>
  <si>
    <t xml:space="preserve"> P M P M M R P</t>
  </si>
  <si>
    <t>9</t>
  </si>
  <si>
    <t>Custode</t>
  </si>
  <si>
    <t>Franca Maria</t>
  </si>
  <si>
    <t xml:space="preserve"> M M M R P M M</t>
  </si>
  <si>
    <t xml:space="preserve"> N S R P M M M</t>
  </si>
  <si>
    <t xml:space="preserve"> N S R M M N S</t>
  </si>
  <si>
    <t xml:space="preserve"> P P M M R P M</t>
  </si>
  <si>
    <t xml:space="preserve"> P M M R P M M</t>
  </si>
  <si>
    <t>10</t>
  </si>
  <si>
    <t>Di Marco</t>
  </si>
  <si>
    <t>Fortunata</t>
  </si>
  <si>
    <t xml:space="preserve"> M P P M R F P</t>
  </si>
  <si>
    <t xml:space="preserve"> P M R P P N S</t>
  </si>
  <si>
    <t xml:space="preserve"> P P M M M R P</t>
  </si>
  <si>
    <t>11</t>
  </si>
  <si>
    <t>Di Scafani</t>
  </si>
  <si>
    <t xml:space="preserve"> F F F M R P1 M1</t>
  </si>
  <si>
    <t xml:space="preserve"> M1 M1 R P1 M1 M1 P1</t>
  </si>
  <si>
    <t xml:space="preserve"> M1 M1 R P1 M1 P1 M1</t>
  </si>
  <si>
    <t xml:space="preserve"> P M M M M R P</t>
  </si>
  <si>
    <t xml:space="preserve"> P M P R F F F</t>
  </si>
  <si>
    <t xml:space="preserve"> F M R P M M N</t>
  </si>
  <si>
    <t xml:space="preserve"> R R P P M M M</t>
  </si>
  <si>
    <t xml:space="preserve"> F M M N S R P</t>
  </si>
  <si>
    <t>12</t>
  </si>
  <si>
    <t>Eroe</t>
  </si>
  <si>
    <t>Elvira</t>
  </si>
  <si>
    <t xml:space="preserve"> P1 P1 M1 R P1 M1 P1</t>
  </si>
  <si>
    <t xml:space="preserve"> P1 M1 R P1 P1 P1 P1</t>
  </si>
  <si>
    <t xml:space="preserve"> M1 R P1 P1 P1 P1 M1</t>
  </si>
  <si>
    <t xml:space="preserve"> R P1 P1 M P M R</t>
  </si>
  <si>
    <t xml:space="preserve"> M P M P M R P</t>
  </si>
  <si>
    <t xml:space="preserve">       </t>
  </si>
  <si>
    <t xml:space="preserve"> R P M P M P P</t>
  </si>
  <si>
    <t xml:space="preserve"> R P P P P M R</t>
  </si>
  <si>
    <t xml:space="preserve"> P P P P P R P</t>
  </si>
  <si>
    <t xml:space="preserve"> P P RC R P P P</t>
  </si>
  <si>
    <t>30</t>
  </si>
  <si>
    <t>Maurizio</t>
  </si>
  <si>
    <t xml:space="preserve"> S R P P M M N</t>
  </si>
  <si>
    <t xml:space="preserve"> S R M P P M R</t>
  </si>
  <si>
    <t xml:space="preserve"> M P M N S R P</t>
  </si>
  <si>
    <t xml:space="preserve"> P M R P M M M</t>
  </si>
  <si>
    <t xml:space="preserve"> M R P M M M M</t>
  </si>
  <si>
    <t xml:space="preserve"> P P M P M R RC</t>
  </si>
  <si>
    <t>13</t>
  </si>
  <si>
    <t>Farinella</t>
  </si>
  <si>
    <t/>
  </si>
  <si>
    <t xml:space="preserve"> M M R F F N S</t>
  </si>
  <si>
    <t xml:space="preserve"> N S R P M RC N</t>
  </si>
  <si>
    <t xml:space="preserve"> P P P M R P P</t>
  </si>
  <si>
    <t>31</t>
  </si>
  <si>
    <t>Fucarino</t>
  </si>
  <si>
    <t>Natale</t>
  </si>
  <si>
    <t xml:space="preserve"> R P M P M R P</t>
  </si>
  <si>
    <t xml:space="preserve"> M1 P1 M1 R P1 P1 M1</t>
  </si>
  <si>
    <t xml:space="preserve"> M1 M1 R P1 P1 M1 P1</t>
  </si>
  <si>
    <t xml:space="preserve"> R M R M M N S</t>
  </si>
  <si>
    <t xml:space="preserve"> S R P M M N S</t>
  </si>
  <si>
    <t>14</t>
  </si>
  <si>
    <t>Giglio</t>
  </si>
  <si>
    <t>Nicola</t>
  </si>
  <si>
    <t xml:space="preserve"> P M M R P P M</t>
  </si>
  <si>
    <t xml:space="preserve"> F M M M M R M</t>
  </si>
  <si>
    <t xml:space="preserve"> S R P M P M M</t>
  </si>
  <si>
    <t xml:space="preserve"> M M P M R F F</t>
  </si>
  <si>
    <t xml:space="preserve"> M M M M M R M</t>
  </si>
  <si>
    <t>15</t>
  </si>
  <si>
    <t>Graziano</t>
  </si>
  <si>
    <t>Lorenza</t>
  </si>
  <si>
    <t xml:space="preserve"> M M P M R P P</t>
  </si>
  <si>
    <t xml:space="preserve"> M M M M P R M</t>
  </si>
  <si>
    <t xml:space="preserve"> M R P M M P M</t>
  </si>
  <si>
    <t xml:space="preserve"> M R P P M R P</t>
  </si>
  <si>
    <t xml:space="preserve"> F F F R RC M M</t>
  </si>
  <si>
    <t>16</t>
  </si>
  <si>
    <t>Guarino</t>
  </si>
  <si>
    <t xml:space="preserve"> M1 R 104 M1 M1 M1 M1</t>
  </si>
  <si>
    <t xml:space="preserve"> R 104 P P M M R</t>
  </si>
  <si>
    <t xml:space="preserve"> P 104 M M M M R</t>
  </si>
  <si>
    <t xml:space="preserve"> M1 M1 M1 M1 R P1 P1</t>
  </si>
  <si>
    <t xml:space="preserve"> P1 M1 M1 R P1 M1 P1</t>
  </si>
  <si>
    <t xml:space="preserve"> M1 R P1 M1 P1 M1 M1</t>
  </si>
  <si>
    <t xml:space="preserve"> M M F R F F F</t>
  </si>
  <si>
    <t xml:space="preserve"> RC R 104 104 P M M</t>
  </si>
  <si>
    <t>17</t>
  </si>
  <si>
    <t>Filomena</t>
  </si>
  <si>
    <t xml:space="preserve"> M M M R M M M</t>
  </si>
  <si>
    <t xml:space="preserve"> M N S R M M P</t>
  </si>
  <si>
    <t xml:space="preserve"> R M M M N S R</t>
  </si>
  <si>
    <t>18</t>
  </si>
  <si>
    <t>La Barbera</t>
  </si>
  <si>
    <t>Santino</t>
  </si>
  <si>
    <t xml:space="preserve"> M N S R M M M</t>
  </si>
  <si>
    <t xml:space="preserve"> N S R M M P P</t>
  </si>
  <si>
    <t xml:space="preserve"> M P M M M R M</t>
  </si>
  <si>
    <t xml:space="preserve"> M1 M1 M1 M1 R M1 M1</t>
  </si>
  <si>
    <t xml:space="preserve"> M M R P M M M</t>
  </si>
  <si>
    <t>19</t>
  </si>
  <si>
    <t>Maria Carmela</t>
  </si>
  <si>
    <t xml:space="preserve"> M1 P1 P1 M1 R P1 M1</t>
  </si>
  <si>
    <t xml:space="preserve"> M1 M1 M1 R P1 M1 M1</t>
  </si>
  <si>
    <t xml:space="preserve"> M1 M1 R M1 M1 M1 M1</t>
  </si>
  <si>
    <t xml:space="preserve"> M R M M M M M</t>
  </si>
  <si>
    <t xml:space="preserve"> R M M M M M R</t>
  </si>
  <si>
    <t xml:space="preserve"> P M P R M M M</t>
  </si>
  <si>
    <t xml:space="preserve"> M R P P P M M</t>
  </si>
  <si>
    <t>20</t>
  </si>
  <si>
    <t>Macagnone</t>
  </si>
  <si>
    <t>Francesca</t>
  </si>
  <si>
    <t xml:space="preserve"> S R P M M P M</t>
  </si>
  <si>
    <t xml:space="preserve"> M1 R F F F M1 N</t>
  </si>
  <si>
    <t xml:space="preserve"> S R P M P P R</t>
  </si>
  <si>
    <t xml:space="preserve"> P M M M R P M</t>
  </si>
  <si>
    <t>32</t>
  </si>
  <si>
    <t>Perrone</t>
  </si>
  <si>
    <t>Lucio</t>
  </si>
  <si>
    <t xml:space="preserve"> M1 R P1 M1 M1 M1 M1</t>
  </si>
  <si>
    <t xml:space="preserve"> M1 M1 P1 R P1 M1 P1</t>
  </si>
  <si>
    <t xml:space="preserve"> P1 M1 R M1 M1 M1 M1</t>
  </si>
  <si>
    <t xml:space="preserve"> M1 R M1 M1 P1 M1 M1</t>
  </si>
  <si>
    <t xml:space="preserve"> R M M M P P R</t>
  </si>
  <si>
    <t xml:space="preserve"> M R P M RC M M</t>
  </si>
  <si>
    <t xml:space="preserve"> M R RC M M P M</t>
  </si>
  <si>
    <t xml:space="preserve"> R M M P P M R</t>
  </si>
  <si>
    <t xml:space="preserve"> M P M M R M P</t>
  </si>
  <si>
    <t>21</t>
  </si>
  <si>
    <t>Pomara</t>
  </si>
  <si>
    <t>Nunzio</t>
  </si>
  <si>
    <t xml:space="preserve"> M P P M R M P</t>
  </si>
  <si>
    <t>22</t>
  </si>
  <si>
    <t>Raia</t>
  </si>
  <si>
    <t>Alfonsa</t>
  </si>
  <si>
    <t xml:space="preserve"> M M P M R M M</t>
  </si>
  <si>
    <t xml:space="preserve"> M1 P1 M1 M1 R P1 F</t>
  </si>
  <si>
    <t xml:space="preserve"> M M P M R P M</t>
  </si>
  <si>
    <t>23</t>
  </si>
  <si>
    <t>Randazzo</t>
  </si>
  <si>
    <t>Giuseppe</t>
  </si>
  <si>
    <t xml:space="preserve"> N S R F F F F</t>
  </si>
  <si>
    <t xml:space="preserve"> R P P F P P R</t>
  </si>
  <si>
    <t xml:space="preserve"> P1 P P P M R P</t>
  </si>
  <si>
    <t xml:space="preserve"> P P M N S R P</t>
  </si>
  <si>
    <t xml:space="preserve"> M M R M M M M</t>
  </si>
  <si>
    <t xml:space="preserve"> P M M M P R M</t>
  </si>
  <si>
    <t xml:space="preserve"> P M F F F R F</t>
  </si>
  <si>
    <t xml:space="preserve"> F F P P R P P</t>
  </si>
  <si>
    <t xml:space="preserve"> P M R P RC N S</t>
  </si>
  <si>
    <t>24</t>
  </si>
  <si>
    <t>Ribaudo</t>
  </si>
  <si>
    <t>Giacomo</t>
  </si>
  <si>
    <t xml:space="preserve"> P R P P M N S</t>
  </si>
  <si>
    <t xml:space="preserve"> ML R P M M N S</t>
  </si>
  <si>
    <t xml:space="preserve"> P M M P M R P</t>
  </si>
  <si>
    <t>25</t>
  </si>
  <si>
    <t>Roccaforte</t>
  </si>
  <si>
    <t>Carolina</t>
  </si>
  <si>
    <t xml:space="preserve"> P1 M1 M1 R P1 M1 M1</t>
  </si>
  <si>
    <t xml:space="preserve"> R P P P M M R</t>
  </si>
  <si>
    <t xml:space="preserve"> P M P R M P M</t>
  </si>
  <si>
    <t>26</t>
  </si>
  <si>
    <t>Saglimbeni</t>
  </si>
  <si>
    <t>Massimiliano</t>
  </si>
  <si>
    <t xml:space="preserve"> R P P M P M R</t>
  </si>
  <si>
    <t xml:space="preserve"> M M R RC M P M</t>
  </si>
  <si>
    <t>27</t>
  </si>
  <si>
    <t>Sblandi</t>
  </si>
  <si>
    <t>Vincenza</t>
  </si>
  <si>
    <t xml:space="preserve"> F M R P M N S</t>
  </si>
  <si>
    <t xml:space="preserve"> M P M P R M M</t>
  </si>
  <si>
    <t xml:space="preserve"> P1 M1 P1 R P1 M1 M1</t>
  </si>
  <si>
    <t xml:space="preserve"> M R M P M M R</t>
  </si>
  <si>
    <t xml:space="preserve"> P F M M M R M</t>
  </si>
  <si>
    <t xml:space="preserve"> M M M R RC P M</t>
  </si>
  <si>
    <t>28</t>
  </si>
  <si>
    <t>Scozzari</t>
  </si>
  <si>
    <t>Giuseppina</t>
  </si>
  <si>
    <t xml:space="preserve"> M P M M M R P</t>
  </si>
  <si>
    <t xml:space="preserve"> M P M R P M M</t>
  </si>
  <si>
    <t>29</t>
  </si>
  <si>
    <t>Tripi</t>
  </si>
  <si>
    <t>Elisa</t>
  </si>
  <si>
    <t xml:space="preserve"> M1 M1 P1 M1 R P1 M1</t>
  </si>
  <si>
    <t xml:space="preserve"> P1 R P1 M1 M1 M1 M1</t>
  </si>
  <si>
    <t xml:space="preserve"> S R P M N S R</t>
  </si>
  <si>
    <t xml:space="preserve"> M M N S R P P</t>
  </si>
  <si>
    <t xml:space="preserve"> M P M R P M P</t>
  </si>
  <si>
    <t>CLINAME</t>
  </si>
  <si>
    <t>DATETIME</t>
  </si>
  <si>
    <t>DONEBY</t>
  </si>
  <si>
    <t>IPADDRESS</t>
  </si>
  <si>
    <t>APPVER</t>
  </si>
  <si>
    <t>RANDOM</t>
  </si>
  <si>
    <t>CHECKSUM</t>
  </si>
  <si>
    <t>ᕧᖀᕕᕾᕳᖅᖅᕻᕸᕻᕷᕶ</t>
  </si>
  <si>
    <t>ᕃᕂᕁᕃᕃᕁᕄᕂᕃᕈᔲᔲᕃᕊᕌᕂᕇᕢᕟᔲᔺᕙᕟᕦᔽᕄᕌᕂᔻ</t>
  </si>
  <si>
    <t>ᕥᕦᕮᕙᕻᖁᖄᕹᕻᖁᔲᖂᖁᕾᕾᕳᕵᕵᕻᕳ</t>
  </si>
  <si>
    <t>ᕕᕦᕠᕕᕩᕞᕆᕄᕄᕃ</t>
  </si>
  <si>
    <t>ᕆᕀᕂᕀᕄᕀᕂ</t>
  </si>
  <si>
    <t>ᕇᕅᕅᕈ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</si>
</sst>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]:mm"/>
  </numFmts>
  <fonts count="2">
    <font>
      <sz val="11"/>
      <name val="Calibri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999FF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4" fontId="0" fillId="0" borderId="0" xfId="0" applyNumberFormat="1"/>
    <xf numFmtId="46" fontId="0" fillId="0" borderId="0" xfId="0" applyNumberFormat="1"/>
    <xf numFmtId="164" fontId="0" fillId="2" borderId="0" xfId="0" applyNumberFormat="1" applyFill="1"/>
    <xf numFmtId="164" fontId="1" fillId="3" borderId="0" xfId="0" applyNumberFormat="1" applyFont="1" applyFill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T33"/>
  <sheetViews>
    <sheetView tabSelected="1" zoomScaleNormal="100" workbookViewId="0"/>
  </sheetViews>
  <sheetFormatPr defaultColWidth="9.28515625" defaultRowHeight="15"/>
  <cols>
    <col min="1" max="1" width="9.140625" bestFit="1" customWidth="1"/>
    <col min="2" max="2" width="11.140625" bestFit="1" customWidth="1"/>
    <col min="3" max="3" width="13.85546875" bestFit="1" customWidth="1"/>
    <col min="4" max="4" width="22.140625" hidden="1" customWidth="1"/>
    <col min="5" max="5" width="5.5703125" bestFit="1" customWidth="1"/>
    <col min="6" max="6" width="18.85546875" hidden="1" customWidth="1"/>
    <col min="7" max="7" width="5.5703125" bestFit="1" customWidth="1"/>
    <col min="8" max="8" width="20.5703125" hidden="1" customWidth="1"/>
    <col min="9" max="9" width="5.5703125" bestFit="1" customWidth="1"/>
    <col min="10" max="10" width="21.140625" hidden="1" customWidth="1"/>
    <col min="11" max="11" width="5.5703125" bestFit="1" customWidth="1"/>
    <col min="12" max="12" width="21.85546875" hidden="1" customWidth="1"/>
    <col min="13" max="13" width="6.5703125" bestFit="1" customWidth="1"/>
    <col min="14" max="14" width="5.5703125" bestFit="1" customWidth="1"/>
    <col min="15" max="15" width="21.85546875" hidden="1" customWidth="1"/>
    <col min="16" max="16" width="5.5703125" bestFit="1" customWidth="1"/>
    <col min="17" max="17" width="21.140625" hidden="1" customWidth="1"/>
    <col min="18" max="18" width="5.5703125" bestFit="1" customWidth="1"/>
    <col min="19" max="19" width="15" hidden="1" customWidth="1"/>
    <col min="20" max="20" width="5.5703125" bestFit="1" customWidth="1"/>
    <col min="21" max="21" width="21.85546875" hidden="1" customWidth="1"/>
    <col min="22" max="22" width="6.5703125" bestFit="1" customWidth="1"/>
    <col min="23" max="23" width="5.5703125" bestFit="1" customWidth="1"/>
    <col min="24" max="24" width="16.85546875" hidden="1" customWidth="1"/>
    <col min="25" max="25" width="5.5703125" bestFit="1" customWidth="1"/>
    <col min="26" max="26" width="15" hidden="1" customWidth="1"/>
    <col min="27" max="27" width="5.5703125" bestFit="1" customWidth="1"/>
    <col min="28" max="28" width="15.5703125" hidden="1" customWidth="1"/>
    <col min="29" max="29" width="5.5703125" bestFit="1" customWidth="1"/>
    <col min="30" max="30" width="18.28515625" hidden="1" customWidth="1"/>
    <col min="31" max="31" width="6.5703125" bestFit="1" customWidth="1"/>
    <col min="32" max="32" width="9.28515625" bestFit="1" customWidth="1"/>
    <col min="33" max="33" width="5.5703125" bestFit="1" customWidth="1"/>
    <col min="34" max="34" width="15" hidden="1" customWidth="1"/>
    <col min="35" max="35" width="5.5703125" bestFit="1" customWidth="1"/>
    <col min="36" max="36" width="15" hidden="1" customWidth="1"/>
    <col min="37" max="37" width="5.5703125" bestFit="1" customWidth="1"/>
    <col min="38" max="38" width="15" hidden="1" customWidth="1"/>
    <col min="39" max="39" width="5.5703125" bestFit="1" customWidth="1"/>
    <col min="40" max="40" width="15.5703125" hidden="1" customWidth="1"/>
    <col min="41" max="41" width="6.5703125" bestFit="1" customWidth="1"/>
    <col min="42" max="42" width="5.5703125" bestFit="1" customWidth="1"/>
    <col min="43" max="43" width="15" hidden="1" customWidth="1"/>
    <col min="44" max="44" width="5.5703125" bestFit="1" customWidth="1"/>
  </cols>
  <sheetData>
    <row r="1" spans="1:98">
      <c r="A1" s="1">
        <v>19</v>
      </c>
      <c r="D1" s="2" t="s">
        <v>0</v>
      </c>
      <c r="E1" s="2"/>
      <c r="F1" s="2" t="s">
        <v>1</v>
      </c>
      <c r="G1" s="2"/>
      <c r="H1" s="2" t="s">
        <v>2</v>
      </c>
      <c r="I1" s="2"/>
      <c r="J1" t="s">
        <v>3</v>
      </c>
      <c r="L1" t="s">
        <v>4</v>
      </c>
      <c r="O1" t="s">
        <v>5</v>
      </c>
      <c r="Q1" t="s">
        <v>6</v>
      </c>
      <c r="S1" t="s">
        <v>7</v>
      </c>
      <c r="U1" t="s">
        <v>8</v>
      </c>
      <c r="X1" t="s">
        <v>9</v>
      </c>
      <c r="Z1" t="s">
        <v>10</v>
      </c>
      <c r="AB1" t="s">
        <v>11</v>
      </c>
      <c r="AD1" t="s">
        <v>12</v>
      </c>
      <c r="AH1" t="s">
        <v>13</v>
      </c>
      <c r="AJ1" t="s">
        <v>14</v>
      </c>
      <c r="AL1" t="s">
        <v>15</v>
      </c>
      <c r="AN1" t="s">
        <v>16</v>
      </c>
      <c r="AQ1" t="s">
        <v>17</v>
      </c>
    </row>
    <row r="2" spans="1:98">
      <c r="A2" t="s">
        <v>18</v>
      </c>
      <c r="B2" t="s">
        <v>19</v>
      </c>
      <c r="C2" t="s">
        <v>20</v>
      </c>
      <c r="D2" s="3" t="s">
        <v>21</v>
      </c>
      <c r="E2" s="1">
        <v>1.5833333333333333</v>
      </c>
      <c r="F2" t="s">
        <v>22</v>
      </c>
      <c r="G2" s="1">
        <v>1.5833333333333333</v>
      </c>
      <c r="H2" t="s">
        <v>23</v>
      </c>
      <c r="I2" s="1">
        <v>1.2916666666666667</v>
      </c>
      <c r="J2" t="s">
        <v>24</v>
      </c>
      <c r="K2" s="1">
        <v>1.75</v>
      </c>
      <c r="L2" t="s">
        <v>25</v>
      </c>
      <c r="M2" s="4">
        <f>SUM(E2:K2)</f>
        <v>6.208333333333333</v>
      </c>
      <c r="N2" s="1">
        <v>1.5833333333333333</v>
      </c>
      <c r="O2" t="s">
        <v>26</v>
      </c>
      <c r="P2" s="1">
        <v>1.75</v>
      </c>
      <c r="Q2" t="s">
        <v>27</v>
      </c>
      <c r="R2" s="1">
        <v>1.7083333333333333</v>
      </c>
      <c r="S2" t="s">
        <v>28</v>
      </c>
      <c r="T2" s="1">
        <v>1.4583333333333333</v>
      </c>
      <c r="U2" t="s">
        <v>29</v>
      </c>
      <c r="V2" s="4">
        <f>SUM(N2:T2)</f>
        <v>6.4999999999999991</v>
      </c>
      <c r="W2" s="1">
        <v>1.4583333333333333</v>
      </c>
      <c r="X2" t="s">
        <v>30</v>
      </c>
      <c r="Y2" s="1">
        <v>1.5833333333333333</v>
      </c>
      <c r="Z2" t="s">
        <v>31</v>
      </c>
      <c r="AA2" s="1">
        <v>1.75</v>
      </c>
      <c r="AB2" t="s">
        <v>21</v>
      </c>
      <c r="AC2" s="1">
        <v>1.5833333333333333</v>
      </c>
      <c r="AD2" t="s">
        <v>32</v>
      </c>
      <c r="AE2" s="4">
        <f>SUM(W2:AC2)</f>
        <v>6.3749999999999991</v>
      </c>
      <c r="AF2" s="5">
        <f>IF(SUM(M2,V2,AE2)-$A$1,SUM(M2,V2,AE2)-$A$1,$A$1-SUM(M2,V2,AE2))</f>
        <v>8.3333333333332149E-2</v>
      </c>
      <c r="AG2" s="1">
        <v>1.5833333333333333</v>
      </c>
      <c r="AH2" t="s">
        <v>33</v>
      </c>
      <c r="AI2" s="1">
        <v>1.2916666666666667</v>
      </c>
      <c r="AJ2" t="s">
        <v>34</v>
      </c>
      <c r="AK2" s="1">
        <v>1.75</v>
      </c>
      <c r="AL2" t="s">
        <v>25</v>
      </c>
      <c r="AM2" s="1">
        <v>1.5833333333333333</v>
      </c>
      <c r="AN2" t="s">
        <v>35</v>
      </c>
      <c r="AO2" s="4">
        <f>SUM(AG2:AM2)</f>
        <v>6.208333333333333</v>
      </c>
      <c r="AP2" s="1">
        <v>1.75</v>
      </c>
      <c r="AQ2" t="s">
        <v>27</v>
      </c>
      <c r="AR2" s="1">
        <v>1.7083333333333333</v>
      </c>
      <c r="AT2" s="1"/>
      <c r="AW2" s="3"/>
      <c r="BE2" s="3"/>
      <c r="BM2" s="3"/>
      <c r="BU2" s="3"/>
      <c r="CC2" s="3"/>
      <c r="CK2" s="3"/>
      <c r="CS2" s="3"/>
    </row>
    <row r="3" spans="1:98">
      <c r="A3" t="s">
        <v>36</v>
      </c>
      <c r="B3" t="s">
        <v>37</v>
      </c>
      <c r="C3" t="s">
        <v>38</v>
      </c>
      <c r="D3" s="3" t="s">
        <v>39</v>
      </c>
      <c r="E3" s="1">
        <v>1.4583333333333333</v>
      </c>
      <c r="F3" t="s">
        <v>40</v>
      </c>
      <c r="G3" s="1">
        <v>1.5555555555555556</v>
      </c>
      <c r="H3" t="s">
        <v>41</v>
      </c>
      <c r="I3" s="1">
        <v>1.75</v>
      </c>
      <c r="J3" t="s">
        <v>42</v>
      </c>
      <c r="K3" s="1">
        <v>1.5833333333333333</v>
      </c>
      <c r="L3" t="s">
        <v>43</v>
      </c>
      <c r="M3" s="4">
        <f t="shared" ref="M3:M33" si="0">SUM(E3:K3)</f>
        <v>6.3472222222222223</v>
      </c>
      <c r="N3" s="1">
        <v>1.75</v>
      </c>
      <c r="O3" t="s">
        <v>44</v>
      </c>
      <c r="P3" s="1">
        <v>1.7083333333333333</v>
      </c>
      <c r="Q3" t="s">
        <v>45</v>
      </c>
      <c r="R3" s="1">
        <v>1.4583333333333333</v>
      </c>
      <c r="S3" t="s">
        <v>46</v>
      </c>
      <c r="T3" s="1">
        <v>1.75</v>
      </c>
      <c r="U3" t="s">
        <v>47</v>
      </c>
      <c r="V3" s="4">
        <f t="shared" ref="V3:V33" si="1">SUM(N3:T3)</f>
        <v>6.6666666666666661</v>
      </c>
      <c r="W3" s="1">
        <v>1.2916666666666667</v>
      </c>
      <c r="X3" t="s">
        <v>48</v>
      </c>
      <c r="Y3" s="1">
        <v>1.75</v>
      </c>
      <c r="Z3" t="s">
        <v>49</v>
      </c>
      <c r="AA3" s="1">
        <v>1.5833333333333333</v>
      </c>
      <c r="AB3" t="s">
        <v>50</v>
      </c>
      <c r="AC3" s="1">
        <v>1.5833333333333333</v>
      </c>
      <c r="AD3" t="s">
        <v>23</v>
      </c>
      <c r="AE3" s="4">
        <f t="shared" ref="AE3:AE33" si="2">SUM(W3:AC3)</f>
        <v>6.208333333333333</v>
      </c>
      <c r="AF3" s="5">
        <f t="shared" ref="AF3:AF33" si="3">IF(SUM(M3,V3,AE3)-$A$1,SUM(M3,V3,AE3)-$A$1,$A$1-SUM(M3,V3,AE3))</f>
        <v>0.22222222222222143</v>
      </c>
      <c r="AG3" s="1">
        <v>1.2916666666666667</v>
      </c>
      <c r="AH3" t="s">
        <v>34</v>
      </c>
      <c r="AI3" s="1">
        <v>1.75</v>
      </c>
      <c r="AJ3" t="s">
        <v>25</v>
      </c>
      <c r="AK3" s="1">
        <v>1.5833333333333333</v>
      </c>
      <c r="AL3" t="s">
        <v>51</v>
      </c>
      <c r="AM3" s="1">
        <v>1.75</v>
      </c>
      <c r="AN3" t="s">
        <v>27</v>
      </c>
      <c r="AO3" s="4">
        <f t="shared" ref="AO3:AO33" si="4">SUM(AG3:AM3)</f>
        <v>6.375</v>
      </c>
      <c r="AP3" s="1">
        <v>1.7083333333333333</v>
      </c>
      <c r="AQ3" t="s">
        <v>28</v>
      </c>
      <c r="AR3" s="1">
        <v>1.4583333333333333</v>
      </c>
      <c r="AW3" s="3"/>
      <c r="BE3" s="3"/>
      <c r="BM3" s="3"/>
      <c r="BU3" s="3"/>
      <c r="CC3" s="3"/>
      <c r="CK3" s="3"/>
      <c r="CS3" s="3"/>
    </row>
    <row r="4" spans="1:98">
      <c r="A4" t="s">
        <v>52</v>
      </c>
      <c r="B4" t="s">
        <v>53</v>
      </c>
      <c r="C4" t="s">
        <v>54</v>
      </c>
      <c r="D4" s="3" t="s">
        <v>55</v>
      </c>
      <c r="E4" s="1">
        <v>1.8194444444444444</v>
      </c>
      <c r="F4" t="s">
        <v>56</v>
      </c>
      <c r="G4" s="1">
        <v>1.4583333333333333</v>
      </c>
      <c r="H4" t="s">
        <v>57</v>
      </c>
      <c r="I4" s="1">
        <v>1.4583333333333333</v>
      </c>
      <c r="J4" t="s">
        <v>58</v>
      </c>
      <c r="K4" s="1">
        <v>1.75</v>
      </c>
      <c r="L4" t="s">
        <v>59</v>
      </c>
      <c r="M4" s="4">
        <f t="shared" si="0"/>
        <v>6.4861111111111107</v>
      </c>
      <c r="N4" s="1">
        <v>1.75</v>
      </c>
      <c r="O4" t="s">
        <v>49</v>
      </c>
      <c r="P4" s="1">
        <v>1.5833333333333333</v>
      </c>
      <c r="Q4" t="s">
        <v>60</v>
      </c>
      <c r="R4" s="1">
        <v>1.5833333333333333</v>
      </c>
      <c r="S4" t="s">
        <v>33</v>
      </c>
      <c r="T4" s="1">
        <v>1.2916666666666667</v>
      </c>
      <c r="U4" t="s">
        <v>34</v>
      </c>
      <c r="V4" s="4">
        <f t="shared" si="1"/>
        <v>6.208333333333333</v>
      </c>
      <c r="W4" s="1">
        <v>1.75</v>
      </c>
      <c r="X4" t="s">
        <v>61</v>
      </c>
      <c r="Y4" s="1">
        <v>1.2916666666666667</v>
      </c>
      <c r="Z4" t="s">
        <v>62</v>
      </c>
      <c r="AA4" s="1">
        <v>1.75</v>
      </c>
      <c r="AB4" t="s">
        <v>27</v>
      </c>
      <c r="AC4" s="1">
        <v>1.7083333333333333</v>
      </c>
      <c r="AD4" t="s">
        <v>63</v>
      </c>
      <c r="AE4" s="4">
        <f t="shared" si="2"/>
        <v>6.5</v>
      </c>
      <c r="AF4" s="5">
        <f t="shared" si="3"/>
        <v>0.19444444444444287</v>
      </c>
      <c r="AG4" s="1">
        <v>1.4583333333333333</v>
      </c>
      <c r="AH4" t="s">
        <v>29</v>
      </c>
      <c r="AI4" s="1">
        <v>1.4583333333333333</v>
      </c>
      <c r="AJ4" t="s">
        <v>64</v>
      </c>
      <c r="AK4" s="1">
        <v>1.5833333333333333</v>
      </c>
      <c r="AL4" t="s">
        <v>65</v>
      </c>
      <c r="AM4" s="1">
        <v>1.75</v>
      </c>
      <c r="AN4" t="s">
        <v>49</v>
      </c>
      <c r="AO4" s="4">
        <f t="shared" si="4"/>
        <v>6.25</v>
      </c>
      <c r="AP4" s="1">
        <v>1.5833333333333333</v>
      </c>
      <c r="AQ4" t="s">
        <v>66</v>
      </c>
      <c r="AR4" s="1">
        <v>1.5833333333333333</v>
      </c>
      <c r="AW4" s="3"/>
      <c r="BE4" s="3"/>
      <c r="BM4" s="3"/>
      <c r="BU4" s="3"/>
      <c r="CC4" s="3"/>
      <c r="CK4" s="3"/>
      <c r="CS4" s="3"/>
    </row>
    <row r="5" spans="1:98">
      <c r="A5" t="s">
        <v>67</v>
      </c>
      <c r="B5" t="s">
        <v>68</v>
      </c>
      <c r="C5" t="s">
        <v>69</v>
      </c>
      <c r="D5" s="3" t="s">
        <v>64</v>
      </c>
      <c r="E5" s="1">
        <v>1.5833333333333333</v>
      </c>
      <c r="F5" t="s">
        <v>42</v>
      </c>
      <c r="G5" s="1">
        <v>1.5833333333333333</v>
      </c>
      <c r="H5" t="s">
        <v>49</v>
      </c>
      <c r="I5" s="1">
        <v>1.5833333333333333</v>
      </c>
      <c r="J5" t="s">
        <v>70</v>
      </c>
      <c r="K5" s="1">
        <v>1.75</v>
      </c>
      <c r="L5" t="s">
        <v>49</v>
      </c>
      <c r="M5" s="4">
        <f t="shared" si="0"/>
        <v>6.5</v>
      </c>
      <c r="N5" s="1">
        <v>1.5833333333333333</v>
      </c>
      <c r="O5" t="s">
        <v>66</v>
      </c>
      <c r="P5" s="1">
        <v>1.5833333333333333</v>
      </c>
      <c r="Q5" t="s">
        <v>71</v>
      </c>
      <c r="R5" s="1">
        <v>1.4583333333333333</v>
      </c>
      <c r="S5" t="s">
        <v>72</v>
      </c>
      <c r="T5" s="1">
        <v>1.75</v>
      </c>
      <c r="U5" t="s">
        <v>25</v>
      </c>
      <c r="V5" s="4">
        <f t="shared" si="1"/>
        <v>6.375</v>
      </c>
      <c r="W5" s="1">
        <v>1.5833333333333333</v>
      </c>
      <c r="X5" t="s">
        <v>73</v>
      </c>
      <c r="Y5" s="1">
        <v>1.75</v>
      </c>
      <c r="Z5" t="s">
        <v>27</v>
      </c>
      <c r="AA5" s="1">
        <v>1.7083333333333333</v>
      </c>
      <c r="AB5" t="s">
        <v>74</v>
      </c>
      <c r="AC5" s="1">
        <v>1.4583333333333333</v>
      </c>
      <c r="AD5" t="s">
        <v>75</v>
      </c>
      <c r="AE5" s="4">
        <f t="shared" si="2"/>
        <v>6.4999999999999991</v>
      </c>
      <c r="AF5" s="5">
        <f t="shared" si="3"/>
        <v>0.375</v>
      </c>
      <c r="AG5" s="1">
        <v>1.4583333333333333</v>
      </c>
      <c r="AH5" t="s">
        <v>64</v>
      </c>
      <c r="AI5" s="1">
        <v>1.5833333333333333</v>
      </c>
      <c r="AJ5" t="s">
        <v>65</v>
      </c>
      <c r="AK5" s="1">
        <v>1.75</v>
      </c>
      <c r="AL5" t="s">
        <v>49</v>
      </c>
      <c r="AM5" s="1">
        <v>1.5833333333333333</v>
      </c>
      <c r="AN5" t="s">
        <v>66</v>
      </c>
      <c r="AO5" s="4">
        <f t="shared" si="4"/>
        <v>6.3749999999999991</v>
      </c>
      <c r="AP5" s="1">
        <v>1.5833333333333333</v>
      </c>
      <c r="AQ5" t="s">
        <v>33</v>
      </c>
      <c r="AR5" s="1">
        <v>1.2916666666666667</v>
      </c>
      <c r="AX5" s="3"/>
      <c r="BF5" s="3"/>
      <c r="BN5" s="3"/>
      <c r="BV5" s="3"/>
      <c r="CD5" s="3"/>
      <c r="CL5" s="3"/>
      <c r="CT5" s="3"/>
    </row>
    <row r="6" spans="1:98">
      <c r="A6" t="s">
        <v>76</v>
      </c>
      <c r="B6" t="s">
        <v>77</v>
      </c>
      <c r="C6" t="s">
        <v>78</v>
      </c>
      <c r="D6" s="3" t="s">
        <v>79</v>
      </c>
      <c r="E6" s="1">
        <v>1.4583333333333333</v>
      </c>
      <c r="F6" t="s">
        <v>80</v>
      </c>
      <c r="G6" s="1">
        <v>1.5833333333333333</v>
      </c>
      <c r="H6" t="s">
        <v>42</v>
      </c>
      <c r="I6" s="1">
        <v>1.5833333333333333</v>
      </c>
      <c r="J6" t="s">
        <v>49</v>
      </c>
      <c r="K6" s="1">
        <v>1.5833333333333333</v>
      </c>
      <c r="L6" t="s">
        <v>81</v>
      </c>
      <c r="M6" s="4">
        <f t="shared" si="0"/>
        <v>6.208333333333333</v>
      </c>
      <c r="N6" s="1">
        <v>1.5833333333333333</v>
      </c>
      <c r="O6" t="s">
        <v>57</v>
      </c>
      <c r="P6" s="1">
        <v>1.4583333333333333</v>
      </c>
      <c r="Q6" t="s">
        <v>82</v>
      </c>
      <c r="R6" s="1">
        <v>1.75</v>
      </c>
      <c r="S6" t="s">
        <v>83</v>
      </c>
      <c r="T6" s="1">
        <v>1.5833333333333333</v>
      </c>
      <c r="U6" t="s">
        <v>51</v>
      </c>
      <c r="V6" s="4">
        <f t="shared" si="1"/>
        <v>6.3749999999999991</v>
      </c>
      <c r="W6" s="1">
        <v>1.75</v>
      </c>
      <c r="X6" t="s">
        <v>27</v>
      </c>
      <c r="Y6" s="1">
        <v>1.7083333333333333</v>
      </c>
      <c r="Z6" t="s">
        <v>84</v>
      </c>
      <c r="AA6" s="1">
        <v>1.4583333333333333</v>
      </c>
      <c r="AB6" t="s">
        <v>85</v>
      </c>
      <c r="AC6" s="1">
        <v>1.4583333333333333</v>
      </c>
      <c r="AD6" t="s">
        <v>80</v>
      </c>
      <c r="AE6" s="4">
        <f t="shared" si="2"/>
        <v>6.3749999999999991</v>
      </c>
      <c r="AF6" s="5">
        <f t="shared" si="3"/>
        <v>-4.1666666666667851E-2</v>
      </c>
      <c r="AG6" s="1">
        <v>1.5833333333333333</v>
      </c>
      <c r="AH6" t="s">
        <v>65</v>
      </c>
      <c r="AI6" s="1">
        <v>1.75</v>
      </c>
      <c r="AJ6" t="s">
        <v>49</v>
      </c>
      <c r="AK6" s="1">
        <v>1.5833333333333333</v>
      </c>
      <c r="AL6" t="s">
        <v>66</v>
      </c>
      <c r="AM6" s="1">
        <v>1.5833333333333333</v>
      </c>
      <c r="AN6" t="s">
        <v>33</v>
      </c>
      <c r="AO6" s="4">
        <f t="shared" si="4"/>
        <v>6.4999999999999991</v>
      </c>
      <c r="AP6" s="1">
        <v>1.2916666666666667</v>
      </c>
      <c r="AQ6" t="s">
        <v>34</v>
      </c>
      <c r="AR6" s="1">
        <v>1.75</v>
      </c>
      <c r="AW6" s="3"/>
      <c r="BE6" s="3"/>
      <c r="BM6" s="3"/>
      <c r="BU6" s="3"/>
      <c r="CC6" s="3"/>
      <c r="CK6" s="3"/>
      <c r="CS6" s="3"/>
    </row>
    <row r="7" spans="1:98">
      <c r="A7" t="s">
        <v>86</v>
      </c>
      <c r="B7" t="s">
        <v>87</v>
      </c>
      <c r="C7" t="s">
        <v>88</v>
      </c>
      <c r="D7" s="3" t="s">
        <v>89</v>
      </c>
      <c r="E7" s="1">
        <v>1.4583333333333333</v>
      </c>
      <c r="F7" t="s">
        <v>90</v>
      </c>
      <c r="G7" s="1">
        <v>1.75</v>
      </c>
      <c r="H7" t="s">
        <v>91</v>
      </c>
      <c r="I7" s="1">
        <v>1.5833333333333333</v>
      </c>
      <c r="J7" t="s">
        <v>92</v>
      </c>
      <c r="K7" s="1">
        <v>1.5833333333333333</v>
      </c>
      <c r="L7" t="s">
        <v>93</v>
      </c>
      <c r="M7" s="4">
        <f t="shared" si="0"/>
        <v>6.3749999999999991</v>
      </c>
      <c r="N7" s="1">
        <v>1.5833333333333333</v>
      </c>
      <c r="O7" t="s">
        <v>94</v>
      </c>
      <c r="P7" s="1">
        <v>1.6388888888888891</v>
      </c>
      <c r="Q7" t="s">
        <v>95</v>
      </c>
      <c r="R7" s="1">
        <v>1.4583333333333333</v>
      </c>
      <c r="S7" t="s">
        <v>96</v>
      </c>
      <c r="T7" s="1">
        <v>1.75</v>
      </c>
      <c r="U7" t="s">
        <v>97</v>
      </c>
      <c r="V7" s="4">
        <f t="shared" si="1"/>
        <v>6.4305555555555554</v>
      </c>
      <c r="W7" s="1">
        <v>1.5833333333333333</v>
      </c>
      <c r="X7" t="s">
        <v>98</v>
      </c>
      <c r="Y7" s="1">
        <v>1.75</v>
      </c>
      <c r="Z7" t="s">
        <v>70</v>
      </c>
      <c r="AA7" s="1">
        <v>1.75</v>
      </c>
      <c r="AB7" t="s">
        <v>99</v>
      </c>
      <c r="AC7" s="1">
        <v>1.75</v>
      </c>
      <c r="AD7" t="s">
        <v>100</v>
      </c>
      <c r="AE7" s="4">
        <f t="shared" si="2"/>
        <v>6.833333333333333</v>
      </c>
      <c r="AF7" s="5">
        <f t="shared" si="3"/>
        <v>0.63888888888888573</v>
      </c>
      <c r="AG7" s="1">
        <v>1.4583333333333333</v>
      </c>
      <c r="AH7" t="s">
        <v>101</v>
      </c>
      <c r="AI7" s="1">
        <v>1.75</v>
      </c>
      <c r="AJ7" t="s">
        <v>102</v>
      </c>
      <c r="AK7" s="1">
        <v>1.75</v>
      </c>
      <c r="AL7" t="s">
        <v>103</v>
      </c>
      <c r="AM7" s="1">
        <v>1.75</v>
      </c>
      <c r="AN7" t="s">
        <v>104</v>
      </c>
      <c r="AO7" s="4">
        <f t="shared" si="4"/>
        <v>6.708333333333333</v>
      </c>
      <c r="AP7" s="1">
        <v>1.75</v>
      </c>
      <c r="AQ7" t="s">
        <v>105</v>
      </c>
      <c r="AR7" s="1">
        <v>1.75</v>
      </c>
      <c r="AW7" s="3"/>
      <c r="BE7" s="3"/>
      <c r="BM7" s="3"/>
      <c r="BU7" s="3"/>
      <c r="CC7" s="3"/>
      <c r="CK7" s="3"/>
      <c r="CS7" s="3"/>
    </row>
    <row r="8" spans="1:98">
      <c r="A8" t="s">
        <v>106</v>
      </c>
      <c r="B8" t="s">
        <v>87</v>
      </c>
      <c r="C8" t="s">
        <v>107</v>
      </c>
      <c r="D8" s="3" t="s">
        <v>108</v>
      </c>
      <c r="E8" s="1">
        <v>1.2916666666666667</v>
      </c>
      <c r="F8" t="s">
        <v>109</v>
      </c>
      <c r="G8" s="1">
        <v>1.4583333333333333</v>
      </c>
      <c r="H8" t="s">
        <v>64</v>
      </c>
      <c r="I8" s="1">
        <v>1.5833333333333333</v>
      </c>
      <c r="J8" t="s">
        <v>110</v>
      </c>
      <c r="K8" s="1">
        <v>1.75</v>
      </c>
      <c r="L8" t="s">
        <v>111</v>
      </c>
      <c r="M8" s="4">
        <f t="shared" si="0"/>
        <v>6.083333333333333</v>
      </c>
      <c r="N8" s="1">
        <v>1.5833333333333333</v>
      </c>
      <c r="O8" t="s">
        <v>27</v>
      </c>
      <c r="P8" s="1">
        <v>1.7083333333333333</v>
      </c>
      <c r="Q8" t="s">
        <v>28</v>
      </c>
      <c r="R8" s="1">
        <v>1.4583333333333333</v>
      </c>
      <c r="S8" t="s">
        <v>46</v>
      </c>
      <c r="T8" s="1">
        <v>1.75</v>
      </c>
      <c r="U8" t="s">
        <v>47</v>
      </c>
      <c r="V8" s="4">
        <f t="shared" si="1"/>
        <v>6.5</v>
      </c>
      <c r="W8" s="1">
        <v>1.2916666666666667</v>
      </c>
      <c r="X8" t="s">
        <v>112</v>
      </c>
      <c r="Y8" s="1">
        <v>1.75</v>
      </c>
      <c r="Z8" t="s">
        <v>113</v>
      </c>
      <c r="AA8" s="1">
        <v>1.75</v>
      </c>
      <c r="AB8" t="s">
        <v>114</v>
      </c>
      <c r="AC8" s="1">
        <v>1.75</v>
      </c>
      <c r="AD8" t="s">
        <v>115</v>
      </c>
      <c r="AE8" s="4">
        <f t="shared" si="2"/>
        <v>6.541666666666667</v>
      </c>
      <c r="AF8" s="5">
        <f t="shared" si="3"/>
        <v>0.125</v>
      </c>
      <c r="AG8" s="1">
        <v>1.75</v>
      </c>
      <c r="AH8" t="s">
        <v>116</v>
      </c>
      <c r="AI8" s="1">
        <v>1.4583333333333333</v>
      </c>
      <c r="AJ8" t="s">
        <v>101</v>
      </c>
      <c r="AK8" s="1">
        <v>1.75</v>
      </c>
      <c r="AL8" t="s">
        <v>102</v>
      </c>
      <c r="AM8" s="1">
        <v>1.75</v>
      </c>
      <c r="AN8" t="s">
        <v>103</v>
      </c>
      <c r="AO8" s="4">
        <f t="shared" si="4"/>
        <v>6.708333333333333</v>
      </c>
      <c r="AP8" s="1">
        <v>1.75</v>
      </c>
      <c r="AQ8" t="s">
        <v>104</v>
      </c>
      <c r="AR8" s="1">
        <v>1.75</v>
      </c>
      <c r="AW8" s="3"/>
      <c r="BE8" s="3"/>
      <c r="BM8" s="3"/>
      <c r="BU8" s="3"/>
      <c r="CC8" s="3"/>
      <c r="CK8" s="3"/>
      <c r="CS8" s="3"/>
    </row>
    <row r="9" spans="1:98">
      <c r="A9" t="s">
        <v>117</v>
      </c>
      <c r="B9" t="s">
        <v>118</v>
      </c>
      <c r="C9" t="s">
        <v>119</v>
      </c>
      <c r="D9" s="3" t="s">
        <v>23</v>
      </c>
      <c r="E9" s="1">
        <v>1.2916666666666667</v>
      </c>
      <c r="F9" t="s">
        <v>120</v>
      </c>
      <c r="G9" s="1">
        <v>1.75</v>
      </c>
      <c r="H9" t="s">
        <v>112</v>
      </c>
      <c r="I9" s="1">
        <v>1.75</v>
      </c>
      <c r="J9" t="s">
        <v>113</v>
      </c>
      <c r="K9" s="1">
        <v>1.75</v>
      </c>
      <c r="L9" t="s">
        <v>121</v>
      </c>
      <c r="M9" s="4">
        <f t="shared" si="0"/>
        <v>6.541666666666667</v>
      </c>
      <c r="N9" s="1">
        <v>1.7083333333333333</v>
      </c>
      <c r="O9" t="s">
        <v>63</v>
      </c>
      <c r="P9" s="1">
        <v>1.4583333333333333</v>
      </c>
      <c r="Q9" t="s">
        <v>122</v>
      </c>
      <c r="R9" s="1">
        <v>1.2916666666666667</v>
      </c>
      <c r="S9" t="s">
        <v>64</v>
      </c>
      <c r="T9" s="1">
        <v>1.5833333333333333</v>
      </c>
      <c r="U9" t="s">
        <v>65</v>
      </c>
      <c r="V9" s="4">
        <f t="shared" si="1"/>
        <v>6.0416666666666661</v>
      </c>
      <c r="W9" s="1">
        <v>1.75</v>
      </c>
      <c r="X9" t="s">
        <v>123</v>
      </c>
      <c r="Y9" s="1">
        <v>1.5833333333333333</v>
      </c>
      <c r="Z9" t="s">
        <v>50</v>
      </c>
      <c r="AA9" s="1">
        <v>1.5833333333333333</v>
      </c>
      <c r="AB9" t="s">
        <v>23</v>
      </c>
      <c r="AC9" s="1">
        <v>1.2916666666666667</v>
      </c>
      <c r="AD9" t="s">
        <v>124</v>
      </c>
      <c r="AE9" s="4">
        <f t="shared" si="2"/>
        <v>6.208333333333333</v>
      </c>
      <c r="AF9" s="5">
        <f t="shared" si="3"/>
        <v>-0.2083333333333357</v>
      </c>
      <c r="AG9" s="1">
        <v>1.75</v>
      </c>
      <c r="AH9" t="s">
        <v>25</v>
      </c>
      <c r="AI9" s="1">
        <v>1.5833333333333333</v>
      </c>
      <c r="AJ9" t="s">
        <v>51</v>
      </c>
      <c r="AK9" s="1">
        <v>1.75</v>
      </c>
      <c r="AL9" t="s">
        <v>27</v>
      </c>
      <c r="AM9" s="1">
        <v>1.7083333333333333</v>
      </c>
      <c r="AN9" t="s">
        <v>28</v>
      </c>
      <c r="AO9" s="4">
        <f t="shared" si="4"/>
        <v>6.7916666666666661</v>
      </c>
      <c r="AP9" s="1">
        <v>1.4583333333333333</v>
      </c>
      <c r="AQ9" t="s">
        <v>29</v>
      </c>
      <c r="AR9" s="1">
        <v>1.4583333333333333</v>
      </c>
      <c r="AW9" s="3"/>
      <c r="BE9" s="3"/>
      <c r="BM9" s="3"/>
      <c r="BU9" s="3"/>
      <c r="CC9" s="3"/>
      <c r="CK9" s="3"/>
      <c r="CS9" s="3"/>
    </row>
    <row r="10" spans="1:98">
      <c r="A10" t="s">
        <v>125</v>
      </c>
      <c r="B10" t="s">
        <v>126</v>
      </c>
      <c r="C10" t="s">
        <v>127</v>
      </c>
      <c r="D10" s="3" t="s">
        <v>42</v>
      </c>
      <c r="E10" s="1">
        <v>1.5833333333333333</v>
      </c>
      <c r="F10" t="s">
        <v>128</v>
      </c>
      <c r="G10" s="1">
        <v>1.75</v>
      </c>
      <c r="H10" t="s">
        <v>129</v>
      </c>
      <c r="I10" s="1">
        <v>1.5833333333333333</v>
      </c>
      <c r="J10" t="s">
        <v>99</v>
      </c>
      <c r="K10" s="1">
        <v>1.75</v>
      </c>
      <c r="L10" t="s">
        <v>57</v>
      </c>
      <c r="M10" s="4">
        <f t="shared" si="0"/>
        <v>6.6666666666666661</v>
      </c>
      <c r="N10" s="1">
        <v>1.4583333333333333</v>
      </c>
      <c r="O10" t="s">
        <v>64</v>
      </c>
      <c r="P10" s="1">
        <v>1.5833333333333333</v>
      </c>
      <c r="Q10" t="s">
        <v>65</v>
      </c>
      <c r="R10" s="1">
        <v>1.75</v>
      </c>
      <c r="S10" t="s">
        <v>49</v>
      </c>
      <c r="T10" s="1">
        <v>1.5833333333333333</v>
      </c>
      <c r="U10" t="s">
        <v>130</v>
      </c>
      <c r="V10" s="4">
        <f t="shared" si="1"/>
        <v>6.3749999999999991</v>
      </c>
      <c r="W10" s="1">
        <v>1.4166666666666667</v>
      </c>
      <c r="X10" t="s">
        <v>33</v>
      </c>
      <c r="Y10" s="1">
        <v>1.2916666666666667</v>
      </c>
      <c r="Z10" t="s">
        <v>131</v>
      </c>
      <c r="AA10" s="1">
        <v>1.75</v>
      </c>
      <c r="AB10" t="s">
        <v>42</v>
      </c>
      <c r="AC10" s="1">
        <v>1.5833333333333333</v>
      </c>
      <c r="AD10" t="s">
        <v>132</v>
      </c>
      <c r="AE10" s="4">
        <f t="shared" si="2"/>
        <v>6.041666666666667</v>
      </c>
      <c r="AF10" s="5">
        <f t="shared" si="3"/>
        <v>8.3333333333332149E-2</v>
      </c>
      <c r="AG10" s="1">
        <v>1.75</v>
      </c>
      <c r="AH10" t="s">
        <v>27</v>
      </c>
      <c r="AI10" s="1">
        <v>1.7083333333333333</v>
      </c>
      <c r="AJ10" t="s">
        <v>28</v>
      </c>
      <c r="AK10" s="1">
        <v>1.4583333333333333</v>
      </c>
      <c r="AL10" t="s">
        <v>29</v>
      </c>
      <c r="AM10" s="1">
        <v>1.4583333333333333</v>
      </c>
      <c r="AN10" t="s">
        <v>64</v>
      </c>
      <c r="AO10" s="4">
        <f t="shared" si="4"/>
        <v>6.3749999999999991</v>
      </c>
      <c r="AP10" s="1">
        <v>1.5833333333333333</v>
      </c>
      <c r="AQ10" t="s">
        <v>65</v>
      </c>
      <c r="AR10" s="1">
        <v>1.75</v>
      </c>
      <c r="AX10" s="3"/>
      <c r="BF10" s="3"/>
      <c r="BN10" s="3"/>
      <c r="BV10" s="3"/>
      <c r="CD10" s="3"/>
      <c r="CL10" s="3"/>
      <c r="CT10" s="3"/>
    </row>
    <row r="11" spans="1:98">
      <c r="A11" t="s">
        <v>133</v>
      </c>
      <c r="B11" t="s">
        <v>134</v>
      </c>
      <c r="C11" t="s">
        <v>135</v>
      </c>
      <c r="D11" s="3" t="s">
        <v>82</v>
      </c>
      <c r="E11" s="1">
        <v>1.75</v>
      </c>
      <c r="F11" t="s">
        <v>112</v>
      </c>
      <c r="G11" s="1">
        <v>1.75</v>
      </c>
      <c r="H11" t="s">
        <v>132</v>
      </c>
      <c r="I11" s="1">
        <v>1.75</v>
      </c>
      <c r="J11" t="s">
        <v>27</v>
      </c>
      <c r="K11" s="1">
        <v>1.7083333333333333</v>
      </c>
      <c r="L11" t="s">
        <v>28</v>
      </c>
      <c r="M11" s="4">
        <f t="shared" si="0"/>
        <v>6.958333333333333</v>
      </c>
      <c r="N11" s="1">
        <v>1.4583333333333333</v>
      </c>
      <c r="O11" t="s">
        <v>122</v>
      </c>
      <c r="P11" s="1">
        <v>1.2916666666666667</v>
      </c>
      <c r="Q11" t="s">
        <v>64</v>
      </c>
      <c r="R11" s="1">
        <v>1.5833333333333333</v>
      </c>
      <c r="S11" t="s">
        <v>136</v>
      </c>
      <c r="T11" s="1">
        <v>1.75</v>
      </c>
      <c r="U11" t="s">
        <v>49</v>
      </c>
      <c r="V11" s="4">
        <f t="shared" si="1"/>
        <v>6.083333333333333</v>
      </c>
      <c r="W11" s="1">
        <v>1.5833333333333333</v>
      </c>
      <c r="X11" t="s">
        <v>137</v>
      </c>
      <c r="Y11" s="1">
        <v>1.5833333333333333</v>
      </c>
      <c r="Z11" t="s">
        <v>33</v>
      </c>
      <c r="AA11" s="1">
        <v>1.2916666666666667</v>
      </c>
      <c r="AB11" t="s">
        <v>138</v>
      </c>
      <c r="AC11" s="1">
        <v>1.75</v>
      </c>
      <c r="AD11" t="s">
        <v>42</v>
      </c>
      <c r="AE11" s="4">
        <f t="shared" si="2"/>
        <v>6.208333333333333</v>
      </c>
      <c r="AF11" s="5">
        <f t="shared" si="3"/>
        <v>0.25</v>
      </c>
      <c r="AG11" s="1">
        <v>1.5833333333333333</v>
      </c>
      <c r="AH11" t="s">
        <v>51</v>
      </c>
      <c r="AI11" s="1">
        <v>1.75</v>
      </c>
      <c r="AJ11" t="s">
        <v>27</v>
      </c>
      <c r="AK11" s="1">
        <v>1.7083333333333333</v>
      </c>
      <c r="AL11" t="s">
        <v>28</v>
      </c>
      <c r="AM11" s="1">
        <v>1.4583333333333333</v>
      </c>
      <c r="AN11" t="s">
        <v>29</v>
      </c>
      <c r="AO11" s="4">
        <f t="shared" si="4"/>
        <v>6.4999999999999991</v>
      </c>
      <c r="AP11" s="1">
        <v>1.4583333333333333</v>
      </c>
      <c r="AQ11" t="s">
        <v>64</v>
      </c>
      <c r="AR11" s="1">
        <v>1.5833333333333333</v>
      </c>
      <c r="AX11" s="3"/>
      <c r="BF11" s="3"/>
      <c r="BN11" s="3"/>
      <c r="BV11" s="3"/>
      <c r="CD11" s="3"/>
      <c r="CL11" s="3"/>
      <c r="CT11" s="3"/>
    </row>
    <row r="12" spans="1:98">
      <c r="A12" t="s">
        <v>139</v>
      </c>
      <c r="B12" t="s">
        <v>140</v>
      </c>
      <c r="C12" t="s">
        <v>119</v>
      </c>
      <c r="D12" s="3" t="s">
        <v>82</v>
      </c>
      <c r="E12" s="1">
        <v>1.75</v>
      </c>
      <c r="F12" t="s">
        <v>141</v>
      </c>
      <c r="G12" s="1">
        <v>1.6944444444444444</v>
      </c>
      <c r="H12" t="s">
        <v>142</v>
      </c>
      <c r="I12" s="1">
        <v>1.5833333333333333</v>
      </c>
      <c r="J12" t="s">
        <v>143</v>
      </c>
      <c r="K12" s="1">
        <v>1.5833333333333333</v>
      </c>
      <c r="L12" t="s">
        <v>33</v>
      </c>
      <c r="M12" s="4">
        <f t="shared" si="0"/>
        <v>6.6111111111111107</v>
      </c>
      <c r="N12" s="1">
        <v>1.2916666666666667</v>
      </c>
      <c r="O12" t="s">
        <v>144</v>
      </c>
      <c r="P12" s="1">
        <v>1.75</v>
      </c>
      <c r="Q12" t="s">
        <v>25</v>
      </c>
      <c r="R12" s="1">
        <v>1.5833333333333333</v>
      </c>
      <c r="S12" t="s">
        <v>145</v>
      </c>
      <c r="T12" s="1">
        <v>1.75</v>
      </c>
      <c r="U12" t="s">
        <v>146</v>
      </c>
      <c r="V12" s="4">
        <f t="shared" si="1"/>
        <v>6.375</v>
      </c>
      <c r="W12" s="1">
        <v>1.875</v>
      </c>
      <c r="X12" t="s">
        <v>147</v>
      </c>
      <c r="Y12" s="1">
        <v>1.4583333333333333</v>
      </c>
      <c r="Z12" t="s">
        <v>33</v>
      </c>
      <c r="AA12" s="1">
        <v>1.2916666666666667</v>
      </c>
      <c r="AB12" t="s">
        <v>148</v>
      </c>
      <c r="AC12" s="1">
        <v>1.5833333333333333</v>
      </c>
      <c r="AD12" t="s">
        <v>59</v>
      </c>
      <c r="AE12" s="4">
        <f t="shared" si="2"/>
        <v>6.208333333333333</v>
      </c>
      <c r="AF12" s="5">
        <f t="shared" si="3"/>
        <v>0.19444444444444287</v>
      </c>
      <c r="AG12" s="1">
        <v>1.75</v>
      </c>
      <c r="AH12" t="s">
        <v>103</v>
      </c>
      <c r="AI12" s="1">
        <v>1.75</v>
      </c>
      <c r="AJ12" t="s">
        <v>104</v>
      </c>
      <c r="AK12" s="1">
        <v>1.75</v>
      </c>
      <c r="AL12" t="s">
        <v>105</v>
      </c>
      <c r="AM12" s="1">
        <v>1.75</v>
      </c>
      <c r="AN12" t="s">
        <v>116</v>
      </c>
      <c r="AO12" s="4">
        <f t="shared" si="4"/>
        <v>7</v>
      </c>
      <c r="AP12" s="1">
        <v>1.4583333333333333</v>
      </c>
      <c r="AQ12" t="s">
        <v>101</v>
      </c>
      <c r="AR12" s="1">
        <v>1.75</v>
      </c>
      <c r="AX12" s="3"/>
      <c r="BF12" s="3"/>
      <c r="BN12" s="3"/>
      <c r="BV12" s="3"/>
      <c r="CD12" s="3"/>
      <c r="CL12" s="3"/>
      <c r="CT12" s="3"/>
    </row>
    <row r="13" spans="1:98">
      <c r="A13" t="s">
        <v>149</v>
      </c>
      <c r="B13" t="s">
        <v>150</v>
      </c>
      <c r="C13" t="s">
        <v>151</v>
      </c>
      <c r="D13" s="3" t="s">
        <v>152</v>
      </c>
      <c r="E13" s="1">
        <v>1.5833333333333333</v>
      </c>
      <c r="F13" t="s">
        <v>153</v>
      </c>
      <c r="G13" s="1">
        <v>1.5833333333333333</v>
      </c>
      <c r="H13" t="s">
        <v>154</v>
      </c>
      <c r="I13" s="1">
        <v>1.5833333333333333</v>
      </c>
      <c r="J13" t="s">
        <v>155</v>
      </c>
      <c r="K13" s="1">
        <v>1.4027777777777777</v>
      </c>
      <c r="L13" t="s">
        <v>156</v>
      </c>
      <c r="M13" s="4">
        <f t="shared" si="0"/>
        <v>6.1527777777777777</v>
      </c>
      <c r="N13" s="1">
        <v>1.75</v>
      </c>
      <c r="O13" t="s">
        <v>157</v>
      </c>
      <c r="P13" s="1">
        <v>0</v>
      </c>
      <c r="Q13" t="s">
        <v>157</v>
      </c>
      <c r="R13" s="1">
        <v>0</v>
      </c>
      <c r="S13" t="s">
        <v>157</v>
      </c>
      <c r="T13" s="1">
        <v>0</v>
      </c>
      <c r="U13" t="s">
        <v>157</v>
      </c>
      <c r="V13" s="4">
        <f t="shared" si="1"/>
        <v>1.75</v>
      </c>
      <c r="W13" s="1">
        <v>0</v>
      </c>
      <c r="X13" t="s">
        <v>158</v>
      </c>
      <c r="Y13" s="1">
        <v>1.75</v>
      </c>
      <c r="Z13" t="s">
        <v>159</v>
      </c>
      <c r="AA13" s="1">
        <v>1.4583333333333333</v>
      </c>
      <c r="AB13" t="s">
        <v>160</v>
      </c>
      <c r="AC13" s="1">
        <v>1.75</v>
      </c>
      <c r="AD13" t="s">
        <v>161</v>
      </c>
      <c r="AE13" s="4">
        <f t="shared" si="2"/>
        <v>4.958333333333333</v>
      </c>
      <c r="AF13" s="5"/>
      <c r="AG13" s="1">
        <v>1.75</v>
      </c>
      <c r="AH13" t="s">
        <v>104</v>
      </c>
      <c r="AI13" s="1">
        <v>1.75</v>
      </c>
      <c r="AJ13" t="s">
        <v>105</v>
      </c>
      <c r="AK13" s="1">
        <v>1.75</v>
      </c>
      <c r="AL13" t="s">
        <v>116</v>
      </c>
      <c r="AM13" s="1">
        <v>1.4583333333333333</v>
      </c>
      <c r="AN13" t="s">
        <v>101</v>
      </c>
      <c r="AO13" s="4">
        <f t="shared" si="4"/>
        <v>6.708333333333333</v>
      </c>
      <c r="AP13" s="1">
        <v>1.75</v>
      </c>
      <c r="AQ13" t="s">
        <v>102</v>
      </c>
      <c r="AR13" s="1">
        <v>1.75</v>
      </c>
      <c r="AW13" s="3"/>
      <c r="AX13" s="6"/>
      <c r="AY13" s="6"/>
      <c r="AZ13" s="6"/>
      <c r="BA13" s="6"/>
      <c r="BI13" s="3"/>
      <c r="BQ13" s="3"/>
    </row>
    <row r="14" spans="1:98">
      <c r="A14" t="s">
        <v>162</v>
      </c>
      <c r="B14" t="s">
        <v>150</v>
      </c>
      <c r="C14" t="s">
        <v>163</v>
      </c>
      <c r="D14" s="3" t="s">
        <v>144</v>
      </c>
      <c r="E14" s="1">
        <v>1.75</v>
      </c>
      <c r="F14" t="s">
        <v>42</v>
      </c>
      <c r="G14" s="1">
        <v>1.5833333333333333</v>
      </c>
      <c r="H14" t="s">
        <v>128</v>
      </c>
      <c r="I14" s="1">
        <v>1.75</v>
      </c>
      <c r="J14" t="s">
        <v>27</v>
      </c>
      <c r="K14" s="1">
        <v>1.7083333333333333</v>
      </c>
      <c r="L14" t="s">
        <v>164</v>
      </c>
      <c r="M14" s="4">
        <f t="shared" si="0"/>
        <v>6.7916666666666661</v>
      </c>
      <c r="N14" s="1">
        <v>1.5833333333333333</v>
      </c>
      <c r="O14" t="s">
        <v>165</v>
      </c>
      <c r="P14" s="1">
        <v>1.1666666666666667</v>
      </c>
      <c r="Q14" t="s">
        <v>166</v>
      </c>
      <c r="R14" s="1">
        <v>1.5833333333333333</v>
      </c>
      <c r="S14" t="s">
        <v>65</v>
      </c>
      <c r="T14" s="1">
        <v>1.75</v>
      </c>
      <c r="U14" t="s">
        <v>49</v>
      </c>
      <c r="V14" s="4">
        <f t="shared" si="1"/>
        <v>6.083333333333333</v>
      </c>
      <c r="W14" s="1">
        <v>1.5833333333333333</v>
      </c>
      <c r="X14" t="s">
        <v>167</v>
      </c>
      <c r="Y14" s="1">
        <v>1.75</v>
      </c>
      <c r="Z14" t="s">
        <v>168</v>
      </c>
      <c r="AA14" s="1">
        <v>1.75</v>
      </c>
      <c r="AB14" t="s">
        <v>75</v>
      </c>
      <c r="AC14" s="1">
        <v>1.4583333333333333</v>
      </c>
      <c r="AD14" t="s">
        <v>169</v>
      </c>
      <c r="AE14" s="4">
        <f t="shared" si="2"/>
        <v>6.5416666666666661</v>
      </c>
      <c r="AF14" s="5">
        <f t="shared" si="3"/>
        <v>0.4166666666666643</v>
      </c>
      <c r="AG14" s="1">
        <v>1.75</v>
      </c>
      <c r="AH14" t="s">
        <v>25</v>
      </c>
      <c r="AI14" s="1">
        <v>1.5833333333333333</v>
      </c>
      <c r="AJ14" t="s">
        <v>51</v>
      </c>
      <c r="AK14" s="1">
        <v>1.75</v>
      </c>
      <c r="AL14" t="s">
        <v>27</v>
      </c>
      <c r="AM14" s="1">
        <v>1.7083333333333333</v>
      </c>
      <c r="AN14" t="s">
        <v>28</v>
      </c>
      <c r="AO14" s="4">
        <f t="shared" si="4"/>
        <v>6.7916666666666661</v>
      </c>
      <c r="AP14" s="1">
        <v>1.4583333333333333</v>
      </c>
      <c r="AQ14" t="s">
        <v>29</v>
      </c>
      <c r="AR14" s="1">
        <v>1.4583333333333333</v>
      </c>
      <c r="AW14" s="3"/>
      <c r="BE14" s="3"/>
      <c r="BM14" s="3"/>
      <c r="BU14" s="3"/>
      <c r="CC14" s="3"/>
      <c r="CK14" s="3"/>
      <c r="CS14" s="3"/>
    </row>
    <row r="15" spans="1:98">
      <c r="A15" t="s">
        <v>170</v>
      </c>
      <c r="B15" t="s">
        <v>171</v>
      </c>
      <c r="C15" t="s">
        <v>172</v>
      </c>
      <c r="D15" s="3" t="s">
        <v>49</v>
      </c>
      <c r="E15" s="1">
        <v>1.5833333333333333</v>
      </c>
      <c r="F15" t="s">
        <v>173</v>
      </c>
      <c r="G15" s="1">
        <v>1.5833333333333333</v>
      </c>
      <c r="H15" t="s">
        <v>23</v>
      </c>
      <c r="I15" s="1">
        <v>1.2916666666666667</v>
      </c>
      <c r="J15" t="s">
        <v>144</v>
      </c>
      <c r="K15" s="1">
        <v>1.75</v>
      </c>
      <c r="L15" t="s">
        <v>25</v>
      </c>
      <c r="M15" s="4">
        <f t="shared" si="0"/>
        <v>6.208333333333333</v>
      </c>
      <c r="N15" s="1">
        <v>1.5833333333333333</v>
      </c>
      <c r="O15" t="s">
        <v>51</v>
      </c>
      <c r="P15" s="1">
        <v>1.75</v>
      </c>
      <c r="Q15" t="s">
        <v>129</v>
      </c>
      <c r="R15" s="1">
        <v>1.5833333333333333</v>
      </c>
      <c r="S15" t="s">
        <v>99</v>
      </c>
      <c r="T15" s="1">
        <v>1.75</v>
      </c>
      <c r="U15" t="s">
        <v>57</v>
      </c>
      <c r="V15" s="4">
        <f t="shared" si="1"/>
        <v>6.6666666666666661</v>
      </c>
      <c r="W15" s="1">
        <v>1.4583333333333333</v>
      </c>
      <c r="X15" t="s">
        <v>80</v>
      </c>
      <c r="Y15" s="1">
        <v>1.5833333333333333</v>
      </c>
      <c r="Z15" t="s">
        <v>42</v>
      </c>
      <c r="AA15" s="1">
        <v>1.5833333333333333</v>
      </c>
      <c r="AB15" t="s">
        <v>128</v>
      </c>
      <c r="AC15" s="1">
        <v>1.75</v>
      </c>
      <c r="AD15" t="s">
        <v>174</v>
      </c>
      <c r="AE15" s="4">
        <f t="shared" si="2"/>
        <v>6.375</v>
      </c>
      <c r="AF15" s="5">
        <f t="shared" si="3"/>
        <v>0.25</v>
      </c>
      <c r="AG15" s="1">
        <v>1.7083333333333333</v>
      </c>
      <c r="AH15" t="s">
        <v>28</v>
      </c>
      <c r="AI15" s="1">
        <v>1.4583333333333333</v>
      </c>
      <c r="AJ15" t="s">
        <v>29</v>
      </c>
      <c r="AK15" s="1">
        <v>1.4583333333333333</v>
      </c>
      <c r="AL15" t="s">
        <v>64</v>
      </c>
      <c r="AM15" s="1">
        <v>1.5833333333333333</v>
      </c>
      <c r="AN15" t="s">
        <v>175</v>
      </c>
      <c r="AO15" s="4">
        <f t="shared" si="4"/>
        <v>6.208333333333333</v>
      </c>
      <c r="AP15" s="1">
        <v>1.75</v>
      </c>
      <c r="AQ15" t="s">
        <v>49</v>
      </c>
      <c r="AR15" s="1">
        <v>1.5833333333333333</v>
      </c>
      <c r="AV15" s="3"/>
      <c r="BD15" s="3"/>
      <c r="BL15" s="3"/>
      <c r="BT15" s="3"/>
      <c r="CB15" s="3"/>
      <c r="CJ15" s="3"/>
      <c r="CR15" s="3"/>
    </row>
    <row r="16" spans="1:98">
      <c r="A16" t="s">
        <v>176</v>
      </c>
      <c r="B16" t="s">
        <v>177</v>
      </c>
      <c r="C16" t="s">
        <v>178</v>
      </c>
      <c r="D16" s="3" t="s">
        <v>179</v>
      </c>
      <c r="E16" s="1">
        <v>1.4583333333333333</v>
      </c>
      <c r="F16" t="s">
        <v>102</v>
      </c>
      <c r="G16" s="1">
        <v>1.75</v>
      </c>
      <c r="H16" t="s">
        <v>180</v>
      </c>
      <c r="I16" s="1">
        <v>1.5833333333333333</v>
      </c>
      <c r="J16" t="s">
        <v>181</v>
      </c>
      <c r="K16" s="1">
        <v>1.5833333333333333</v>
      </c>
      <c r="L16" t="s">
        <v>182</v>
      </c>
      <c r="M16" s="4">
        <f t="shared" si="0"/>
        <v>6.3749999999999991</v>
      </c>
      <c r="N16" s="1">
        <v>1.2916666666666667</v>
      </c>
      <c r="O16" t="s">
        <v>33</v>
      </c>
      <c r="P16" s="1">
        <v>1.2916666666666667</v>
      </c>
      <c r="Q16" t="s">
        <v>34</v>
      </c>
      <c r="R16" s="1">
        <v>1.75</v>
      </c>
      <c r="S16" t="s">
        <v>25</v>
      </c>
      <c r="T16" s="1">
        <v>1.5833333333333333</v>
      </c>
      <c r="U16" t="s">
        <v>51</v>
      </c>
      <c r="V16" s="4">
        <f t="shared" si="1"/>
        <v>5.916666666666667</v>
      </c>
      <c r="W16" s="1">
        <v>1.75</v>
      </c>
      <c r="X16" t="s">
        <v>27</v>
      </c>
      <c r="Y16" s="1">
        <v>1.7083333333333333</v>
      </c>
      <c r="Z16" t="s">
        <v>183</v>
      </c>
      <c r="AA16" s="1">
        <v>1.2916666666666667</v>
      </c>
      <c r="AB16" t="s">
        <v>79</v>
      </c>
      <c r="AC16" s="1">
        <v>1.4583333333333333</v>
      </c>
      <c r="AD16" t="s">
        <v>80</v>
      </c>
      <c r="AE16" s="4">
        <f t="shared" si="2"/>
        <v>6.208333333333333</v>
      </c>
      <c r="AF16" s="5">
        <f t="shared" si="3"/>
        <v>-0.5</v>
      </c>
      <c r="AG16" s="1">
        <v>1.5833333333333333</v>
      </c>
      <c r="AH16" t="s">
        <v>65</v>
      </c>
      <c r="AI16" s="1">
        <v>1.75</v>
      </c>
      <c r="AJ16" t="s">
        <v>49</v>
      </c>
      <c r="AK16" s="1">
        <v>1.5833333333333333</v>
      </c>
      <c r="AL16" t="s">
        <v>66</v>
      </c>
      <c r="AM16" s="1">
        <v>1.5833333333333333</v>
      </c>
      <c r="AN16" t="s">
        <v>33</v>
      </c>
      <c r="AO16" s="4">
        <f t="shared" si="4"/>
        <v>6.4999999999999991</v>
      </c>
      <c r="AP16" s="1">
        <v>1.2916666666666667</v>
      </c>
      <c r="AQ16" t="s">
        <v>34</v>
      </c>
      <c r="AR16" s="1">
        <v>1.75</v>
      </c>
      <c r="AW16" s="3"/>
      <c r="BE16" s="3"/>
      <c r="BM16" s="3"/>
      <c r="BU16" s="3"/>
      <c r="CC16" s="3"/>
      <c r="CK16" s="3"/>
      <c r="CS16" s="3"/>
    </row>
    <row r="17" spans="1:98">
      <c r="A17" t="s">
        <v>184</v>
      </c>
      <c r="B17" t="s">
        <v>185</v>
      </c>
      <c r="C17" t="s">
        <v>186</v>
      </c>
      <c r="D17" s="3" t="s">
        <v>42</v>
      </c>
      <c r="E17" s="1">
        <v>1.5833333333333333</v>
      </c>
      <c r="F17" t="s">
        <v>187</v>
      </c>
      <c r="G17" s="1">
        <v>1.75</v>
      </c>
      <c r="H17" t="s">
        <v>27</v>
      </c>
      <c r="I17" s="1">
        <v>1.7083333333333333</v>
      </c>
      <c r="J17" t="s">
        <v>108</v>
      </c>
      <c r="K17" s="1">
        <v>1.2916666666666667</v>
      </c>
      <c r="L17" t="s">
        <v>57</v>
      </c>
      <c r="M17" s="4">
        <f t="shared" si="0"/>
        <v>6.333333333333333</v>
      </c>
      <c r="N17" s="1">
        <v>1.4583333333333333</v>
      </c>
      <c r="O17" t="s">
        <v>188</v>
      </c>
      <c r="P17" s="1">
        <v>1.75</v>
      </c>
      <c r="Q17" t="s">
        <v>25</v>
      </c>
      <c r="R17" s="1">
        <v>1.5833333333333333</v>
      </c>
      <c r="S17" t="s">
        <v>51</v>
      </c>
      <c r="T17" s="1">
        <v>1.75</v>
      </c>
      <c r="U17" t="s">
        <v>27</v>
      </c>
      <c r="V17" s="4">
        <f t="shared" si="1"/>
        <v>6.5416666666666661</v>
      </c>
      <c r="W17" s="1">
        <v>1.7083333333333333</v>
      </c>
      <c r="X17" t="s">
        <v>189</v>
      </c>
      <c r="Y17" s="1">
        <v>1.4583333333333333</v>
      </c>
      <c r="Z17" t="s">
        <v>85</v>
      </c>
      <c r="AA17" s="1">
        <v>1.4583333333333333</v>
      </c>
      <c r="AB17" t="s">
        <v>64</v>
      </c>
      <c r="AC17" s="1">
        <v>1.5833333333333333</v>
      </c>
      <c r="AD17" t="s">
        <v>190</v>
      </c>
      <c r="AE17" s="4">
        <f t="shared" si="2"/>
        <v>6.208333333333333</v>
      </c>
      <c r="AF17" s="5">
        <f t="shared" si="3"/>
        <v>8.3333333333332149E-2</v>
      </c>
      <c r="AG17" s="1">
        <v>1.75</v>
      </c>
      <c r="AH17" t="s">
        <v>49</v>
      </c>
      <c r="AI17" s="1">
        <v>1.5833333333333333</v>
      </c>
      <c r="AJ17" t="s">
        <v>66</v>
      </c>
      <c r="AK17" s="1">
        <v>1.5833333333333333</v>
      </c>
      <c r="AL17" t="s">
        <v>33</v>
      </c>
      <c r="AM17" s="1">
        <v>1.2916666666666667</v>
      </c>
      <c r="AN17" t="s">
        <v>191</v>
      </c>
      <c r="AO17" s="4">
        <f t="shared" si="4"/>
        <v>6.208333333333333</v>
      </c>
      <c r="AP17" s="1">
        <v>1.75</v>
      </c>
      <c r="AQ17" t="s">
        <v>25</v>
      </c>
      <c r="AR17" s="1">
        <v>1.5833333333333333</v>
      </c>
      <c r="AW17" s="3"/>
      <c r="BE17" s="3"/>
      <c r="BM17" s="3"/>
      <c r="BU17" s="3"/>
      <c r="CC17" s="3"/>
      <c r="CK17" s="3"/>
      <c r="CS17" s="3"/>
    </row>
    <row r="18" spans="1:98">
      <c r="A18" t="s">
        <v>192</v>
      </c>
      <c r="B18" t="s">
        <v>193</v>
      </c>
      <c r="C18" t="s">
        <v>194</v>
      </c>
      <c r="D18" s="3" t="s">
        <v>195</v>
      </c>
      <c r="E18" s="1">
        <v>1.75</v>
      </c>
      <c r="F18" t="s">
        <v>49</v>
      </c>
      <c r="G18" s="1">
        <v>1.5833333333333333</v>
      </c>
      <c r="H18" t="s">
        <v>50</v>
      </c>
      <c r="I18" s="1">
        <v>1.5833333333333333</v>
      </c>
      <c r="J18" t="s">
        <v>33</v>
      </c>
      <c r="K18" s="1">
        <v>1.2916666666666667</v>
      </c>
      <c r="L18" t="s">
        <v>196</v>
      </c>
      <c r="M18" s="4">
        <f t="shared" si="0"/>
        <v>6.208333333333333</v>
      </c>
      <c r="N18" s="1">
        <v>1.75</v>
      </c>
      <c r="O18" t="s">
        <v>25</v>
      </c>
      <c r="P18" s="1">
        <v>1.5833333333333333</v>
      </c>
      <c r="Q18" t="s">
        <v>51</v>
      </c>
      <c r="R18" s="1">
        <v>1.75</v>
      </c>
      <c r="S18" t="s">
        <v>27</v>
      </c>
      <c r="T18" s="1">
        <v>1.7083333333333333</v>
      </c>
      <c r="U18" t="s">
        <v>28</v>
      </c>
      <c r="V18" s="4">
        <f t="shared" si="1"/>
        <v>6.7916666666666661</v>
      </c>
      <c r="W18" s="1">
        <v>1.4583333333333333</v>
      </c>
      <c r="X18" t="s">
        <v>197</v>
      </c>
      <c r="Y18" s="1">
        <v>1.75</v>
      </c>
      <c r="Z18" t="s">
        <v>198</v>
      </c>
      <c r="AA18" s="1">
        <v>1.4583333333333333</v>
      </c>
      <c r="AB18" t="s">
        <v>112</v>
      </c>
      <c r="AC18" s="1">
        <v>1.75</v>
      </c>
      <c r="AD18" t="s">
        <v>199</v>
      </c>
      <c r="AE18" s="4">
        <f t="shared" si="2"/>
        <v>6.4166666666666661</v>
      </c>
      <c r="AF18" s="5">
        <f t="shared" si="3"/>
        <v>0.4166666666666643</v>
      </c>
      <c r="AG18" s="1">
        <v>1.75</v>
      </c>
      <c r="AH18" t="s">
        <v>27</v>
      </c>
      <c r="AI18" s="1">
        <v>1.7083333333333333</v>
      </c>
      <c r="AJ18" t="s">
        <v>28</v>
      </c>
      <c r="AK18" s="1">
        <v>1.4583333333333333</v>
      </c>
      <c r="AL18" t="s">
        <v>29</v>
      </c>
      <c r="AM18" s="1">
        <v>1.4583333333333333</v>
      </c>
      <c r="AN18" t="s">
        <v>64</v>
      </c>
      <c r="AO18" s="4">
        <f t="shared" si="4"/>
        <v>6.3749999999999991</v>
      </c>
      <c r="AP18" s="1">
        <v>1.5833333333333333</v>
      </c>
      <c r="AQ18" t="s">
        <v>65</v>
      </c>
      <c r="AR18" s="1">
        <v>1.75</v>
      </c>
      <c r="AW18" s="3"/>
      <c r="BE18" s="3"/>
      <c r="BM18" s="3"/>
      <c r="BU18" s="3"/>
      <c r="CC18" s="3"/>
      <c r="CK18" s="3"/>
      <c r="CS18" s="3"/>
    </row>
    <row r="19" spans="1:98">
      <c r="A19" t="s">
        <v>200</v>
      </c>
      <c r="B19" t="s">
        <v>201</v>
      </c>
      <c r="C19" t="s">
        <v>54</v>
      </c>
      <c r="D19" s="3" t="s">
        <v>202</v>
      </c>
      <c r="E19" s="1">
        <v>1.6111111111111109</v>
      </c>
      <c r="F19" t="s">
        <v>203</v>
      </c>
      <c r="G19" s="1">
        <v>1.4583333333333333</v>
      </c>
      <c r="H19" t="s">
        <v>204</v>
      </c>
      <c r="I19" s="1">
        <v>1.75</v>
      </c>
      <c r="J19" t="s">
        <v>205</v>
      </c>
      <c r="K19" s="1">
        <v>1.5833333333333333</v>
      </c>
      <c r="L19" t="s">
        <v>206</v>
      </c>
      <c r="M19" s="4">
        <f t="shared" si="0"/>
        <v>6.4027777777777777</v>
      </c>
      <c r="N19" s="1">
        <v>1.5833333333333333</v>
      </c>
      <c r="O19" t="s">
        <v>93</v>
      </c>
      <c r="P19" s="1">
        <v>1.5833333333333333</v>
      </c>
      <c r="Q19" t="s">
        <v>207</v>
      </c>
      <c r="R19" s="1">
        <v>1.5833333333333333</v>
      </c>
      <c r="S19" t="s">
        <v>85</v>
      </c>
      <c r="T19" s="1">
        <v>1.4583333333333333</v>
      </c>
      <c r="U19" t="s">
        <v>101</v>
      </c>
      <c r="V19" s="4">
        <f t="shared" si="1"/>
        <v>6.208333333333333</v>
      </c>
      <c r="W19" s="1">
        <v>1.75</v>
      </c>
      <c r="X19" t="s">
        <v>120</v>
      </c>
      <c r="Y19" s="1">
        <v>1.75</v>
      </c>
      <c r="Z19" t="s">
        <v>208</v>
      </c>
      <c r="AA19" s="1">
        <v>1.75</v>
      </c>
      <c r="AB19" t="s">
        <v>70</v>
      </c>
      <c r="AC19" s="1">
        <v>1.75</v>
      </c>
      <c r="AD19" t="s">
        <v>209</v>
      </c>
      <c r="AE19" s="4">
        <f t="shared" si="2"/>
        <v>7</v>
      </c>
      <c r="AF19" s="5">
        <f t="shared" si="3"/>
        <v>0.61111111111111072</v>
      </c>
      <c r="AG19" s="1">
        <v>1.75</v>
      </c>
      <c r="AH19" t="s">
        <v>116</v>
      </c>
      <c r="AI19" s="1">
        <v>1.4583333333333333</v>
      </c>
      <c r="AJ19" t="s">
        <v>101</v>
      </c>
      <c r="AK19" s="1">
        <v>1.75</v>
      </c>
      <c r="AL19" t="s">
        <v>102</v>
      </c>
      <c r="AM19" s="1">
        <v>1.75</v>
      </c>
      <c r="AN19" t="s">
        <v>103</v>
      </c>
      <c r="AO19" s="4">
        <f t="shared" si="4"/>
        <v>6.708333333333333</v>
      </c>
      <c r="AP19" s="1">
        <v>1.75</v>
      </c>
      <c r="AQ19" t="s">
        <v>104</v>
      </c>
      <c r="AR19" s="1">
        <v>1.75</v>
      </c>
      <c r="AW19" s="3"/>
      <c r="BE19" s="3"/>
      <c r="BM19" s="3"/>
      <c r="BU19" s="3"/>
      <c r="CC19" s="3"/>
      <c r="CK19" s="3"/>
      <c r="CS19" s="3"/>
    </row>
    <row r="20" spans="1:98">
      <c r="A20" t="s">
        <v>210</v>
      </c>
      <c r="B20" t="s">
        <v>201</v>
      </c>
      <c r="C20" t="s">
        <v>211</v>
      </c>
      <c r="D20" s="3" t="s">
        <v>27</v>
      </c>
      <c r="E20" s="1">
        <v>1.7083333333333333</v>
      </c>
      <c r="F20" t="s">
        <v>74</v>
      </c>
      <c r="G20" s="1">
        <v>1.4583333333333333</v>
      </c>
      <c r="H20" t="s">
        <v>85</v>
      </c>
      <c r="I20" s="1">
        <v>1.4583333333333333</v>
      </c>
      <c r="J20" t="s">
        <v>80</v>
      </c>
      <c r="K20" s="1">
        <v>1.5833333333333333</v>
      </c>
      <c r="L20" t="s">
        <v>65</v>
      </c>
      <c r="M20" s="4">
        <f t="shared" si="0"/>
        <v>6.208333333333333</v>
      </c>
      <c r="N20" s="1">
        <v>1.75</v>
      </c>
      <c r="O20" t="s">
        <v>49</v>
      </c>
      <c r="P20" s="1">
        <v>1.5833333333333333</v>
      </c>
      <c r="Q20" t="s">
        <v>66</v>
      </c>
      <c r="R20" s="1">
        <v>1.5833333333333333</v>
      </c>
      <c r="S20" t="s">
        <v>57</v>
      </c>
      <c r="T20" s="1">
        <v>1.4583333333333333</v>
      </c>
      <c r="U20" t="s">
        <v>82</v>
      </c>
      <c r="V20" s="4">
        <f t="shared" si="1"/>
        <v>6.3749999999999991</v>
      </c>
      <c r="W20" s="1">
        <v>1.75</v>
      </c>
      <c r="X20" t="s">
        <v>212</v>
      </c>
      <c r="Y20" s="1">
        <v>1.75</v>
      </c>
      <c r="Z20" t="s">
        <v>213</v>
      </c>
      <c r="AA20" s="1">
        <v>1.5833333333333333</v>
      </c>
      <c r="AB20" t="s">
        <v>50</v>
      </c>
      <c r="AC20" s="1">
        <v>1.5833333333333333</v>
      </c>
      <c r="AD20" t="s">
        <v>214</v>
      </c>
      <c r="AE20" s="4">
        <f t="shared" si="2"/>
        <v>6.6666666666666661</v>
      </c>
      <c r="AF20" s="5">
        <f t="shared" si="3"/>
        <v>0.25</v>
      </c>
      <c r="AG20" s="1">
        <v>1.2916666666666667</v>
      </c>
      <c r="AH20" t="s">
        <v>34</v>
      </c>
      <c r="AI20" s="1">
        <v>1.75</v>
      </c>
      <c r="AJ20" t="s">
        <v>25</v>
      </c>
      <c r="AK20" s="1">
        <v>1.5833333333333333</v>
      </c>
      <c r="AL20" t="s">
        <v>51</v>
      </c>
      <c r="AM20" s="1">
        <v>1.75</v>
      </c>
      <c r="AN20" t="s">
        <v>27</v>
      </c>
      <c r="AO20" s="4">
        <f t="shared" si="4"/>
        <v>6.375</v>
      </c>
      <c r="AP20" s="1">
        <v>1.7083333333333333</v>
      </c>
      <c r="AQ20" t="s">
        <v>28</v>
      </c>
      <c r="AR20" s="1">
        <v>1.4583333333333333</v>
      </c>
      <c r="AW20" s="3"/>
      <c r="BE20" s="3"/>
      <c r="BM20" s="3"/>
      <c r="BU20" s="3"/>
      <c r="CC20" s="3"/>
      <c r="CK20" s="3"/>
      <c r="CS20" s="3"/>
    </row>
    <row r="21" spans="1:98">
      <c r="A21" t="s">
        <v>215</v>
      </c>
      <c r="B21" t="s">
        <v>216</v>
      </c>
      <c r="C21" t="s">
        <v>217</v>
      </c>
      <c r="D21" s="3" t="s">
        <v>85</v>
      </c>
      <c r="E21" s="1">
        <v>1.4583333333333333</v>
      </c>
      <c r="F21" t="s">
        <v>80</v>
      </c>
      <c r="G21" s="1">
        <v>1.5833333333333333</v>
      </c>
      <c r="H21" t="s">
        <v>195</v>
      </c>
      <c r="I21" s="1">
        <v>1.75</v>
      </c>
      <c r="J21" t="s">
        <v>218</v>
      </c>
      <c r="K21" s="1">
        <v>1.5833333333333333</v>
      </c>
      <c r="L21" t="s">
        <v>219</v>
      </c>
      <c r="M21" s="4">
        <f t="shared" si="0"/>
        <v>6.3749999999999991</v>
      </c>
      <c r="N21" s="1">
        <v>1.5833333333333333</v>
      </c>
      <c r="O21" t="s">
        <v>207</v>
      </c>
      <c r="P21" s="1">
        <v>1.5833333333333333</v>
      </c>
      <c r="Q21" t="s">
        <v>116</v>
      </c>
      <c r="R21" s="1">
        <v>1.4583333333333333</v>
      </c>
      <c r="S21" t="s">
        <v>220</v>
      </c>
      <c r="T21" s="1">
        <v>1.75</v>
      </c>
      <c r="U21" t="s">
        <v>221</v>
      </c>
      <c r="V21" s="4">
        <f t="shared" si="1"/>
        <v>6.375</v>
      </c>
      <c r="W21" s="1">
        <v>1.5833333333333333</v>
      </c>
      <c r="X21" t="s">
        <v>111</v>
      </c>
      <c r="Y21" s="1">
        <v>1.5833333333333333</v>
      </c>
      <c r="Z21" t="s">
        <v>222</v>
      </c>
      <c r="AA21" s="1">
        <v>1.75</v>
      </c>
      <c r="AB21" t="s">
        <v>33</v>
      </c>
      <c r="AC21" s="1">
        <v>1.2916666666666667</v>
      </c>
      <c r="AD21" t="s">
        <v>124</v>
      </c>
      <c r="AE21" s="4">
        <f t="shared" si="2"/>
        <v>6.208333333333333</v>
      </c>
      <c r="AF21" s="5">
        <f t="shared" si="3"/>
        <v>-4.1666666666667851E-2</v>
      </c>
      <c r="AG21" s="1">
        <v>1.75</v>
      </c>
      <c r="AH21" t="s">
        <v>102</v>
      </c>
      <c r="AI21" s="1">
        <v>1.75</v>
      </c>
      <c r="AJ21" t="s">
        <v>103</v>
      </c>
      <c r="AK21" s="1">
        <v>1.75</v>
      </c>
      <c r="AL21" t="s">
        <v>104</v>
      </c>
      <c r="AM21" s="1">
        <v>1.75</v>
      </c>
      <c r="AN21" t="s">
        <v>105</v>
      </c>
      <c r="AO21" s="4">
        <f t="shared" si="4"/>
        <v>7</v>
      </c>
      <c r="AP21" s="1">
        <v>1.75</v>
      </c>
      <c r="AQ21" t="s">
        <v>116</v>
      </c>
      <c r="AR21" s="1">
        <v>1.4583333333333333</v>
      </c>
      <c r="AX21" s="3"/>
      <c r="BF21" s="3"/>
      <c r="BN21" s="3"/>
      <c r="BV21" s="3"/>
      <c r="CD21" s="3"/>
      <c r="CL21" s="3"/>
      <c r="CT21" s="3"/>
    </row>
    <row r="22" spans="1:98">
      <c r="A22" t="s">
        <v>223</v>
      </c>
      <c r="B22" t="s">
        <v>216</v>
      </c>
      <c r="C22" t="s">
        <v>224</v>
      </c>
      <c r="D22" s="3" t="s">
        <v>75</v>
      </c>
      <c r="E22" s="1">
        <v>1.4583333333333333</v>
      </c>
      <c r="F22" t="s">
        <v>138</v>
      </c>
      <c r="G22" s="1">
        <v>1.75</v>
      </c>
      <c r="H22" t="s">
        <v>225</v>
      </c>
      <c r="I22" s="1">
        <v>1.5833333333333333</v>
      </c>
      <c r="J22" t="s">
        <v>226</v>
      </c>
      <c r="K22" s="1">
        <v>1.5833333333333333</v>
      </c>
      <c r="L22" t="s">
        <v>227</v>
      </c>
      <c r="M22" s="4">
        <f t="shared" si="0"/>
        <v>6.3749999999999991</v>
      </c>
      <c r="N22" s="1">
        <v>1.5833333333333333</v>
      </c>
      <c r="O22" t="s">
        <v>157</v>
      </c>
      <c r="P22" s="1">
        <v>0</v>
      </c>
      <c r="Q22" t="s">
        <v>157</v>
      </c>
      <c r="R22" s="1">
        <v>0</v>
      </c>
      <c r="S22" t="s">
        <v>157</v>
      </c>
      <c r="T22" s="1">
        <v>0</v>
      </c>
      <c r="U22" t="s">
        <v>157</v>
      </c>
      <c r="V22" s="4">
        <f t="shared" si="1"/>
        <v>1.5833333333333333</v>
      </c>
      <c r="W22" s="1">
        <v>0</v>
      </c>
      <c r="X22" t="s">
        <v>113</v>
      </c>
      <c r="Y22" s="1">
        <v>1.75</v>
      </c>
      <c r="Z22" t="s">
        <v>70</v>
      </c>
      <c r="AA22" s="1">
        <v>1.75</v>
      </c>
      <c r="AB22" t="s">
        <v>228</v>
      </c>
      <c r="AC22" s="1">
        <v>1.75</v>
      </c>
      <c r="AD22" t="s">
        <v>229</v>
      </c>
      <c r="AE22" s="4">
        <f t="shared" si="2"/>
        <v>5.25</v>
      </c>
      <c r="AF22" s="5"/>
      <c r="AG22" s="1">
        <v>1.4583333333333333</v>
      </c>
      <c r="AH22" t="s">
        <v>101</v>
      </c>
      <c r="AI22" s="1">
        <v>1.75</v>
      </c>
      <c r="AJ22" t="s">
        <v>102</v>
      </c>
      <c r="AK22" s="1">
        <v>1.75</v>
      </c>
      <c r="AL22" t="s">
        <v>230</v>
      </c>
      <c r="AM22" s="1">
        <v>1.75</v>
      </c>
      <c r="AN22" t="s">
        <v>104</v>
      </c>
      <c r="AO22" s="4">
        <f t="shared" si="4"/>
        <v>6.708333333333333</v>
      </c>
      <c r="AP22" s="1">
        <v>1.75</v>
      </c>
      <c r="AQ22" t="s">
        <v>231</v>
      </c>
      <c r="AR22" s="1">
        <v>1.75</v>
      </c>
      <c r="AY22" s="3"/>
      <c r="AZ22" s="6"/>
      <c r="BA22" s="6"/>
      <c r="BB22" s="6"/>
      <c r="BC22" s="6"/>
      <c r="BK22" s="3"/>
      <c r="BS22" s="3"/>
    </row>
    <row r="23" spans="1:98">
      <c r="A23" t="s">
        <v>232</v>
      </c>
      <c r="B23" t="s">
        <v>233</v>
      </c>
      <c r="C23" t="s">
        <v>234</v>
      </c>
      <c r="D23" s="3" t="s">
        <v>235</v>
      </c>
      <c r="E23" s="1">
        <v>1.4583333333333333</v>
      </c>
      <c r="F23" t="s">
        <v>33</v>
      </c>
      <c r="G23" s="1">
        <v>1.2916666666666667</v>
      </c>
      <c r="H23" t="s">
        <v>80</v>
      </c>
      <c r="I23" s="1">
        <v>1.5833333333333333</v>
      </c>
      <c r="J23" t="s">
        <v>42</v>
      </c>
      <c r="K23" s="1">
        <v>1.5833333333333333</v>
      </c>
      <c r="L23" t="s">
        <v>113</v>
      </c>
      <c r="M23" s="4">
        <f t="shared" si="0"/>
        <v>5.9166666666666661</v>
      </c>
      <c r="N23" s="1">
        <v>1.75</v>
      </c>
      <c r="O23" t="s">
        <v>227</v>
      </c>
      <c r="P23" s="1">
        <v>1.5833333333333333</v>
      </c>
      <c r="Q23" t="s">
        <v>236</v>
      </c>
      <c r="R23" s="1">
        <v>1.8194444444444444</v>
      </c>
      <c r="S23" t="s">
        <v>237</v>
      </c>
      <c r="T23" s="1">
        <v>1.1666666666666667</v>
      </c>
      <c r="U23" t="s">
        <v>101</v>
      </c>
      <c r="V23" s="4">
        <f t="shared" si="1"/>
        <v>6.3194444444444446</v>
      </c>
      <c r="W23" s="1">
        <v>1.75</v>
      </c>
      <c r="X23" t="s">
        <v>42</v>
      </c>
      <c r="Y23" s="1">
        <v>1.5833333333333333</v>
      </c>
      <c r="Z23" t="s">
        <v>238</v>
      </c>
      <c r="AA23" s="1">
        <v>1.75</v>
      </c>
      <c r="AB23" t="s">
        <v>27</v>
      </c>
      <c r="AC23" s="1">
        <v>1.7083333333333333</v>
      </c>
      <c r="AD23" t="s">
        <v>28</v>
      </c>
      <c r="AE23" s="4">
        <f t="shared" si="2"/>
        <v>6.7916666666666661</v>
      </c>
      <c r="AF23" s="5">
        <f t="shared" si="3"/>
        <v>2.7777777777778567E-2</v>
      </c>
      <c r="AG23" s="1">
        <v>1.4583333333333333</v>
      </c>
      <c r="AH23" t="s">
        <v>85</v>
      </c>
      <c r="AI23" s="1">
        <v>1.4583333333333333</v>
      </c>
      <c r="AJ23" t="s">
        <v>64</v>
      </c>
      <c r="AK23" s="1">
        <v>1.5833333333333333</v>
      </c>
      <c r="AL23" t="s">
        <v>59</v>
      </c>
      <c r="AM23" s="1">
        <v>1.75</v>
      </c>
      <c r="AN23" t="s">
        <v>49</v>
      </c>
      <c r="AO23" s="4">
        <f t="shared" si="4"/>
        <v>6.25</v>
      </c>
      <c r="AP23" s="1">
        <v>1.5833333333333333</v>
      </c>
      <c r="AQ23" t="s">
        <v>66</v>
      </c>
      <c r="AR23" s="1">
        <v>1.5833333333333333</v>
      </c>
      <c r="AW23" s="3"/>
      <c r="BE23" s="3"/>
      <c r="BM23" s="3"/>
      <c r="BU23" s="3"/>
      <c r="CC23" s="3"/>
      <c r="CK23" s="3"/>
      <c r="CS23" s="3"/>
    </row>
    <row r="24" spans="1:98">
      <c r="A24" t="s">
        <v>239</v>
      </c>
      <c r="B24" t="s">
        <v>240</v>
      </c>
      <c r="C24" t="s">
        <v>241</v>
      </c>
      <c r="D24" s="3" t="s">
        <v>242</v>
      </c>
      <c r="E24" s="1">
        <v>1.5833333333333333</v>
      </c>
      <c r="F24" t="s">
        <v>79</v>
      </c>
      <c r="G24" s="1">
        <v>1.4583333333333333</v>
      </c>
      <c r="H24" t="s">
        <v>144</v>
      </c>
      <c r="I24" s="1">
        <v>1.75</v>
      </c>
      <c r="J24" t="s">
        <v>205</v>
      </c>
      <c r="K24" s="1">
        <v>1.5833333333333333</v>
      </c>
      <c r="L24" t="s">
        <v>243</v>
      </c>
      <c r="M24" s="4">
        <f t="shared" si="0"/>
        <v>6.3749999999999991</v>
      </c>
      <c r="N24" s="1">
        <v>1.5833333333333333</v>
      </c>
      <c r="O24" t="s">
        <v>244</v>
      </c>
      <c r="P24" s="1">
        <v>1.5833333333333333</v>
      </c>
      <c r="Q24" t="s">
        <v>245</v>
      </c>
      <c r="R24" s="1">
        <v>1.5833333333333333</v>
      </c>
      <c r="S24" t="s">
        <v>246</v>
      </c>
      <c r="T24" s="1">
        <v>1.4583333333333333</v>
      </c>
      <c r="U24" t="s">
        <v>101</v>
      </c>
      <c r="V24" s="4">
        <f t="shared" si="1"/>
        <v>6.208333333333333</v>
      </c>
      <c r="W24" s="1">
        <v>1.75</v>
      </c>
      <c r="X24" t="s">
        <v>131</v>
      </c>
      <c r="Y24" s="1">
        <v>1.75</v>
      </c>
      <c r="Z24" t="s">
        <v>128</v>
      </c>
      <c r="AA24" s="1">
        <v>1.75</v>
      </c>
      <c r="AB24" t="s">
        <v>247</v>
      </c>
      <c r="AC24" s="1">
        <v>1.75</v>
      </c>
      <c r="AD24" t="s">
        <v>248</v>
      </c>
      <c r="AE24" s="4">
        <f t="shared" si="2"/>
        <v>7</v>
      </c>
      <c r="AF24" s="5">
        <f t="shared" si="3"/>
        <v>0.58333333333333215</v>
      </c>
      <c r="AG24" s="1">
        <v>1.75</v>
      </c>
      <c r="AH24" t="s">
        <v>249</v>
      </c>
      <c r="AI24" s="1">
        <v>1.4583333333333333</v>
      </c>
      <c r="AJ24" t="s">
        <v>101</v>
      </c>
      <c r="AK24" s="1">
        <v>1.75</v>
      </c>
      <c r="AL24" t="s">
        <v>250</v>
      </c>
      <c r="AM24" s="1">
        <v>1.75</v>
      </c>
      <c r="AN24" t="s">
        <v>103</v>
      </c>
      <c r="AO24" s="4">
        <f t="shared" si="4"/>
        <v>6.708333333333333</v>
      </c>
      <c r="AP24" s="1">
        <v>1.75</v>
      </c>
      <c r="AQ24" t="s">
        <v>167</v>
      </c>
      <c r="AR24" s="1">
        <v>1.75</v>
      </c>
      <c r="AW24" s="3"/>
      <c r="BE24" s="3"/>
      <c r="BM24" s="3"/>
      <c r="BU24" s="3"/>
      <c r="CC24" s="3"/>
      <c r="CK24" s="3"/>
      <c r="CS24" s="3"/>
    </row>
    <row r="25" spans="1:98">
      <c r="A25" t="s">
        <v>251</v>
      </c>
      <c r="B25" t="s">
        <v>252</v>
      </c>
      <c r="C25" t="s">
        <v>253</v>
      </c>
      <c r="D25" s="3" t="s">
        <v>50</v>
      </c>
      <c r="E25" s="1">
        <v>1.5833333333333333</v>
      </c>
      <c r="F25" t="s">
        <v>57</v>
      </c>
      <c r="G25" s="1">
        <v>1.4583333333333333</v>
      </c>
      <c r="H25" t="s">
        <v>82</v>
      </c>
      <c r="I25" s="1">
        <v>1.75</v>
      </c>
      <c r="J25" t="s">
        <v>112</v>
      </c>
      <c r="K25" s="1">
        <v>1.75</v>
      </c>
      <c r="L25" t="s">
        <v>113</v>
      </c>
      <c r="M25" s="4">
        <f t="shared" si="0"/>
        <v>6.5416666666666661</v>
      </c>
      <c r="N25" s="1">
        <v>1.75</v>
      </c>
      <c r="O25" t="s">
        <v>70</v>
      </c>
      <c r="P25" s="1">
        <v>1.75</v>
      </c>
      <c r="Q25" t="s">
        <v>57</v>
      </c>
      <c r="R25" s="1">
        <v>1.4583333333333333</v>
      </c>
      <c r="S25" t="s">
        <v>34</v>
      </c>
      <c r="T25" s="1">
        <v>1.75</v>
      </c>
      <c r="U25" t="s">
        <v>42</v>
      </c>
      <c r="V25" s="4">
        <f t="shared" si="1"/>
        <v>6.708333333333333</v>
      </c>
      <c r="W25" s="1">
        <v>1.5833333333333333</v>
      </c>
      <c r="X25" t="s">
        <v>62</v>
      </c>
      <c r="Y25" s="1">
        <v>1.75</v>
      </c>
      <c r="Z25" t="s">
        <v>27</v>
      </c>
      <c r="AA25" s="1">
        <v>1.7083333333333333</v>
      </c>
      <c r="AB25" t="s">
        <v>84</v>
      </c>
      <c r="AC25" s="1">
        <v>1.4583333333333333</v>
      </c>
      <c r="AD25" t="s">
        <v>85</v>
      </c>
      <c r="AE25" s="4">
        <f t="shared" si="2"/>
        <v>6.4999999999999991</v>
      </c>
      <c r="AF25" s="5">
        <f t="shared" si="3"/>
        <v>0.75</v>
      </c>
      <c r="AG25" s="1">
        <v>1.4583333333333333</v>
      </c>
      <c r="AH25" t="s">
        <v>64</v>
      </c>
      <c r="AI25" s="1">
        <v>1.5833333333333333</v>
      </c>
      <c r="AJ25" t="s">
        <v>254</v>
      </c>
      <c r="AK25" s="1">
        <v>1.75</v>
      </c>
      <c r="AL25" t="s">
        <v>49</v>
      </c>
      <c r="AM25" s="1">
        <v>1.5833333333333333</v>
      </c>
      <c r="AN25" t="s">
        <v>66</v>
      </c>
      <c r="AO25" s="4">
        <f t="shared" si="4"/>
        <v>6.3749999999999991</v>
      </c>
      <c r="AP25" s="1">
        <v>1.5833333333333333</v>
      </c>
      <c r="AQ25" t="s">
        <v>214</v>
      </c>
      <c r="AR25" s="1">
        <v>1.2916666666666667</v>
      </c>
      <c r="AW25" s="3"/>
      <c r="BE25" s="3"/>
      <c r="BM25" s="3"/>
      <c r="BU25" s="3"/>
      <c r="CC25" s="3"/>
      <c r="CK25" s="3"/>
      <c r="CS25" s="3"/>
    </row>
    <row r="26" spans="1:98">
      <c r="A26" t="s">
        <v>255</v>
      </c>
      <c r="B26" t="s">
        <v>256</v>
      </c>
      <c r="C26" t="s">
        <v>257</v>
      </c>
      <c r="D26" s="3" t="s">
        <v>80</v>
      </c>
      <c r="E26" s="1">
        <v>1.5833333333333333</v>
      </c>
      <c r="F26" t="s">
        <v>258</v>
      </c>
      <c r="G26" s="1">
        <v>1.75</v>
      </c>
      <c r="H26" t="s">
        <v>123</v>
      </c>
      <c r="I26" s="1">
        <v>1.5833333333333333</v>
      </c>
      <c r="J26" t="s">
        <v>81</v>
      </c>
      <c r="K26" s="1">
        <v>1.5833333333333333</v>
      </c>
      <c r="L26" t="s">
        <v>116</v>
      </c>
      <c r="M26" s="4">
        <f t="shared" si="0"/>
        <v>6.4999999999999991</v>
      </c>
      <c r="N26" s="1">
        <v>1.4583333333333333</v>
      </c>
      <c r="O26" t="s">
        <v>101</v>
      </c>
      <c r="P26" s="1">
        <v>1.75</v>
      </c>
      <c r="Q26" t="s">
        <v>259</v>
      </c>
      <c r="R26" s="1">
        <v>1.6111111111111109</v>
      </c>
      <c r="S26" t="s">
        <v>113</v>
      </c>
      <c r="T26" s="1">
        <v>1.75</v>
      </c>
      <c r="U26" t="s">
        <v>70</v>
      </c>
      <c r="V26" s="4">
        <f t="shared" si="1"/>
        <v>6.5694444444444438</v>
      </c>
      <c r="W26" s="1">
        <v>1.75</v>
      </c>
      <c r="X26" t="s">
        <v>85</v>
      </c>
      <c r="Y26" s="1">
        <v>1.4583333333333333</v>
      </c>
      <c r="Z26" t="s">
        <v>80</v>
      </c>
      <c r="AA26" s="1">
        <v>1.5833333333333333</v>
      </c>
      <c r="AB26" t="s">
        <v>260</v>
      </c>
      <c r="AC26" s="1">
        <v>1.75</v>
      </c>
      <c r="AD26" t="s">
        <v>49</v>
      </c>
      <c r="AE26" s="4">
        <f t="shared" si="2"/>
        <v>6.5416666666666661</v>
      </c>
      <c r="AF26" s="5">
        <f t="shared" si="3"/>
        <v>0.61111111111110716</v>
      </c>
      <c r="AG26" s="1">
        <v>1.5833333333333333</v>
      </c>
      <c r="AH26" t="s">
        <v>66</v>
      </c>
      <c r="AI26" s="1">
        <v>1.5833333333333333</v>
      </c>
      <c r="AJ26" t="s">
        <v>33</v>
      </c>
      <c r="AK26" s="1">
        <v>1.2916666666666667</v>
      </c>
      <c r="AL26" t="s">
        <v>34</v>
      </c>
      <c r="AM26" s="1">
        <v>1.75</v>
      </c>
      <c r="AN26" t="s">
        <v>25</v>
      </c>
      <c r="AO26" s="4">
        <f t="shared" si="4"/>
        <v>6.208333333333333</v>
      </c>
      <c r="AP26" s="1">
        <v>1.5833333333333333</v>
      </c>
      <c r="AQ26" t="s">
        <v>51</v>
      </c>
      <c r="AR26" s="1">
        <v>1.75</v>
      </c>
      <c r="AW26" s="3"/>
      <c r="BE26" s="3"/>
      <c r="BM26" s="3"/>
      <c r="BU26" s="3"/>
      <c r="CC26" s="3"/>
      <c r="CK26" s="3"/>
      <c r="CS26" s="3"/>
    </row>
    <row r="27" spans="1:98">
      <c r="A27" t="s">
        <v>261</v>
      </c>
      <c r="B27" t="s">
        <v>262</v>
      </c>
      <c r="C27" t="s">
        <v>263</v>
      </c>
      <c r="D27" s="3" t="s">
        <v>264</v>
      </c>
      <c r="E27" s="1">
        <v>1.5833333333333333</v>
      </c>
      <c r="F27" t="s">
        <v>265</v>
      </c>
      <c r="G27" s="1">
        <v>1.4583333333333333</v>
      </c>
      <c r="H27" t="s">
        <v>266</v>
      </c>
      <c r="I27" s="1">
        <v>1.7222222222222223</v>
      </c>
      <c r="J27" t="s">
        <v>267</v>
      </c>
      <c r="K27" s="1">
        <v>1.5833333333333333</v>
      </c>
      <c r="L27" t="s">
        <v>65</v>
      </c>
      <c r="M27" s="4">
        <f t="shared" si="0"/>
        <v>6.3472222222222223</v>
      </c>
      <c r="N27" s="1">
        <v>1.75</v>
      </c>
      <c r="O27" t="s">
        <v>128</v>
      </c>
      <c r="P27" s="1">
        <v>1.75</v>
      </c>
      <c r="Q27" t="s">
        <v>268</v>
      </c>
      <c r="R27" s="1">
        <v>1.75</v>
      </c>
      <c r="S27" t="s">
        <v>33</v>
      </c>
      <c r="T27" s="1">
        <v>1.2916666666666667</v>
      </c>
      <c r="U27" t="s">
        <v>269</v>
      </c>
      <c r="V27" s="4">
        <f t="shared" si="1"/>
        <v>6.541666666666667</v>
      </c>
      <c r="W27" s="1">
        <v>1.75</v>
      </c>
      <c r="X27" t="s">
        <v>270</v>
      </c>
      <c r="Y27" s="1">
        <v>1.75</v>
      </c>
      <c r="Z27" t="s">
        <v>271</v>
      </c>
      <c r="AA27" s="1">
        <v>1.75</v>
      </c>
      <c r="AB27" t="s">
        <v>111</v>
      </c>
      <c r="AC27" s="1">
        <v>1.5833333333333333</v>
      </c>
      <c r="AD27" t="s">
        <v>272</v>
      </c>
      <c r="AE27" s="4">
        <f t="shared" si="2"/>
        <v>6.833333333333333</v>
      </c>
      <c r="AF27" s="5">
        <f t="shared" si="3"/>
        <v>0.72222222222222143</v>
      </c>
      <c r="AG27" s="1">
        <v>1.5833333333333333</v>
      </c>
      <c r="AH27" t="s">
        <v>33</v>
      </c>
      <c r="AI27" s="1">
        <v>1.2916666666666667</v>
      </c>
      <c r="AJ27" t="s">
        <v>34</v>
      </c>
      <c r="AK27" s="1">
        <v>1.75</v>
      </c>
      <c r="AL27" t="s">
        <v>25</v>
      </c>
      <c r="AM27" s="1">
        <v>1.5833333333333333</v>
      </c>
      <c r="AN27" t="s">
        <v>51</v>
      </c>
      <c r="AO27" s="4">
        <f t="shared" si="4"/>
        <v>6.208333333333333</v>
      </c>
      <c r="AP27" s="1">
        <v>1.75</v>
      </c>
      <c r="AQ27" t="s">
        <v>27</v>
      </c>
      <c r="AR27" s="1">
        <v>1.7083333333333333</v>
      </c>
      <c r="AW27" s="3"/>
      <c r="BE27" s="3"/>
      <c r="BM27" s="3"/>
      <c r="BU27" s="3"/>
      <c r="CC27" s="3"/>
      <c r="CK27" s="3"/>
      <c r="CS27" s="3"/>
    </row>
    <row r="28" spans="1:98">
      <c r="A28" t="s">
        <v>273</v>
      </c>
      <c r="B28" t="s">
        <v>274</v>
      </c>
      <c r="C28" t="s">
        <v>275</v>
      </c>
      <c r="D28" s="3" t="s">
        <v>33</v>
      </c>
      <c r="E28" s="1">
        <v>1.2916666666666667</v>
      </c>
      <c r="F28" t="s">
        <v>41</v>
      </c>
      <c r="G28" s="1">
        <v>1.75</v>
      </c>
      <c r="H28" t="s">
        <v>25</v>
      </c>
      <c r="I28" s="1">
        <v>1.5833333333333333</v>
      </c>
      <c r="J28" t="s">
        <v>113</v>
      </c>
      <c r="K28" s="1">
        <v>1.75</v>
      </c>
      <c r="L28" t="s">
        <v>70</v>
      </c>
      <c r="M28" s="4">
        <f t="shared" si="0"/>
        <v>6.375</v>
      </c>
      <c r="N28" s="1">
        <v>1.75</v>
      </c>
      <c r="O28" t="s">
        <v>276</v>
      </c>
      <c r="P28" s="1">
        <v>1.5833333333333333</v>
      </c>
      <c r="Q28" t="s">
        <v>122</v>
      </c>
      <c r="R28" s="1">
        <v>1.2916666666666667</v>
      </c>
      <c r="S28" t="s">
        <v>64</v>
      </c>
      <c r="T28" s="1">
        <v>1.5833333333333333</v>
      </c>
      <c r="U28" t="s">
        <v>65</v>
      </c>
      <c r="V28" s="4">
        <f t="shared" si="1"/>
        <v>6.208333333333333</v>
      </c>
      <c r="W28" s="1">
        <v>1.75</v>
      </c>
      <c r="X28" t="s">
        <v>277</v>
      </c>
      <c r="Y28" s="1">
        <v>1.2916666666666667</v>
      </c>
      <c r="Z28" t="s">
        <v>85</v>
      </c>
      <c r="AA28" s="1">
        <v>1.4583333333333333</v>
      </c>
      <c r="AB28" t="s">
        <v>278</v>
      </c>
      <c r="AC28" s="1">
        <v>1.75</v>
      </c>
      <c r="AD28" t="s">
        <v>42</v>
      </c>
      <c r="AE28" s="4">
        <f t="shared" si="2"/>
        <v>6.25</v>
      </c>
      <c r="AF28" s="5">
        <f t="shared" si="3"/>
        <v>-0.16666666666666785</v>
      </c>
      <c r="AG28" s="1">
        <v>1.5833333333333333</v>
      </c>
      <c r="AH28" t="s">
        <v>51</v>
      </c>
      <c r="AI28" s="1">
        <v>1.75</v>
      </c>
      <c r="AJ28" t="s">
        <v>27</v>
      </c>
      <c r="AK28" s="1">
        <v>1.7083333333333333</v>
      </c>
      <c r="AL28" t="s">
        <v>28</v>
      </c>
      <c r="AM28" s="1">
        <v>1.4583333333333333</v>
      </c>
      <c r="AN28" t="s">
        <v>29</v>
      </c>
      <c r="AO28" s="4">
        <f t="shared" si="4"/>
        <v>6.4999999999999991</v>
      </c>
      <c r="AP28" s="1">
        <v>1.4583333333333333</v>
      </c>
      <c r="AQ28" t="s">
        <v>64</v>
      </c>
      <c r="AR28" s="1">
        <v>1.5833333333333333</v>
      </c>
      <c r="AW28" s="3"/>
      <c r="BE28" s="3"/>
      <c r="BM28" s="3"/>
      <c r="BU28" s="3"/>
      <c r="CC28" s="3"/>
      <c r="CK28" s="3"/>
      <c r="CS28" s="3"/>
    </row>
    <row r="29" spans="1:98">
      <c r="A29" t="s">
        <v>279</v>
      </c>
      <c r="B29" t="s">
        <v>280</v>
      </c>
      <c r="C29" t="s">
        <v>281</v>
      </c>
      <c r="D29" s="3" t="s">
        <v>282</v>
      </c>
      <c r="E29" s="1">
        <v>1.5833333333333333</v>
      </c>
      <c r="F29" t="s">
        <v>70</v>
      </c>
      <c r="G29" s="1">
        <v>1.75</v>
      </c>
      <c r="H29" t="s">
        <v>99</v>
      </c>
      <c r="I29" s="1">
        <v>1.75</v>
      </c>
      <c r="J29" t="s">
        <v>283</v>
      </c>
      <c r="K29" s="1">
        <v>1.4583333333333333</v>
      </c>
      <c r="L29" t="s">
        <v>34</v>
      </c>
      <c r="M29" s="4">
        <f t="shared" si="0"/>
        <v>6.5416666666666661</v>
      </c>
      <c r="N29" s="1">
        <v>1.75</v>
      </c>
      <c r="O29" t="s">
        <v>25</v>
      </c>
      <c r="P29" s="1">
        <v>1.5833333333333333</v>
      </c>
      <c r="Q29" t="s">
        <v>284</v>
      </c>
      <c r="R29" s="1">
        <v>1.75</v>
      </c>
      <c r="S29" t="s">
        <v>27</v>
      </c>
      <c r="T29" s="1">
        <v>1.7083333333333333</v>
      </c>
      <c r="U29" t="s">
        <v>28</v>
      </c>
      <c r="V29" s="4">
        <f t="shared" si="1"/>
        <v>6.7916666666666661</v>
      </c>
      <c r="W29" s="1">
        <v>1.4583333333333333</v>
      </c>
      <c r="X29" t="s">
        <v>57</v>
      </c>
      <c r="Y29" s="1">
        <v>1.4583333333333333</v>
      </c>
      <c r="Z29" t="s">
        <v>80</v>
      </c>
      <c r="AA29" s="1">
        <v>1.5833333333333333</v>
      </c>
      <c r="AB29" t="s">
        <v>260</v>
      </c>
      <c r="AC29" s="1">
        <v>1.75</v>
      </c>
      <c r="AD29" t="s">
        <v>49</v>
      </c>
      <c r="AE29" s="4">
        <f t="shared" si="2"/>
        <v>6.25</v>
      </c>
      <c r="AF29" s="5">
        <f t="shared" si="3"/>
        <v>0.58333333333333215</v>
      </c>
      <c r="AG29" s="1">
        <v>1.5833333333333333</v>
      </c>
      <c r="AH29" t="s">
        <v>66</v>
      </c>
      <c r="AI29" s="1">
        <v>1.5833333333333333</v>
      </c>
      <c r="AJ29" t="s">
        <v>33</v>
      </c>
      <c r="AK29" s="1">
        <v>1.2916666666666667</v>
      </c>
      <c r="AL29" t="s">
        <v>34</v>
      </c>
      <c r="AM29" s="1">
        <v>1.75</v>
      </c>
      <c r="AN29" t="s">
        <v>42</v>
      </c>
      <c r="AO29" s="4">
        <f t="shared" si="4"/>
        <v>6.208333333333333</v>
      </c>
      <c r="AP29" s="1">
        <v>1.5833333333333333</v>
      </c>
      <c r="AQ29" t="s">
        <v>51</v>
      </c>
      <c r="AR29" s="1">
        <v>1.75</v>
      </c>
      <c r="AW29" s="3"/>
      <c r="BE29" s="3"/>
      <c r="BM29" s="3"/>
      <c r="BU29" s="3"/>
      <c r="CC29" s="3"/>
      <c r="CK29" s="3"/>
      <c r="CS29" s="3"/>
    </row>
    <row r="30" spans="1:98">
      <c r="A30" t="s">
        <v>285</v>
      </c>
      <c r="B30" t="s">
        <v>286</v>
      </c>
      <c r="C30" t="s">
        <v>287</v>
      </c>
      <c r="D30" s="3" t="s">
        <v>128</v>
      </c>
      <c r="E30" s="1">
        <v>1.75</v>
      </c>
      <c r="F30" t="s">
        <v>27</v>
      </c>
      <c r="G30" s="1">
        <v>1.7083333333333333</v>
      </c>
      <c r="H30" t="s">
        <v>84</v>
      </c>
      <c r="I30" s="1">
        <v>1.4583333333333333</v>
      </c>
      <c r="J30" t="s">
        <v>288</v>
      </c>
      <c r="K30" s="1">
        <v>1.4583333333333333</v>
      </c>
      <c r="L30" t="s">
        <v>64</v>
      </c>
      <c r="M30" s="4">
        <f t="shared" si="0"/>
        <v>6.3749999999999991</v>
      </c>
      <c r="N30" s="1">
        <v>1.5833333333333333</v>
      </c>
      <c r="O30" t="s">
        <v>65</v>
      </c>
      <c r="P30" s="1">
        <v>1.75</v>
      </c>
      <c r="Q30" t="s">
        <v>123</v>
      </c>
      <c r="R30" s="1">
        <v>1.5833333333333333</v>
      </c>
      <c r="S30" t="s">
        <v>50</v>
      </c>
      <c r="T30" s="1">
        <v>1.5833333333333333</v>
      </c>
      <c r="U30" t="s">
        <v>33</v>
      </c>
      <c r="V30" s="4">
        <f t="shared" si="1"/>
        <v>6.4999999999999991</v>
      </c>
      <c r="W30" s="1">
        <v>1.2916666666666667</v>
      </c>
      <c r="X30" t="s">
        <v>82</v>
      </c>
      <c r="Y30" s="1">
        <v>1.75</v>
      </c>
      <c r="Z30" t="s">
        <v>112</v>
      </c>
      <c r="AA30" s="1">
        <v>1.75</v>
      </c>
      <c r="AB30" t="s">
        <v>132</v>
      </c>
      <c r="AC30" s="1">
        <v>1.75</v>
      </c>
      <c r="AD30" t="s">
        <v>289</v>
      </c>
      <c r="AE30" s="4">
        <f t="shared" si="2"/>
        <v>6.541666666666667</v>
      </c>
      <c r="AF30" s="5">
        <f t="shared" si="3"/>
        <v>0.4166666666666643</v>
      </c>
      <c r="AG30" s="1">
        <v>1.75</v>
      </c>
      <c r="AH30" t="s">
        <v>105</v>
      </c>
      <c r="AI30" s="1">
        <v>1.75</v>
      </c>
      <c r="AJ30" t="s">
        <v>116</v>
      </c>
      <c r="AK30" s="1">
        <v>1.4583333333333333</v>
      </c>
      <c r="AL30" t="s">
        <v>101</v>
      </c>
      <c r="AM30" s="1">
        <v>1.75</v>
      </c>
      <c r="AN30" t="s">
        <v>102</v>
      </c>
      <c r="AO30" s="4">
        <f t="shared" si="4"/>
        <v>6.708333333333333</v>
      </c>
      <c r="AP30" s="1">
        <v>1.75</v>
      </c>
      <c r="AQ30" t="s">
        <v>103</v>
      </c>
      <c r="AR30" s="1">
        <v>1.75</v>
      </c>
      <c r="AW30" s="3"/>
      <c r="BE30" s="3"/>
      <c r="BM30" s="3"/>
      <c r="BU30" s="3"/>
      <c r="CC30" s="3"/>
      <c r="CK30" s="3"/>
      <c r="CS30" s="3"/>
    </row>
    <row r="31" spans="1:98">
      <c r="A31" t="s">
        <v>290</v>
      </c>
      <c r="B31" t="s">
        <v>291</v>
      </c>
      <c r="C31" t="s">
        <v>292</v>
      </c>
      <c r="D31" s="3" t="s">
        <v>260</v>
      </c>
      <c r="E31" s="1">
        <v>1.75</v>
      </c>
      <c r="F31" t="s">
        <v>49</v>
      </c>
      <c r="G31" s="1">
        <v>1.5833333333333333</v>
      </c>
      <c r="H31" t="s">
        <v>293</v>
      </c>
      <c r="I31" s="1">
        <v>1.5833333333333333</v>
      </c>
      <c r="J31" t="s">
        <v>33</v>
      </c>
      <c r="K31" s="1">
        <v>1.2916666666666667</v>
      </c>
      <c r="L31" t="s">
        <v>294</v>
      </c>
      <c r="M31" s="4">
        <f t="shared" si="0"/>
        <v>6.208333333333333</v>
      </c>
      <c r="N31" s="1">
        <v>1.75</v>
      </c>
      <c r="O31" t="s">
        <v>205</v>
      </c>
      <c r="P31" s="1">
        <v>1.5833333333333333</v>
      </c>
      <c r="Q31" t="s">
        <v>295</v>
      </c>
      <c r="R31" s="1">
        <v>1.5833333333333333</v>
      </c>
      <c r="S31" t="s">
        <v>70</v>
      </c>
      <c r="T31" s="1">
        <v>1.75</v>
      </c>
      <c r="U31" t="s">
        <v>99</v>
      </c>
      <c r="V31" s="4">
        <f t="shared" si="1"/>
        <v>6.6666666666666661</v>
      </c>
      <c r="W31" s="1">
        <v>1.75</v>
      </c>
      <c r="X31" t="s">
        <v>296</v>
      </c>
      <c r="Y31" s="1">
        <v>1.4583333333333333</v>
      </c>
      <c r="Z31" t="s">
        <v>297</v>
      </c>
      <c r="AA31" s="1">
        <v>1.75</v>
      </c>
      <c r="AB31" t="s">
        <v>190</v>
      </c>
      <c r="AC31" s="1">
        <v>1.75</v>
      </c>
      <c r="AD31" t="s">
        <v>298</v>
      </c>
      <c r="AE31" s="4">
        <f t="shared" si="2"/>
        <v>6.708333333333333</v>
      </c>
      <c r="AF31" s="5">
        <f t="shared" si="3"/>
        <v>0.58333333333333215</v>
      </c>
      <c r="AG31" s="1">
        <v>1.75</v>
      </c>
      <c r="AH31" t="s">
        <v>49</v>
      </c>
      <c r="AI31" s="1">
        <v>1.5833333333333333</v>
      </c>
      <c r="AJ31" t="s">
        <v>66</v>
      </c>
      <c r="AK31" s="1">
        <v>1.5833333333333333</v>
      </c>
      <c r="AL31" t="s">
        <v>33</v>
      </c>
      <c r="AM31" s="1">
        <v>1.2916666666666667</v>
      </c>
      <c r="AN31" t="s">
        <v>34</v>
      </c>
      <c r="AO31" s="4">
        <f t="shared" si="4"/>
        <v>6.208333333333333</v>
      </c>
      <c r="AP31" s="1">
        <v>1.75</v>
      </c>
      <c r="AQ31" t="s">
        <v>25</v>
      </c>
      <c r="AR31" s="1">
        <v>1.5833333333333333</v>
      </c>
      <c r="AW31" s="3"/>
      <c r="BE31" s="3"/>
      <c r="BM31" s="3"/>
      <c r="BU31" s="3"/>
      <c r="CC31" s="3"/>
      <c r="CK31" s="3"/>
      <c r="CS31" s="3"/>
    </row>
    <row r="32" spans="1:98">
      <c r="A32" t="s">
        <v>299</v>
      </c>
      <c r="B32" t="s">
        <v>300</v>
      </c>
      <c r="C32" t="s">
        <v>301</v>
      </c>
      <c r="D32" s="3" t="s">
        <v>132</v>
      </c>
      <c r="E32" s="1">
        <v>1.75</v>
      </c>
      <c r="F32" t="s">
        <v>129</v>
      </c>
      <c r="G32" s="1">
        <v>1.5833333333333333</v>
      </c>
      <c r="H32" t="s">
        <v>99</v>
      </c>
      <c r="I32" s="1">
        <v>1.75</v>
      </c>
      <c r="J32" t="s">
        <v>57</v>
      </c>
      <c r="K32" s="1">
        <v>1.4583333333333333</v>
      </c>
      <c r="L32" t="s">
        <v>64</v>
      </c>
      <c r="M32" s="4">
        <f t="shared" si="0"/>
        <v>6.5416666666666661</v>
      </c>
      <c r="N32" s="1">
        <v>1.5833333333333333</v>
      </c>
      <c r="O32" t="s">
        <v>65</v>
      </c>
      <c r="P32" s="1">
        <v>1.75</v>
      </c>
      <c r="Q32" t="s">
        <v>49</v>
      </c>
      <c r="R32" s="1">
        <v>1.5833333333333333</v>
      </c>
      <c r="S32" t="s">
        <v>66</v>
      </c>
      <c r="T32" s="1">
        <v>1.5833333333333333</v>
      </c>
      <c r="U32" t="s">
        <v>33</v>
      </c>
      <c r="V32" s="4">
        <f t="shared" si="1"/>
        <v>6.4999999999999991</v>
      </c>
      <c r="W32" s="1">
        <v>1.2916666666666667</v>
      </c>
      <c r="X32" t="s">
        <v>302</v>
      </c>
      <c r="Y32" s="1">
        <v>1.75</v>
      </c>
      <c r="Z32" t="s">
        <v>42</v>
      </c>
      <c r="AA32" s="1">
        <v>1.5833333333333333</v>
      </c>
      <c r="AB32" t="s">
        <v>303</v>
      </c>
      <c r="AC32" s="1">
        <v>1.75</v>
      </c>
      <c r="AD32" t="s">
        <v>174</v>
      </c>
      <c r="AE32" s="4">
        <f t="shared" si="2"/>
        <v>6.375</v>
      </c>
      <c r="AF32" s="5">
        <f t="shared" si="3"/>
        <v>0.4166666666666643</v>
      </c>
      <c r="AG32" s="1">
        <v>1.7083333333333333</v>
      </c>
      <c r="AH32" t="s">
        <v>63</v>
      </c>
      <c r="AI32" s="1">
        <v>1.4583333333333333</v>
      </c>
      <c r="AJ32" t="s">
        <v>29</v>
      </c>
      <c r="AK32" s="1">
        <v>1.4583333333333333</v>
      </c>
      <c r="AL32" t="s">
        <v>64</v>
      </c>
      <c r="AM32" s="1">
        <v>1.5833333333333333</v>
      </c>
      <c r="AN32" t="s">
        <v>65</v>
      </c>
      <c r="AO32" s="4">
        <f t="shared" si="4"/>
        <v>6.208333333333333</v>
      </c>
      <c r="AP32" s="1">
        <v>1.75</v>
      </c>
      <c r="AQ32" t="s">
        <v>123</v>
      </c>
      <c r="AR32" s="1">
        <v>1.5833333333333333</v>
      </c>
      <c r="AW32" s="3"/>
      <c r="BE32" s="3"/>
      <c r="BM32" s="3"/>
      <c r="BU32" s="3"/>
      <c r="CC32" s="3"/>
      <c r="CK32" s="3"/>
      <c r="CS32" s="3"/>
    </row>
    <row r="33" spans="1:97">
      <c r="A33" t="s">
        <v>304</v>
      </c>
      <c r="B33" t="s">
        <v>305</v>
      </c>
      <c r="C33" t="s">
        <v>306</v>
      </c>
      <c r="D33" s="3" t="s">
        <v>307</v>
      </c>
      <c r="E33" s="1">
        <v>1.5833333333333333</v>
      </c>
      <c r="F33" t="s">
        <v>113</v>
      </c>
      <c r="G33" s="1">
        <v>1.75</v>
      </c>
      <c r="H33" t="s">
        <v>70</v>
      </c>
      <c r="I33" s="1">
        <v>1.75</v>
      </c>
      <c r="J33" t="s">
        <v>308</v>
      </c>
      <c r="K33" s="1">
        <v>1.5833333333333333</v>
      </c>
      <c r="L33" t="s">
        <v>122</v>
      </c>
      <c r="M33" s="4">
        <f t="shared" si="0"/>
        <v>6.6666666666666661</v>
      </c>
      <c r="N33" s="1">
        <v>1.2916666666666667</v>
      </c>
      <c r="O33" t="s">
        <v>64</v>
      </c>
      <c r="P33" s="1">
        <v>1.5833333333333333</v>
      </c>
      <c r="Q33" t="s">
        <v>102</v>
      </c>
      <c r="R33" s="1">
        <v>1.75</v>
      </c>
      <c r="S33" t="s">
        <v>49</v>
      </c>
      <c r="T33" s="1">
        <v>1.5833333333333333</v>
      </c>
      <c r="U33" t="s">
        <v>66</v>
      </c>
      <c r="V33" s="4">
        <f t="shared" si="1"/>
        <v>6.208333333333333</v>
      </c>
      <c r="W33" s="1">
        <v>1.5833333333333333</v>
      </c>
      <c r="X33" t="s">
        <v>309</v>
      </c>
      <c r="Y33" s="1">
        <v>1</v>
      </c>
      <c r="Z33" t="s">
        <v>124</v>
      </c>
      <c r="AA33" s="1">
        <v>1.75</v>
      </c>
      <c r="AB33" t="s">
        <v>310</v>
      </c>
      <c r="AC33" s="1">
        <v>1.5833333333333333</v>
      </c>
      <c r="AD33" t="s">
        <v>311</v>
      </c>
      <c r="AE33" s="4">
        <f t="shared" si="2"/>
        <v>5.9166666666666661</v>
      </c>
      <c r="AF33" s="5">
        <f t="shared" si="3"/>
        <v>-0.2083333333333357</v>
      </c>
      <c r="AG33" s="1">
        <v>1.75</v>
      </c>
      <c r="AH33" t="s">
        <v>104</v>
      </c>
      <c r="AI33" s="1">
        <v>1.75</v>
      </c>
      <c r="AJ33" t="s">
        <v>105</v>
      </c>
      <c r="AK33" s="1">
        <v>1.75</v>
      </c>
      <c r="AL33" t="s">
        <v>116</v>
      </c>
      <c r="AM33" s="1">
        <v>1.4583333333333333</v>
      </c>
      <c r="AN33" t="s">
        <v>101</v>
      </c>
      <c r="AO33" s="4">
        <f t="shared" si="4"/>
        <v>6.708333333333333</v>
      </c>
      <c r="AP33" s="1">
        <v>1.75</v>
      </c>
      <c r="AQ33" t="s">
        <v>102</v>
      </c>
      <c r="AR33" s="1">
        <v>1.75</v>
      </c>
      <c r="AW33" s="3"/>
      <c r="BE33" s="3"/>
      <c r="BM33" s="3"/>
      <c r="BU33" s="3"/>
      <c r="CC33" s="3"/>
      <c r="CK33" s="3"/>
      <c r="CS33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/>
  </sheetViews>
  <sheetFormatPr defaultRowHeight="15"/>
  <sheetData>
    <row r="1" spans="1:7">
      <c r="A1" t="s">
        <v>312</v>
      </c>
      <c r="B1" t="s">
        <v>313</v>
      </c>
      <c r="C1" t="s">
        <v>314</v>
      </c>
      <c r="D1" t="s">
        <v>315</v>
      </c>
      <c r="E1" t="s">
        <v>316</v>
      </c>
      <c r="F1" t="s">
        <v>317</v>
      </c>
      <c r="G1" t="s">
        <v>318</v>
      </c>
    </row>
    <row r="2" spans="1:7">
      <c r="A2" t="s">
        <v>319</v>
      </c>
      <c r="B2" t="s">
        <v>320</v>
      </c>
      <c r="C2" t="s">
        <v>321</v>
      </c>
      <c r="D2" t="s">
        <v>322</v>
      </c>
      <c r="E2" t="s">
        <v>323</v>
      </c>
      <c r="F2">
        <v>18</v>
      </c>
      <c r="G2" t="s">
        <v>324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workbookViewId="0"/>
  </sheetViews>
  <sheetFormatPr defaultRowHeight="15"/>
  <sheetData/>
  <pageMargins left="0.7" right="0.7" top="0.75" bottom="0.75" header="0.3" footer="0.3"/>
  <customProperties>
    <customPr name="DCFIdentifier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Classified as UnClassified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2016-10-11T16:04:50Z</dcterms:created>
  <dcterms:modified xsi:type="dcterms:W3CDTF">2016-10-11T16:06:30Z</dcterms:modified>
</cp:coreProperties>
</file>