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autoCompressPictures="0"/>
  <mc:AlternateContent xmlns:mc="http://schemas.openxmlformats.org/markup-compatibility/2006">
    <mc:Choice Requires="x15">
      <x15ac:absPath xmlns:x15ac="http://schemas.microsoft.com/office/spreadsheetml/2010/11/ac" url="D:\EXCEL_TURNI_VBA_SQLITE\MAGGIO_2018\"/>
    </mc:Choice>
  </mc:AlternateContent>
  <bookViews>
    <workbookView xWindow="0" yWindow="4785" windowWidth="7515" windowHeight="5145" tabRatio="422"/>
  </bookViews>
  <sheets>
    <sheet name="Foglio2" sheetId="3" r:id="rId1"/>
    <sheet name="Foglio1" sheetId="1" r:id="rId2"/>
    <sheet name="Foglio1 (2)" sheetId="2" r:id="rId3"/>
  </sheets>
  <functionGroups builtInGroupCount="18"/>
  <definedNames>
    <definedName name="_xlnm._FilterDatabase" localSheetId="0" hidden="1">Foglio2!$A$4:$Y$42</definedName>
    <definedName name="solver_adj" localSheetId="1" hidden="1">Foglio1!$E$15</definedName>
    <definedName name="solver_adj" localSheetId="2" hidden="1">'Foglio1 (2)'!$B$9:$B$18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32760</definedName>
    <definedName name="solver_itr" localSheetId="2" hidden="1">2147483647</definedName>
    <definedName name="solver_lhs1" localSheetId="1" hidden="1">Foglio1!$E$15</definedName>
    <definedName name="solver_lhs1" localSheetId="2" hidden="1">'Foglio1 (2)'!$B$19</definedName>
    <definedName name="solver_lhs10" localSheetId="1" hidden="1">Foglio1!$E$20</definedName>
    <definedName name="solver_lhs11" localSheetId="1" hidden="1">Foglio1!$E$15</definedName>
    <definedName name="solver_lhs12" localSheetId="1" hidden="1">Foglio1!$E$15</definedName>
    <definedName name="solver_lhs13" localSheetId="1" hidden="1">Foglio1!$E$17</definedName>
    <definedName name="solver_lhs14" localSheetId="1" hidden="1">Foglio1!$E$17</definedName>
    <definedName name="solver_lhs15" localSheetId="1" hidden="1">Foglio1!$E$17</definedName>
    <definedName name="solver_lhs16" localSheetId="1" hidden="1">Foglio1!$E$19</definedName>
    <definedName name="solver_lhs17" localSheetId="1" hidden="1">Foglio1!$E$14</definedName>
    <definedName name="solver_lhs18" localSheetId="1" hidden="1">Foglio1!$E$14</definedName>
    <definedName name="solver_lhs19" localSheetId="1" hidden="1">Foglio1!$E$15</definedName>
    <definedName name="solver_lhs2" localSheetId="1" hidden="1">Foglio1!$E$15</definedName>
    <definedName name="solver_lhs2" localSheetId="2" hidden="1">'Foglio1 (2)'!$B$20</definedName>
    <definedName name="solver_lhs20" localSheetId="1" hidden="1">Foglio1!$E$15</definedName>
    <definedName name="solver_lhs21" localSheetId="1" hidden="1">Foglio1!$E$15</definedName>
    <definedName name="solver_lhs22" localSheetId="1" hidden="1">Foglio1!$E$16</definedName>
    <definedName name="solver_lhs23" localSheetId="1" hidden="1">Foglio1!$E$16</definedName>
    <definedName name="solver_lhs24" localSheetId="1" hidden="1">Foglio1!$E$16</definedName>
    <definedName name="solver_lhs25" localSheetId="1" hidden="1">Foglio1!$E$17</definedName>
    <definedName name="solver_lhs26" localSheetId="1" hidden="1">Foglio1!$E$17</definedName>
    <definedName name="solver_lhs27" localSheetId="1" hidden="1">Foglio1!$E$17</definedName>
    <definedName name="solver_lhs28" localSheetId="1" hidden="1">Foglio1!$E$18</definedName>
    <definedName name="solver_lhs29" localSheetId="1" hidden="1">Foglio1!$E$18</definedName>
    <definedName name="solver_lhs3" localSheetId="1" hidden="1">Foglio1!$E$15</definedName>
    <definedName name="solver_lhs3" localSheetId="2" hidden="1">'Foglio1 (2)'!$B$21</definedName>
    <definedName name="solver_lhs30" localSheetId="1" hidden="1">Foglio1!$E$18</definedName>
    <definedName name="solver_lhs31" localSheetId="1" hidden="1">Foglio1!$E$22</definedName>
    <definedName name="solver_lhs32" localSheetId="1" hidden="1">Foglio1!$E$23</definedName>
    <definedName name="solver_lhs33" localSheetId="1" hidden="1">Foglio1!$E$21</definedName>
    <definedName name="solver_lhs34" localSheetId="1" hidden="1">Foglio1!$E$22</definedName>
    <definedName name="solver_lhs35" localSheetId="1" hidden="1">Foglio1!$E$23</definedName>
    <definedName name="solver_lhs4" localSheetId="1" hidden="1">Foglio1!$E$20</definedName>
    <definedName name="solver_lhs4" localSheetId="2" hidden="1">'Foglio1 (2)'!$B$22</definedName>
    <definedName name="solver_lhs5" localSheetId="1" hidden="1">Foglio1!$E$12</definedName>
    <definedName name="solver_lhs5" localSheetId="2" hidden="1">'Foglio1 (2)'!$B$23</definedName>
    <definedName name="solver_lhs6" localSheetId="1" hidden="1">Foglio1!$E$12</definedName>
    <definedName name="solver_lhs6" localSheetId="2" hidden="1">'Foglio1 (2)'!$B$9:$B$18</definedName>
    <definedName name="solver_lhs7" localSheetId="1" hidden="1">Foglio1!$E$15</definedName>
    <definedName name="solver_lhs7" localSheetId="2" hidden="1">'Foglio1 (2)'!$B$9:$B$18</definedName>
    <definedName name="solver_lhs8" localSheetId="1" hidden="1">Foglio1!$E$15</definedName>
    <definedName name="solver_lhs8" localSheetId="2" hidden="1">'Foglio1 (2)'!$B$9:$B$18</definedName>
    <definedName name="solver_lhs9" localSheetId="1" hidden="1">Foglio1!$E$15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4</definedName>
    <definedName name="solver_num" localSheetId="2" hidden="1">8</definedName>
    <definedName name="solver_nwt" localSheetId="1" hidden="1">1</definedName>
    <definedName name="solver_nwt" localSheetId="2" hidden="1">1</definedName>
    <definedName name="solver_opt" localSheetId="1" hidden="1">Foglio1!$E$20</definedName>
    <definedName name="solver_opt" localSheetId="2" hidden="1">'Foglio1 (2)'!$B$23</definedName>
    <definedName name="solver_pre" localSheetId="1" hidden="1">0.0001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3</definedName>
    <definedName name="solver_rel10" localSheetId="1" hidden="1">3</definedName>
    <definedName name="solver_rel11" localSheetId="1" hidden="1">3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4</definedName>
    <definedName name="solver_rel16" localSheetId="1" hidden="1">3</definedName>
    <definedName name="solver_rel17" localSheetId="1" hidden="1">3</definedName>
    <definedName name="solver_rel18" localSheetId="1" hidden="1">4</definedName>
    <definedName name="solver_rel19" localSheetId="1" hidden="1">1</definedName>
    <definedName name="solver_rel2" localSheetId="1" hidden="1">3</definedName>
    <definedName name="solver_rel2" localSheetId="2" hidden="1">3</definedName>
    <definedName name="solver_rel20" localSheetId="1" hidden="1">3</definedName>
    <definedName name="solver_rel21" localSheetId="1" hidden="1">4</definedName>
    <definedName name="solver_rel22" localSheetId="1" hidden="1">1</definedName>
    <definedName name="solver_rel23" localSheetId="1" hidden="1">3</definedName>
    <definedName name="solver_rel24" localSheetId="1" hidden="1">4</definedName>
    <definedName name="solver_rel25" localSheetId="1" hidden="1">1</definedName>
    <definedName name="solver_rel26" localSheetId="1" hidden="1">3</definedName>
    <definedName name="solver_rel27" localSheetId="1" hidden="1">4</definedName>
    <definedName name="solver_rel28" localSheetId="1" hidden="1">1</definedName>
    <definedName name="solver_rel29" localSheetId="1" hidden="1">3</definedName>
    <definedName name="solver_rel3" localSheetId="1" hidden="1">4</definedName>
    <definedName name="solver_rel3" localSheetId="2" hidden="1">2</definedName>
    <definedName name="solver_rel30" localSheetId="1" hidden="1">4</definedName>
    <definedName name="solver_rel31" localSheetId="1" hidden="1">2</definedName>
    <definedName name="solver_rel32" localSheetId="1" hidden="1">1</definedName>
    <definedName name="solver_rel33" localSheetId="1" hidden="1">2</definedName>
    <definedName name="solver_rel34" localSheetId="1" hidden="1">2</definedName>
    <definedName name="solver_rel35" localSheetId="1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el5" localSheetId="2" hidden="1">1</definedName>
    <definedName name="solver_rel6" localSheetId="1" hidden="1">4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3</definedName>
    <definedName name="solver_rel8" localSheetId="2" hidden="1">3</definedName>
    <definedName name="solver_rel9" localSheetId="1" hidden="1">4</definedName>
    <definedName name="solver_rhs1" localSheetId="1" hidden="1">2</definedName>
    <definedName name="solver_rhs1" localSheetId="2" hidden="1">4</definedName>
    <definedName name="solver_rhs10" localSheetId="1" hidden="1">2</definedName>
    <definedName name="solver_rhs11" localSheetId="1" hidden="1">0</definedName>
    <definedName name="solver_rhs12" localSheetId="1" hidden="1">intero</definedName>
    <definedName name="solver_rhs13" localSheetId="1" hidden="1">1</definedName>
    <definedName name="solver_rhs14" localSheetId="1" hidden="1">0</definedName>
    <definedName name="solver_rhs15" localSheetId="1" hidden="1">intero</definedName>
    <definedName name="solver_rhs16" localSheetId="1" hidden="1">2</definedName>
    <definedName name="solver_rhs17" localSheetId="1" hidden="1">0</definedName>
    <definedName name="solver_rhs18" localSheetId="1" hidden="1">integer</definedName>
    <definedName name="solver_rhs19" localSheetId="1" hidden="1">4</definedName>
    <definedName name="solver_rhs2" localSheetId="1" hidden="1">0</definedName>
    <definedName name="solver_rhs2" localSheetId="2" hidden="1">3</definedName>
    <definedName name="solver_rhs20" localSheetId="1" hidden="1">0</definedName>
    <definedName name="solver_rhs21" localSheetId="1" hidden="1">integer</definedName>
    <definedName name="solver_rhs22" localSheetId="1" hidden="1">4</definedName>
    <definedName name="solver_rhs23" localSheetId="1" hidden="1">0</definedName>
    <definedName name="solver_rhs24" localSheetId="1" hidden="1">integer</definedName>
    <definedName name="solver_rhs25" localSheetId="1" hidden="1">4</definedName>
    <definedName name="solver_rhs26" localSheetId="1" hidden="1">0</definedName>
    <definedName name="solver_rhs27" localSheetId="1" hidden="1">integer</definedName>
    <definedName name="solver_rhs28" localSheetId="1" hidden="1">4</definedName>
    <definedName name="solver_rhs29" localSheetId="1" hidden="1">0</definedName>
    <definedName name="solver_rhs3" localSheetId="1" hidden="1">intero</definedName>
    <definedName name="solver_rhs3" localSheetId="2" hidden="1">1</definedName>
    <definedName name="solver_rhs30" localSheetId="1" hidden="1">integer</definedName>
    <definedName name="solver_rhs31" localSheetId="1" hidden="1">1</definedName>
    <definedName name="solver_rhs32" localSheetId="1" hidden="1">10</definedName>
    <definedName name="solver_rhs33" localSheetId="1" hidden="1">1</definedName>
    <definedName name="solver_rhs34" localSheetId="1" hidden="1">1</definedName>
    <definedName name="solver_rhs35" localSheetId="1" hidden="1">10</definedName>
    <definedName name="solver_rhs4" localSheetId="1" hidden="1">2</definedName>
    <definedName name="solver_rhs4" localSheetId="2" hidden="1">1</definedName>
    <definedName name="solver_rhs5" localSheetId="1" hidden="1">0</definedName>
    <definedName name="solver_rhs5" localSheetId="2" hidden="1">10</definedName>
    <definedName name="solver_rhs6" localSheetId="1" hidden="1">intero</definedName>
    <definedName name="solver_rhs6" localSheetId="2" hidden="1">4</definedName>
    <definedName name="solver_rhs7" localSheetId="1" hidden="1">2</definedName>
    <definedName name="solver_rhs7" localSheetId="2" hidden="1">intero</definedName>
    <definedName name="solver_rhs8" localSheetId="1" hidden="1">0</definedName>
    <definedName name="solver_rhs8" localSheetId="2" hidden="1">0</definedName>
    <definedName name="solver_rhs9" localSheetId="1" hidden="1">intero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32760</definedName>
    <definedName name="solver_tim" localSheetId="2" hidden="1">2147483647</definedName>
    <definedName name="solver_tol" localSheetId="1" hidden="1">0.02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4" i="3" l="1"/>
  <c r="T43" i="3"/>
  <c r="W43" i="3"/>
  <c r="T45" i="3"/>
  <c r="U45" i="3"/>
  <c r="V45" i="3"/>
  <c r="W45" i="3"/>
  <c r="X45" i="3"/>
  <c r="Y45" i="3"/>
  <c r="S45" i="3"/>
  <c r="T44" i="3"/>
  <c r="U44" i="3"/>
  <c r="V44" i="3"/>
  <c r="W44" i="3"/>
  <c r="X44" i="3"/>
  <c r="Y44" i="3"/>
  <c r="V43" i="3"/>
  <c r="U43" i="3"/>
  <c r="X43" i="3"/>
  <c r="Y43" i="3"/>
  <c r="S43" i="3"/>
  <c r="B22" i="2" l="1"/>
  <c r="B21" i="2"/>
  <c r="B20" i="2"/>
  <c r="B19" i="2"/>
  <c r="B23" i="2" s="1"/>
  <c r="E22" i="1"/>
  <c r="E21" i="1"/>
  <c r="E20" i="1"/>
  <c r="E19" i="1"/>
  <c r="E23" i="1" l="1"/>
</calcChain>
</file>

<file path=xl/sharedStrings.xml><?xml version="1.0" encoding="utf-8"?>
<sst xmlns="http://schemas.openxmlformats.org/spreadsheetml/2006/main" count="470" uniqueCount="105">
  <si>
    <t>lun</t>
  </si>
  <si>
    <t>mar</t>
  </si>
  <si>
    <t>mer</t>
  </si>
  <si>
    <t>gio</t>
  </si>
  <si>
    <t>ven</t>
  </si>
  <si>
    <t>sab</t>
  </si>
  <si>
    <t>dom</t>
  </si>
  <si>
    <t>osa1</t>
  </si>
  <si>
    <t>osa2</t>
  </si>
  <si>
    <t>osa3</t>
  </si>
  <si>
    <t>osa4</t>
  </si>
  <si>
    <t>osa5</t>
  </si>
  <si>
    <t>osa6</t>
  </si>
  <si>
    <t>osa7</t>
  </si>
  <si>
    <t>osa8</t>
  </si>
  <si>
    <t>osa9</t>
  </si>
  <si>
    <t>osa10</t>
  </si>
  <si>
    <t>M</t>
  </si>
  <si>
    <t>P</t>
  </si>
  <si>
    <t>N</t>
  </si>
  <si>
    <t>S</t>
  </si>
  <si>
    <t>DISPONIBILITA</t>
  </si>
  <si>
    <t>TURNO NOTTE</t>
  </si>
  <si>
    <t>PRECEDENTE TURNO N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</si>
  <si>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</si>
  <si>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</si>
  <si>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</si>
  <si>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</si>
  <si>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</si>
  <si>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</si>
  <si>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</si>
  <si>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</si>
  <si>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</si>
  <si>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</si>
  <si>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</si>
  <si>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</si>
  <si>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</si>
  <si>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</si>
  <si>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</si>
  <si>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</si>
  <si>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</si>
  <si>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</si>
  <si>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</si>
  <si>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</si>
  <si>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</si>
  <si>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</si>
  <si>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</si>
  <si>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</si>
  <si>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</si>
  <si>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</si>
  <si>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</si>
  <si>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</si>
  <si>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</si>
  <si>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</si>
  <si>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</si>
  <si>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</si>
  <si>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</si>
  <si>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</si>
  <si>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</si>
  <si>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</si>
  <si>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</si>
  <si>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</si>
  <si>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</si>
  <si>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</si>
  <si>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</si>
  <si>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</si>
  <si>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</si>
  <si>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</si>
  <si>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</si>
  <si>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</si>
  <si>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</si>
  <si>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</si>
  <si>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</si>
  <si>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</si>
  <si>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</si>
  <si>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</si>
  <si>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</si>
  <si>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</si>
  <si>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</si>
  <si>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</si>
  <si>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</si>
  <si>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</si>
  <si>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</si>
  <si>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</si>
  <si>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</si>
  <si>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</si>
  <si>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</si>
  <si>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</si>
  <si>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</si>
  <si>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</si>
  <si>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WEEK</t>
  </si>
  <si>
    <t>ON</t>
  </si>
  <si>
    <t>R</t>
  </si>
  <si>
    <t>OG1</t>
  </si>
  <si>
    <t>Matricola</t>
  </si>
  <si>
    <t>Cognome</t>
  </si>
  <si>
    <t>Nome</t>
  </si>
  <si>
    <t>Sesso</t>
  </si>
  <si>
    <t>Tipo Turno weekPrec.</t>
  </si>
  <si>
    <t>ID Turno weekPrec.</t>
  </si>
  <si>
    <t>Giorni da N</t>
  </si>
  <si>
    <t>Giorni dal R</t>
  </si>
  <si>
    <t>WW  Ultimo turno</t>
  </si>
  <si>
    <t>Tipo Turno</t>
  </si>
  <si>
    <t>Progressivo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</si>
</sst>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3A0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0" fontId="0" fillId="0" borderId="0" xfId="0" applyFont="1" applyFill="1"/>
    <xf numFmtId="0" fontId="1" fillId="0" borderId="0" xfId="0" applyFont="1" applyFill="1"/>
    <xf numFmtId="0" fontId="2" fillId="0" borderId="0" xfId="0" applyFont="1" applyFill="1" applyAlignment="1">
      <alignment textRotation="90"/>
    </xf>
    <xf numFmtId="0" fontId="2" fillId="0" borderId="1" xfId="0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14" fontId="1" fillId="0" borderId="0" xfId="0" applyNumberFormat="1" applyFont="1" applyFill="1"/>
    <xf numFmtId="0" fontId="1" fillId="0" borderId="0" xfId="0" applyFont="1" applyFill="1" applyAlignment="1"/>
    <xf numFmtId="0" fontId="0" fillId="0" borderId="0" xfId="0" applyFont="1" applyFill="1" applyAlignment="1"/>
    <xf numFmtId="0" fontId="2" fillId="4" borderId="0" xfId="0" applyFont="1" applyFill="1" applyAlignment="1">
      <alignment textRotation="90"/>
    </xf>
    <xf numFmtId="0" fontId="3" fillId="3" borderId="0" xfId="0" applyFont="1" applyFill="1" applyAlignment="1">
      <alignment textRotation="90"/>
    </xf>
    <xf numFmtId="0" fontId="2" fillId="4" borderId="0" xfId="0" applyFont="1" applyFill="1" applyAlignment="1"/>
    <xf numFmtId="0" fontId="2" fillId="0" borderId="0" xfId="0" applyFont="1" applyFill="1" applyAlignment="1"/>
    <xf numFmtId="0" fontId="3" fillId="3" borderId="0" xfId="0" applyFont="1" applyFill="1" applyAlignment="1"/>
    <xf numFmtId="0" fontId="0" fillId="4" borderId="0" xfId="0" applyFont="1" applyFill="1" applyAlignment="1"/>
    <xf numFmtId="0" fontId="4" fillId="0" borderId="0" xfId="0" applyFont="1" applyFill="1"/>
    <xf numFmtId="0" fontId="5" fillId="0" borderId="0" xfId="0" applyFont="1" applyFill="1"/>
    <xf numFmtId="0" fontId="6" fillId="0" borderId="0" xfId="0" applyFont="1" applyFill="1"/>
  </cellXfs>
  <cellStyles count="1"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.xml><?xml version="1.0" encoding="utf-8"?>
<formControlPr xmlns="http://schemas.microsoft.com/office/spreadsheetml/2009/9/main" objectType="Drop" dropLines="15" dropStyle="combo" dx="16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8.xml><?xml version="1.0" encoding="utf-8"?>
<formControlPr xmlns="http://schemas.microsoft.com/office/spreadsheetml/2009/9/main" objectType="Drop" dropLines="15" dropStyle="combo" dx="16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0.xml><?xml version="1.0" encoding="utf-8"?>
<formControlPr xmlns="http://schemas.microsoft.com/office/spreadsheetml/2009/9/main" objectType="Drop" dropLines="15" dropStyle="combo" dx="16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2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4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5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6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8.xml><?xml version="1.0" encoding="utf-8"?>
<formControlPr xmlns="http://schemas.microsoft.com/office/spreadsheetml/2009/9/main" objectType="Drop" dropLines="15" dropStyle="combo" dx="16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0.xml><?xml version="1.0" encoding="utf-8"?>
<formControlPr xmlns="http://schemas.microsoft.com/office/spreadsheetml/2009/9/main" objectType="Drop" dropLines="15" dropStyle="combo" dx="16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1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2.xml><?xml version="1.0" encoding="utf-8"?>
<formControlPr xmlns="http://schemas.microsoft.com/office/spreadsheetml/2009/9/main" objectType="Drop" dropLines="15" dropStyle="combo" dx="16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4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5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6.xml><?xml version="1.0" encoding="utf-8"?>
<formControlPr xmlns="http://schemas.microsoft.com/office/spreadsheetml/2009/9/main" objectType="Drop" dropLines="15" dropStyle="combo" dx="16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8.xml><?xml version="1.0" encoding="utf-8"?>
<formControlPr xmlns="http://schemas.microsoft.com/office/spreadsheetml/2009/9/main" objectType="Drop" dropLines="15" dropStyle="combo" dx="16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9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0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2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4.xml><?xml version="1.0" encoding="utf-8"?>
<formControlPr xmlns="http://schemas.microsoft.com/office/spreadsheetml/2009/9/main" objectType="Drop" dropLines="15" dropStyle="combo" dx="16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6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8.xml><?xml version="1.0" encoding="utf-8"?>
<formControlPr xmlns="http://schemas.microsoft.com/office/spreadsheetml/2009/9/main" objectType="Drop" dropLines="15" dropStyle="combo" dx="16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0.xml><?xml version="1.0" encoding="utf-8"?>
<formControlPr xmlns="http://schemas.microsoft.com/office/spreadsheetml/2009/9/main" objectType="Drop" dropLines="15" dropStyle="combo" dx="16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2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3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4.xml><?xml version="1.0" encoding="utf-8"?>
<formControlPr xmlns="http://schemas.microsoft.com/office/spreadsheetml/2009/9/main" objectType="Drop" dropLines="15" dropStyle="combo" dx="16" noThreeD="1" sel="10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5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6.xml><?xml version="1.0" encoding="utf-8"?>
<formControlPr xmlns="http://schemas.microsoft.com/office/spreadsheetml/2009/9/main" objectType="Drop" dropLines="15" dropStyle="combo" dx="16" noThreeD="1" sel="5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7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8.xml><?xml version="1.0" encoding="utf-8"?>
<formControlPr xmlns="http://schemas.microsoft.com/office/spreadsheetml/2009/9/main" objectType="Drop" dropLines="15" dropStyle="combo" dx="16" noThreeD="1" sel="6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9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0.xml><?xml version="1.0" encoding="utf-8"?>
<formControlPr xmlns="http://schemas.microsoft.com/office/spreadsheetml/2009/9/main" objectType="Drop" dropLines="15" dropStyle="combo" dx="16" noThreeD="1" sel="7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2.xml><?xml version="1.0" encoding="utf-8"?>
<formControlPr xmlns="http://schemas.microsoft.com/office/spreadsheetml/2009/9/main" objectType="Drop" dropLines="15" dropStyle="combo" dx="16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4.xml><?xml version="1.0" encoding="utf-8"?>
<formControlPr xmlns="http://schemas.microsoft.com/office/spreadsheetml/2009/9/main" objectType="Drop" dropLines="15" dropStyle="combo" dx="16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5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6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7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8.xml><?xml version="1.0" encoding="utf-8"?>
<formControlPr xmlns="http://schemas.microsoft.com/office/spreadsheetml/2009/9/main" objectType="Drop" dropLines="15" dropStyle="combo" dx="16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0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2.xml><?xml version="1.0" encoding="utf-8"?>
<formControlPr xmlns="http://schemas.microsoft.com/office/spreadsheetml/2009/9/main" objectType="Drop" dropLines="15" dropStyle="combo" dx="16" noThreeD="1" sel="9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4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5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6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8.xml><?xml version="1.0" encoding="utf-8"?>
<formControlPr xmlns="http://schemas.microsoft.com/office/spreadsheetml/2009/9/main" objectType="Drop" dropLines="15" dropStyle="combo" dx="16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0.xml><?xml version="1.0" encoding="utf-8"?>
<formControlPr xmlns="http://schemas.microsoft.com/office/spreadsheetml/2009/9/main" objectType="Drop" dropLines="15" dropStyle="combo" dx="16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1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2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4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6.xml><?xml version="1.0" encoding="utf-8"?>
<formControlPr xmlns="http://schemas.microsoft.com/office/spreadsheetml/2009/9/main" objectType="Drop" dropLines="15" dropStyle="combo" dx="16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4518" name="cb_Tipo_Turno5" hidden="1">
              <a:extLst>
                <a:ext uri="{63B3BB69-23CF-44E3-9099-C40C66FF867C}">
                  <a14:compatExt spid="_x0000_s2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24519" name="cbProgressivo5" hidden="1">
              <a:extLst>
                <a:ext uri="{63B3BB69-23CF-44E3-9099-C40C66FF867C}">
                  <a14:compatExt spid="_x0000_s2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24520" name="cb_Tipo_Turno6" hidden="1">
              <a:extLst>
                <a:ext uri="{63B3BB69-23CF-44E3-9099-C40C66FF867C}">
                  <a14:compatExt spid="_x0000_s24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24521" name="cbProgressivo6" hidden="1">
              <a:extLst>
                <a:ext uri="{63B3BB69-23CF-44E3-9099-C40C66FF867C}">
                  <a14:compatExt spid="_x0000_s24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4522" name="cb_Tipo_Turno7" hidden="1">
              <a:extLst>
                <a:ext uri="{63B3BB69-23CF-44E3-9099-C40C66FF867C}">
                  <a14:compatExt spid="_x0000_s24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24523" name="cbProgressivo7" hidden="1">
              <a:extLst>
                <a:ext uri="{63B3BB69-23CF-44E3-9099-C40C66FF867C}">
                  <a14:compatExt spid="_x0000_s24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24524" name="cb_Tipo_Turno8" hidden="1">
              <a:extLst>
                <a:ext uri="{63B3BB69-23CF-44E3-9099-C40C66FF867C}">
                  <a14:compatExt spid="_x0000_s24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0</xdr:colOff>
          <xdr:row>8</xdr:row>
          <xdr:rowOff>0</xdr:rowOff>
        </xdr:to>
        <xdr:sp macro="" textlink="">
          <xdr:nvSpPr>
            <xdr:cNvPr id="24525" name="cbProgressivo8" hidden="1">
              <a:extLst>
                <a:ext uri="{63B3BB69-23CF-44E3-9099-C40C66FF867C}">
                  <a14:compatExt spid="_x0000_s24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24526" name="cb_Tipo_Turno9" hidden="1">
              <a:extLst>
                <a:ext uri="{63B3BB69-23CF-44E3-9099-C40C66FF867C}">
                  <a14:compatExt spid="_x0000_s24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24527" name="cbProgressivo9" hidden="1">
              <a:extLst>
                <a:ext uri="{63B3BB69-23CF-44E3-9099-C40C66FF867C}">
                  <a14:compatExt spid="_x0000_s24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24528" name="cb_Tipo_Turno10" hidden="1">
              <a:extLst>
                <a:ext uri="{63B3BB69-23CF-44E3-9099-C40C66FF867C}">
                  <a14:compatExt spid="_x0000_s24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0</xdr:colOff>
          <xdr:row>10</xdr:row>
          <xdr:rowOff>0</xdr:rowOff>
        </xdr:to>
        <xdr:sp macro="" textlink="">
          <xdr:nvSpPr>
            <xdr:cNvPr id="24529" name="cbProgressivo10" hidden="1">
              <a:extLst>
                <a:ext uri="{63B3BB69-23CF-44E3-9099-C40C66FF867C}">
                  <a14:compatExt spid="_x0000_s24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24530" name="cb_Tipo_Turno11" hidden="1">
              <a:extLst>
                <a:ext uri="{63B3BB69-23CF-44E3-9099-C40C66FF867C}">
                  <a14:compatExt spid="_x0000_s24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24531" name="cbProgressivo11" hidden="1">
              <a:extLst>
                <a:ext uri="{63B3BB69-23CF-44E3-9099-C40C66FF867C}">
                  <a14:compatExt spid="_x0000_s24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24532" name="cb_Tipo_Turno12" hidden="1">
              <a:extLst>
                <a:ext uri="{63B3BB69-23CF-44E3-9099-C40C66FF867C}">
                  <a14:compatExt spid="_x0000_s24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24533" name="cbProgressivo12" hidden="1">
              <a:extLst>
                <a:ext uri="{63B3BB69-23CF-44E3-9099-C40C66FF867C}">
                  <a14:compatExt spid="_x0000_s24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24534" name="cb_Tipo_Turno13" hidden="1">
              <a:extLst>
                <a:ext uri="{63B3BB69-23CF-44E3-9099-C40C66FF867C}">
                  <a14:compatExt spid="_x0000_s24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24535" name="cbProgressivo13" hidden="1">
              <a:extLst>
                <a:ext uri="{63B3BB69-23CF-44E3-9099-C40C66FF867C}">
                  <a14:compatExt spid="_x0000_s24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24536" name="cb_Tipo_Turno14" hidden="1">
              <a:extLst>
                <a:ext uri="{63B3BB69-23CF-44E3-9099-C40C66FF867C}">
                  <a14:compatExt spid="_x0000_s24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24537" name="cbProgressivo14" hidden="1">
              <a:extLst>
                <a:ext uri="{63B3BB69-23CF-44E3-9099-C40C66FF867C}">
                  <a14:compatExt spid="_x0000_s24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38" name="cb_Tipo_Turno15" hidden="1">
              <a:extLst>
                <a:ext uri="{63B3BB69-23CF-44E3-9099-C40C66FF867C}">
                  <a14:compatExt spid="_x0000_s24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39" name="cbProgressivo15" hidden="1">
              <a:extLst>
                <a:ext uri="{63B3BB69-23CF-44E3-9099-C40C66FF867C}">
                  <a14:compatExt spid="_x0000_s24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24540" name="cb_Tipo_Turno16" hidden="1">
              <a:extLst>
                <a:ext uri="{63B3BB69-23CF-44E3-9099-C40C66FF867C}">
                  <a14:compatExt spid="_x0000_s24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4541" name="cbProgressivo16" hidden="1">
              <a:extLst>
                <a:ext uri="{63B3BB69-23CF-44E3-9099-C40C66FF867C}">
                  <a14:compatExt spid="_x0000_s24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24542" name="cb_Tipo_Turno17" hidden="1">
              <a:extLst>
                <a:ext uri="{63B3BB69-23CF-44E3-9099-C40C66FF867C}">
                  <a14:compatExt spid="_x0000_s24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24543" name="cbProgressivo17" hidden="1">
              <a:extLst>
                <a:ext uri="{63B3BB69-23CF-44E3-9099-C40C66FF867C}">
                  <a14:compatExt spid="_x0000_s24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44" name="cb_Tipo_Turno18" hidden="1">
              <a:extLst>
                <a:ext uri="{63B3BB69-23CF-44E3-9099-C40C66FF867C}">
                  <a14:compatExt spid="_x0000_s24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45" name="cbProgressivo18" hidden="1">
              <a:extLst>
                <a:ext uri="{63B3BB69-23CF-44E3-9099-C40C66FF867C}">
                  <a14:compatExt spid="_x0000_s24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24546" name="cb_Tipo_Turno19" hidden="1">
              <a:extLst>
                <a:ext uri="{63B3BB69-23CF-44E3-9099-C40C66FF867C}">
                  <a14:compatExt spid="_x0000_s24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19</xdr:row>
          <xdr:rowOff>0</xdr:rowOff>
        </xdr:to>
        <xdr:sp macro="" textlink="">
          <xdr:nvSpPr>
            <xdr:cNvPr id="24547" name="cbProgressivo19" hidden="1">
              <a:extLst>
                <a:ext uri="{63B3BB69-23CF-44E3-9099-C40C66FF867C}">
                  <a14:compatExt spid="_x0000_s24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4548" name="cb_Tipo_Turno20" hidden="1">
              <a:extLst>
                <a:ext uri="{63B3BB69-23CF-44E3-9099-C40C66FF867C}">
                  <a14:compatExt spid="_x0000_s24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24549" name="cbProgressivo20" hidden="1">
              <a:extLst>
                <a:ext uri="{63B3BB69-23CF-44E3-9099-C40C66FF867C}">
                  <a14:compatExt spid="_x0000_s24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50" name="cb_Tipo_Turno21" hidden="1">
              <a:extLst>
                <a:ext uri="{63B3BB69-23CF-44E3-9099-C40C66FF867C}">
                  <a14:compatExt spid="_x0000_s24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51" name="cbProgressivo21" hidden="1">
              <a:extLst>
                <a:ext uri="{63B3BB69-23CF-44E3-9099-C40C66FF867C}">
                  <a14:compatExt spid="_x0000_s24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24552" name="cb_Tipo_Turno22" hidden="1">
              <a:extLst>
                <a:ext uri="{63B3BB69-23CF-44E3-9099-C40C66FF867C}">
                  <a14:compatExt spid="_x0000_s2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22</xdr:row>
          <xdr:rowOff>0</xdr:rowOff>
        </xdr:to>
        <xdr:sp macro="" textlink="">
          <xdr:nvSpPr>
            <xdr:cNvPr id="24553" name="cbProgressivo22" hidden="1">
              <a:extLst>
                <a:ext uri="{63B3BB69-23CF-44E3-9099-C40C66FF867C}">
                  <a14:compatExt spid="_x0000_s2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24554" name="cb_Tipo_Turno23" hidden="1">
              <a:extLst>
                <a:ext uri="{63B3BB69-23CF-44E3-9099-C40C66FF867C}">
                  <a14:compatExt spid="_x0000_s2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0</xdr:colOff>
          <xdr:row>23</xdr:row>
          <xdr:rowOff>0</xdr:rowOff>
        </xdr:to>
        <xdr:sp macro="" textlink="">
          <xdr:nvSpPr>
            <xdr:cNvPr id="24555" name="cbProgressivo23" hidden="1">
              <a:extLst>
                <a:ext uri="{63B3BB69-23CF-44E3-9099-C40C66FF867C}">
                  <a14:compatExt spid="_x0000_s24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56" name="cb_Tipo_Turno24" hidden="1">
              <a:extLst>
                <a:ext uri="{63B3BB69-23CF-44E3-9099-C40C66FF867C}">
                  <a14:compatExt spid="_x0000_s24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57" name="cbProgressivo24" hidden="1">
              <a:extLst>
                <a:ext uri="{63B3BB69-23CF-44E3-9099-C40C66FF867C}">
                  <a14:compatExt spid="_x0000_s24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24558" name="cb_Tipo_Turno25" hidden="1">
              <a:extLst>
                <a:ext uri="{63B3BB69-23CF-44E3-9099-C40C66FF867C}">
                  <a14:compatExt spid="_x0000_s2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18</xdr:col>
          <xdr:colOff>0</xdr:colOff>
          <xdr:row>25</xdr:row>
          <xdr:rowOff>0</xdr:rowOff>
        </xdr:to>
        <xdr:sp macro="" textlink="">
          <xdr:nvSpPr>
            <xdr:cNvPr id="24559" name="cbProgressivo25" hidden="1">
              <a:extLst>
                <a:ext uri="{63B3BB69-23CF-44E3-9099-C40C66FF867C}">
                  <a14:compatExt spid="_x0000_s2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24560" name="cb_Tipo_Turno26" hidden="1">
              <a:extLst>
                <a:ext uri="{63B3BB69-23CF-44E3-9099-C40C66FF867C}">
                  <a14:compatExt spid="_x0000_s2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24561" name="cbProgressivo26" hidden="1">
              <a:extLst>
                <a:ext uri="{63B3BB69-23CF-44E3-9099-C40C66FF867C}">
                  <a14:compatExt spid="_x0000_s24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24562" name="cb_Tipo_Turno27" hidden="1">
              <a:extLst>
                <a:ext uri="{63B3BB69-23CF-44E3-9099-C40C66FF867C}">
                  <a14:compatExt spid="_x0000_s24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4563" name="cbProgressivo27" hidden="1">
              <a:extLst>
                <a:ext uri="{63B3BB69-23CF-44E3-9099-C40C66FF867C}">
                  <a14:compatExt spid="_x0000_s24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24564" name="cb_Tipo_Turno28" hidden="1">
              <a:extLst>
                <a:ext uri="{63B3BB69-23CF-44E3-9099-C40C66FF867C}">
                  <a14:compatExt spid="_x0000_s24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24565" name="cbProgressivo28" hidden="1">
              <a:extLst>
                <a:ext uri="{63B3BB69-23CF-44E3-9099-C40C66FF867C}">
                  <a14:compatExt spid="_x0000_s24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24566" name="cb_Tipo_Turno29" hidden="1">
              <a:extLst>
                <a:ext uri="{63B3BB69-23CF-44E3-9099-C40C66FF867C}">
                  <a14:compatExt spid="_x0000_s24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29</xdr:row>
          <xdr:rowOff>0</xdr:rowOff>
        </xdr:to>
        <xdr:sp macro="" textlink="">
          <xdr:nvSpPr>
            <xdr:cNvPr id="24567" name="cbProgressivo29" hidden="1">
              <a:extLst>
                <a:ext uri="{63B3BB69-23CF-44E3-9099-C40C66FF867C}">
                  <a14:compatExt spid="_x0000_s24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24568" name="cb_Tipo_Turno30" hidden="1">
              <a:extLst>
                <a:ext uri="{63B3BB69-23CF-44E3-9099-C40C66FF867C}">
                  <a14:compatExt spid="_x0000_s24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0</xdr:colOff>
          <xdr:row>30</xdr:row>
          <xdr:rowOff>0</xdr:rowOff>
        </xdr:to>
        <xdr:sp macro="" textlink="">
          <xdr:nvSpPr>
            <xdr:cNvPr id="24569" name="cbProgressivo30" hidden="1">
              <a:extLst>
                <a:ext uri="{63B3BB69-23CF-44E3-9099-C40C66FF867C}">
                  <a14:compatExt spid="_x0000_s24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0" name="cb_Tipo_Turno31" hidden="1">
              <a:extLst>
                <a:ext uri="{63B3BB69-23CF-44E3-9099-C40C66FF867C}">
                  <a14:compatExt spid="_x0000_s24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1" name="cbProgressivo31" hidden="1">
              <a:extLst>
                <a:ext uri="{63B3BB69-23CF-44E3-9099-C40C66FF867C}">
                  <a14:compatExt spid="_x0000_s24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24572" name="cb_Tipo_Turno32" hidden="1">
              <a:extLst>
                <a:ext uri="{63B3BB69-23CF-44E3-9099-C40C66FF867C}">
                  <a14:compatExt spid="_x0000_s24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32</xdr:row>
          <xdr:rowOff>0</xdr:rowOff>
        </xdr:to>
        <xdr:sp macro="" textlink="">
          <xdr:nvSpPr>
            <xdr:cNvPr id="24573" name="cbProgressivo32" hidden="1">
              <a:extLst>
                <a:ext uri="{63B3BB69-23CF-44E3-9099-C40C66FF867C}">
                  <a14:compatExt spid="_x0000_s2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24574" name="cb_Tipo_Turno33" hidden="1">
              <a:extLst>
                <a:ext uri="{63B3BB69-23CF-44E3-9099-C40C66FF867C}">
                  <a14:compatExt spid="_x0000_s2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4575" name="cbProgressivo33" hidden="1">
              <a:extLst>
                <a:ext uri="{63B3BB69-23CF-44E3-9099-C40C66FF867C}">
                  <a14:compatExt spid="_x0000_s2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76" name="cb_Tipo_Turno34" hidden="1">
              <a:extLst>
                <a:ext uri="{63B3BB69-23CF-44E3-9099-C40C66FF867C}">
                  <a14:compatExt spid="_x0000_s24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77" name="cbProgressivo34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24578" name="cb_Tipo_Turno35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0</xdr:colOff>
          <xdr:row>35</xdr:row>
          <xdr:rowOff>0</xdr:rowOff>
        </xdr:to>
        <xdr:sp macro="" textlink="">
          <xdr:nvSpPr>
            <xdr:cNvPr id="24579" name="cbProgressivo35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24580" name="cb_Tipo_Turno36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0</xdr:colOff>
          <xdr:row>36</xdr:row>
          <xdr:rowOff>0</xdr:rowOff>
        </xdr:to>
        <xdr:sp macro="" textlink="">
          <xdr:nvSpPr>
            <xdr:cNvPr id="24581" name="cbProgressivo36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4582" name="cb_Tipo_Turno37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4583" name="cbProgressivo3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24584" name="cb_Tipo_Turno3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38</xdr:row>
          <xdr:rowOff>0</xdr:rowOff>
        </xdr:to>
        <xdr:sp macro="" textlink="">
          <xdr:nvSpPr>
            <xdr:cNvPr id="24585" name="cbProgressivo38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24586" name="cb_Tipo_Turno39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24587" name="cbProgressivo39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24588" name="cb_Tipo_Turno40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40</xdr:row>
          <xdr:rowOff>0</xdr:rowOff>
        </xdr:to>
        <xdr:sp macro="" textlink="">
          <xdr:nvSpPr>
            <xdr:cNvPr id="24589" name="cbProgressivo40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4590" name="cb_Tipo_Turno41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4591" name="cbProgressivo41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592" name="cb_Tipo_Turno42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593" name="cbProgressivo42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Y51"/>
  <sheetViews>
    <sheetView tabSelected="1" topLeftCell="A4" zoomScale="80" zoomScaleNormal="80" workbookViewId="0">
      <selection activeCell="A29" sqref="A29"/>
    </sheetView>
  </sheetViews>
  <sheetFormatPr defaultColWidth="12" defaultRowHeight="15" x14ac:dyDescent="0.25"/>
  <cols>
    <col min="1" max="1" width="6.7109375" style="4" bestFit="1" customWidth="1"/>
    <col min="2" max="2" width="13" style="4" bestFit="1" customWidth="1"/>
    <col min="3" max="3" width="18.85546875" style="4" bestFit="1" customWidth="1"/>
    <col min="4" max="4" width="4.5703125" style="4" bestFit="1" customWidth="1"/>
    <col min="5" max="5" width="5.140625" style="4" bestFit="1" customWidth="1"/>
    <col min="6" max="6" width="4.5703125" style="4" bestFit="1" customWidth="1"/>
    <col min="7" max="7" width="9.42578125" style="4" bestFit="1" customWidth="1"/>
    <col min="8" max="14" width="3" style="15" bestFit="1" customWidth="1"/>
    <col min="15" max="16" width="4.5703125" style="15" bestFit="1" customWidth="1"/>
    <col min="17" max="17" width="10.7109375" style="5" customWidth="1"/>
    <col min="18" max="18" width="5.7109375" style="5" customWidth="1"/>
    <col min="19" max="20" width="2.28515625" style="10" bestFit="1" customWidth="1"/>
    <col min="21" max="21" width="2.28515625" style="15" bestFit="1" customWidth="1"/>
    <col min="22" max="22" width="2.28515625" style="5" bestFit="1" customWidth="1"/>
    <col min="23" max="25" width="2.28515625" style="10" bestFit="1" customWidth="1"/>
    <col min="26" max="16384" width="12" style="4"/>
  </cols>
  <sheetData>
    <row r="1" spans="1:25" ht="15.75" thickBot="1" x14ac:dyDescent="0.3">
      <c r="A1" s="3" t="s">
        <v>66</v>
      </c>
      <c r="H1" s="14"/>
      <c r="I1" s="14"/>
      <c r="J1" s="14"/>
      <c r="K1" s="14"/>
      <c r="L1" s="14"/>
      <c r="M1" s="14"/>
      <c r="N1" s="14"/>
      <c r="O1" s="14"/>
      <c r="P1" s="14"/>
      <c r="Q1" s="12"/>
    </row>
    <row r="2" spans="1:25" x14ac:dyDescent="0.25">
      <c r="A2" s="6" t="s">
        <v>89</v>
      </c>
      <c r="B2" s="7">
        <v>2018</v>
      </c>
      <c r="H2" s="16"/>
      <c r="I2" s="16"/>
      <c r="J2" s="16"/>
      <c r="K2" s="16"/>
      <c r="L2" s="16"/>
      <c r="M2" s="16"/>
      <c r="N2" s="16"/>
      <c r="O2" s="16"/>
      <c r="P2" s="16"/>
      <c r="Q2" s="13"/>
    </row>
    <row r="3" spans="1:25" ht="15.75" thickBot="1" x14ac:dyDescent="0.3">
      <c r="A3" s="6" t="s">
        <v>90</v>
      </c>
      <c r="B3" s="8">
        <v>24</v>
      </c>
      <c r="C3" s="3" t="s">
        <v>102</v>
      </c>
    </row>
    <row r="4" spans="1:25" ht="108" x14ac:dyDescent="0.25">
      <c r="A4" s="5" t="s">
        <v>94</v>
      </c>
      <c r="B4" s="5" t="s">
        <v>95</v>
      </c>
      <c r="C4" s="5" t="s">
        <v>96</v>
      </c>
      <c r="D4" s="5" t="s">
        <v>97</v>
      </c>
      <c r="E4" s="5" t="s">
        <v>98</v>
      </c>
      <c r="F4" s="5" t="s">
        <v>99</v>
      </c>
      <c r="G4" s="5"/>
      <c r="H4" s="5"/>
      <c r="I4" s="5"/>
      <c r="J4" s="5"/>
      <c r="K4" s="5"/>
      <c r="L4" s="5"/>
      <c r="M4" s="5"/>
      <c r="N4" s="5"/>
      <c r="O4" s="5" t="s">
        <v>100</v>
      </c>
      <c r="P4" s="5" t="s">
        <v>101</v>
      </c>
      <c r="Q4" s="5" t="s">
        <v>103</v>
      </c>
      <c r="R4" s="5" t="s">
        <v>104</v>
      </c>
      <c r="S4" s="4"/>
      <c r="T4" s="4"/>
      <c r="U4" s="4"/>
      <c r="W4" s="4"/>
      <c r="X4" s="4"/>
      <c r="Y4" s="4"/>
    </row>
    <row r="5" spans="1:25" x14ac:dyDescent="0.25">
      <c r="A5" s="11">
        <v>1</v>
      </c>
      <c r="B5" s="11" t="s">
        <v>24</v>
      </c>
      <c r="C5" s="11" t="s">
        <v>25</v>
      </c>
      <c r="D5" s="11" t="s">
        <v>26</v>
      </c>
      <c r="E5" s="11" t="s">
        <v>93</v>
      </c>
      <c r="F5" s="10">
        <v>12</v>
      </c>
      <c r="G5" s="9">
        <v>43262</v>
      </c>
      <c r="H5" s="4" t="s">
        <v>17</v>
      </c>
      <c r="I5" s="4" t="s">
        <v>18</v>
      </c>
      <c r="J5" s="4" t="s">
        <v>18</v>
      </c>
      <c r="K5" s="4" t="s">
        <v>18</v>
      </c>
      <c r="L5" s="4" t="s">
        <v>17</v>
      </c>
      <c r="M5" s="4" t="s">
        <v>92</v>
      </c>
      <c r="N5" s="4" t="s">
        <v>17</v>
      </c>
      <c r="O5" s="4">
        <v>0</v>
      </c>
      <c r="P5" s="4">
        <v>2</v>
      </c>
      <c r="S5" s="4"/>
      <c r="T5" s="4"/>
      <c r="U5" s="4"/>
      <c r="V5" s="4"/>
      <c r="W5" s="4"/>
      <c r="X5" s="4"/>
      <c r="Y5" s="4"/>
    </row>
    <row r="6" spans="1:25" x14ac:dyDescent="0.25">
      <c r="A6" s="11">
        <v>33</v>
      </c>
      <c r="B6" s="11" t="s">
        <v>27</v>
      </c>
      <c r="C6" s="11"/>
      <c r="D6" s="11"/>
      <c r="E6" s="11" t="s">
        <v>91</v>
      </c>
      <c r="F6" s="10">
        <v>9</v>
      </c>
      <c r="G6" s="9">
        <v>43262</v>
      </c>
      <c r="H6" s="4" t="s">
        <v>17</v>
      </c>
      <c r="I6" s="4" t="s">
        <v>18</v>
      </c>
      <c r="J6" s="4" t="s">
        <v>18</v>
      </c>
      <c r="K6" s="4" t="s">
        <v>17</v>
      </c>
      <c r="L6" s="4" t="s">
        <v>92</v>
      </c>
      <c r="M6" s="4" t="s">
        <v>18</v>
      </c>
      <c r="N6" s="4" t="s">
        <v>17</v>
      </c>
      <c r="O6" s="4">
        <v>0</v>
      </c>
      <c r="P6" s="4">
        <v>3</v>
      </c>
      <c r="S6" s="20"/>
      <c r="T6" s="20"/>
      <c r="U6" s="20"/>
      <c r="V6" s="20"/>
      <c r="W6" s="20"/>
      <c r="X6" s="20"/>
      <c r="Y6" s="20"/>
    </row>
    <row r="7" spans="1:25" x14ac:dyDescent="0.25">
      <c r="A7" s="11">
        <v>2</v>
      </c>
      <c r="B7" s="11" t="s">
        <v>28</v>
      </c>
      <c r="C7" s="11" t="s">
        <v>29</v>
      </c>
      <c r="D7" s="11" t="s">
        <v>26</v>
      </c>
      <c r="E7" s="11" t="s">
        <v>91</v>
      </c>
      <c r="F7" s="10">
        <v>11</v>
      </c>
      <c r="G7" s="9">
        <v>43262</v>
      </c>
      <c r="H7" s="4" t="s">
        <v>17</v>
      </c>
      <c r="I7" s="18" t="s">
        <v>17</v>
      </c>
      <c r="J7" s="4" t="s">
        <v>92</v>
      </c>
      <c r="K7" s="4" t="s">
        <v>17</v>
      </c>
      <c r="L7" s="4" t="s">
        <v>17</v>
      </c>
      <c r="M7" s="4" t="s">
        <v>19</v>
      </c>
      <c r="N7" s="4" t="s">
        <v>20</v>
      </c>
      <c r="O7" s="4">
        <v>2</v>
      </c>
      <c r="P7" s="4">
        <v>5</v>
      </c>
      <c r="S7" s="20"/>
      <c r="T7" s="20"/>
      <c r="U7" s="20"/>
      <c r="V7" s="20"/>
      <c r="W7" s="20"/>
      <c r="X7" s="20"/>
      <c r="Y7" s="20"/>
    </row>
    <row r="8" spans="1:25" x14ac:dyDescent="0.25">
      <c r="A8" s="11">
        <v>37</v>
      </c>
      <c r="B8" s="11" t="s">
        <v>87</v>
      </c>
      <c r="C8" s="11"/>
      <c r="D8" s="11"/>
      <c r="E8" s="11" t="s">
        <v>91</v>
      </c>
      <c r="F8" s="10">
        <v>2</v>
      </c>
      <c r="G8" s="9">
        <v>43262</v>
      </c>
      <c r="H8" s="4" t="s">
        <v>17</v>
      </c>
      <c r="I8" s="4" t="s">
        <v>17</v>
      </c>
      <c r="J8" s="4" t="s">
        <v>18</v>
      </c>
      <c r="K8" s="4" t="s">
        <v>17</v>
      </c>
      <c r="L8" s="4" t="s">
        <v>92</v>
      </c>
      <c r="M8" s="4" t="s">
        <v>92</v>
      </c>
      <c r="N8" s="4" t="s">
        <v>17</v>
      </c>
      <c r="O8" s="4">
        <v>0</v>
      </c>
      <c r="P8" s="4">
        <v>2</v>
      </c>
      <c r="S8" s="4"/>
      <c r="T8" s="4"/>
      <c r="U8" s="4"/>
      <c r="V8" s="4"/>
      <c r="W8" s="4"/>
      <c r="X8" s="4"/>
      <c r="Y8" s="4"/>
    </row>
    <row r="9" spans="1:25" x14ac:dyDescent="0.25">
      <c r="A9" s="11">
        <v>3</v>
      </c>
      <c r="B9" s="11" t="s">
        <v>30</v>
      </c>
      <c r="C9" s="11" t="s">
        <v>31</v>
      </c>
      <c r="D9" s="11" t="s">
        <v>26</v>
      </c>
      <c r="E9" s="11" t="s">
        <v>91</v>
      </c>
      <c r="F9" s="10">
        <v>6</v>
      </c>
      <c r="G9" s="9">
        <v>43262</v>
      </c>
      <c r="H9" s="4" t="s">
        <v>20</v>
      </c>
      <c r="I9" s="4" t="s">
        <v>92</v>
      </c>
      <c r="J9" s="4" t="s">
        <v>18</v>
      </c>
      <c r="K9" s="4" t="s">
        <v>18</v>
      </c>
      <c r="L9" s="4" t="s">
        <v>17</v>
      </c>
      <c r="M9" s="4" t="s">
        <v>17</v>
      </c>
      <c r="N9" s="4" t="s">
        <v>18</v>
      </c>
      <c r="O9" s="4">
        <v>0</v>
      </c>
      <c r="P9" s="4">
        <v>6</v>
      </c>
      <c r="S9" s="20"/>
      <c r="T9" s="20"/>
      <c r="U9" s="20"/>
      <c r="V9" s="20"/>
      <c r="W9" s="20"/>
      <c r="X9" s="20"/>
      <c r="Y9" s="20"/>
    </row>
    <row r="10" spans="1:25" x14ac:dyDescent="0.25">
      <c r="A10" s="11">
        <v>4</v>
      </c>
      <c r="B10" s="11" t="s">
        <v>32</v>
      </c>
      <c r="C10" s="11" t="s">
        <v>33</v>
      </c>
      <c r="D10" s="11" t="s">
        <v>26</v>
      </c>
      <c r="E10" s="11" t="s">
        <v>93</v>
      </c>
      <c r="F10" s="10">
        <v>7</v>
      </c>
      <c r="G10" s="9">
        <v>43262</v>
      </c>
      <c r="H10" s="4" t="s">
        <v>17</v>
      </c>
      <c r="I10" s="4" t="s">
        <v>18</v>
      </c>
      <c r="J10" s="4" t="s">
        <v>17</v>
      </c>
      <c r="K10" s="4" t="s">
        <v>92</v>
      </c>
      <c r="L10" s="4" t="s">
        <v>92</v>
      </c>
      <c r="M10" s="4" t="s">
        <v>18</v>
      </c>
      <c r="N10" s="4" t="s">
        <v>18</v>
      </c>
      <c r="O10" s="4">
        <v>0</v>
      </c>
      <c r="P10" s="4">
        <v>3</v>
      </c>
      <c r="S10" s="4"/>
      <c r="T10" s="4"/>
      <c r="U10" s="4"/>
      <c r="V10" s="4"/>
      <c r="W10" s="4"/>
      <c r="X10" s="4"/>
      <c r="Y10" s="4"/>
    </row>
    <row r="11" spans="1:25" x14ac:dyDescent="0.25">
      <c r="A11" s="11">
        <v>5</v>
      </c>
      <c r="B11" s="11" t="s">
        <v>34</v>
      </c>
      <c r="C11" s="11" t="s">
        <v>35</v>
      </c>
      <c r="D11" s="11" t="s">
        <v>26</v>
      </c>
      <c r="E11" s="11" t="s">
        <v>91</v>
      </c>
      <c r="F11" s="10">
        <v>7</v>
      </c>
      <c r="G11" s="9">
        <v>43262</v>
      </c>
      <c r="H11" s="4" t="s">
        <v>92</v>
      </c>
      <c r="I11" s="4" t="s">
        <v>18</v>
      </c>
      <c r="J11" s="4" t="s">
        <v>17</v>
      </c>
      <c r="K11" s="4" t="s">
        <v>18</v>
      </c>
      <c r="L11" s="4" t="s">
        <v>17</v>
      </c>
      <c r="M11" s="4" t="s">
        <v>17</v>
      </c>
      <c r="N11" s="4" t="s">
        <v>92</v>
      </c>
      <c r="O11" s="4">
        <v>0</v>
      </c>
      <c r="P11" s="4">
        <v>1</v>
      </c>
      <c r="S11" s="4"/>
      <c r="T11" s="4"/>
      <c r="U11" s="4"/>
      <c r="V11" s="4"/>
      <c r="W11" s="4"/>
      <c r="X11" s="4"/>
      <c r="Y11" s="4"/>
    </row>
    <row r="12" spans="1:25" x14ac:dyDescent="0.25">
      <c r="A12" s="17">
        <v>6</v>
      </c>
      <c r="B12" s="11" t="s">
        <v>36</v>
      </c>
      <c r="C12" s="11" t="s">
        <v>37</v>
      </c>
      <c r="D12" s="11" t="s">
        <v>26</v>
      </c>
      <c r="E12" s="11" t="s">
        <v>93</v>
      </c>
      <c r="F12" s="10">
        <v>3</v>
      </c>
      <c r="G12" s="9">
        <v>43262</v>
      </c>
      <c r="H12" s="4" t="s">
        <v>17</v>
      </c>
      <c r="I12" s="4" t="s">
        <v>18</v>
      </c>
      <c r="J12" s="4" t="s">
        <v>92</v>
      </c>
      <c r="K12" s="4" t="s">
        <v>17</v>
      </c>
      <c r="L12" s="4" t="s">
        <v>17</v>
      </c>
      <c r="M12" s="4" t="s">
        <v>18</v>
      </c>
      <c r="N12" s="4" t="s">
        <v>17</v>
      </c>
      <c r="O12" s="4">
        <v>0</v>
      </c>
      <c r="P12" s="4">
        <v>5</v>
      </c>
      <c r="S12" s="4"/>
      <c r="T12" s="4"/>
      <c r="U12" s="4"/>
      <c r="V12" s="4"/>
      <c r="W12" s="4"/>
      <c r="X12" s="4"/>
      <c r="Y12" s="4"/>
    </row>
    <row r="13" spans="1:25" x14ac:dyDescent="0.25">
      <c r="A13" s="11">
        <v>7</v>
      </c>
      <c r="B13" s="11" t="s">
        <v>36</v>
      </c>
      <c r="C13" s="11" t="s">
        <v>38</v>
      </c>
      <c r="D13" s="11" t="s">
        <v>26</v>
      </c>
      <c r="E13" s="11" t="s">
        <v>91</v>
      </c>
      <c r="F13" s="10">
        <v>4</v>
      </c>
      <c r="G13" s="9">
        <v>43262</v>
      </c>
      <c r="H13" s="4" t="s">
        <v>17</v>
      </c>
      <c r="I13" s="4" t="s">
        <v>17</v>
      </c>
      <c r="J13" s="4" t="s">
        <v>18</v>
      </c>
      <c r="K13" s="4" t="s">
        <v>92</v>
      </c>
      <c r="L13" s="4" t="s">
        <v>17</v>
      </c>
      <c r="M13" s="4" t="s">
        <v>18</v>
      </c>
      <c r="N13" s="4" t="s">
        <v>17</v>
      </c>
      <c r="O13" s="4">
        <v>0</v>
      </c>
      <c r="P13" s="4">
        <v>4</v>
      </c>
      <c r="S13" s="4"/>
      <c r="T13" s="4"/>
      <c r="U13" s="4"/>
      <c r="V13" s="4"/>
      <c r="W13" s="4"/>
      <c r="X13" s="4"/>
      <c r="Y13" s="4"/>
    </row>
    <row r="14" spans="1:25" x14ac:dyDescent="0.25">
      <c r="A14" s="11">
        <v>8</v>
      </c>
      <c r="B14" s="11" t="s">
        <v>39</v>
      </c>
      <c r="C14" s="11" t="s">
        <v>40</v>
      </c>
      <c r="D14" s="11" t="s">
        <v>17</v>
      </c>
      <c r="E14" s="11" t="s">
        <v>91</v>
      </c>
      <c r="F14" s="10">
        <v>2</v>
      </c>
      <c r="G14" s="9">
        <v>43262</v>
      </c>
      <c r="H14" s="4" t="s">
        <v>18</v>
      </c>
      <c r="I14" s="4" t="s">
        <v>17</v>
      </c>
      <c r="J14" s="4" t="s">
        <v>17</v>
      </c>
      <c r="K14" s="4" t="s">
        <v>17</v>
      </c>
      <c r="L14" s="4" t="s">
        <v>17</v>
      </c>
      <c r="M14" s="4" t="s">
        <v>92</v>
      </c>
      <c r="N14" s="4" t="s">
        <v>17</v>
      </c>
      <c r="O14" s="4">
        <v>0</v>
      </c>
      <c r="P14" s="4">
        <v>2</v>
      </c>
      <c r="S14" s="20"/>
      <c r="T14" s="20"/>
      <c r="U14" s="20"/>
      <c r="V14" s="20"/>
      <c r="W14" s="20"/>
      <c r="X14" s="20"/>
      <c r="Y14" s="20"/>
    </row>
    <row r="15" spans="1:25" x14ac:dyDescent="0.25">
      <c r="A15" s="11">
        <v>9</v>
      </c>
      <c r="B15" s="11" t="s">
        <v>41</v>
      </c>
      <c r="C15" s="11" t="s">
        <v>42</v>
      </c>
      <c r="D15" s="11" t="s">
        <v>26</v>
      </c>
      <c r="E15" s="11" t="s">
        <v>91</v>
      </c>
      <c r="F15" s="10">
        <v>5</v>
      </c>
      <c r="G15" s="9">
        <v>43262</v>
      </c>
      <c r="H15" s="4" t="s">
        <v>19</v>
      </c>
      <c r="I15" s="4" t="s">
        <v>20</v>
      </c>
      <c r="J15" s="4" t="s">
        <v>92</v>
      </c>
      <c r="K15" s="4" t="s">
        <v>18</v>
      </c>
      <c r="L15" s="4" t="s">
        <v>17</v>
      </c>
      <c r="M15" s="4" t="s">
        <v>17</v>
      </c>
      <c r="N15" s="4" t="s">
        <v>19</v>
      </c>
      <c r="O15" s="4">
        <v>1</v>
      </c>
      <c r="P15" s="4">
        <v>5</v>
      </c>
      <c r="S15" s="20"/>
      <c r="T15" s="20"/>
      <c r="U15" s="20"/>
      <c r="V15" s="20"/>
      <c r="W15" s="20"/>
      <c r="X15" s="20"/>
      <c r="Y15" s="20"/>
    </row>
    <row r="16" spans="1:25" x14ac:dyDescent="0.25">
      <c r="A16" s="11">
        <v>36</v>
      </c>
      <c r="B16" s="11" t="s">
        <v>43</v>
      </c>
      <c r="C16" s="11"/>
      <c r="D16" s="11"/>
      <c r="E16" s="11" t="s">
        <v>91</v>
      </c>
      <c r="F16" s="10">
        <v>10</v>
      </c>
      <c r="G16" s="9">
        <v>43262</v>
      </c>
      <c r="H16" s="4" t="s">
        <v>17</v>
      </c>
      <c r="I16" s="4" t="s">
        <v>19</v>
      </c>
      <c r="J16" s="4" t="s">
        <v>20</v>
      </c>
      <c r="K16" s="4" t="s">
        <v>92</v>
      </c>
      <c r="L16" s="4" t="s">
        <v>18</v>
      </c>
      <c r="M16" s="4" t="s">
        <v>17</v>
      </c>
      <c r="N16" s="4" t="s">
        <v>17</v>
      </c>
      <c r="O16" s="4">
        <v>6</v>
      </c>
      <c r="P16" s="4">
        <v>4</v>
      </c>
      <c r="S16" s="20"/>
      <c r="T16" s="20"/>
      <c r="U16" s="20"/>
      <c r="V16" s="20"/>
      <c r="W16" s="20"/>
      <c r="X16" s="20"/>
      <c r="Y16" s="20"/>
    </row>
    <row r="17" spans="1:25" x14ac:dyDescent="0.25">
      <c r="A17" s="11">
        <v>10</v>
      </c>
      <c r="B17" s="11" t="s">
        <v>44</v>
      </c>
      <c r="C17" s="11" t="s">
        <v>45</v>
      </c>
      <c r="D17" s="11" t="s">
        <v>26</v>
      </c>
      <c r="E17" s="11" t="s">
        <v>93</v>
      </c>
      <c r="F17" s="10">
        <v>11</v>
      </c>
      <c r="G17" s="9">
        <v>43262</v>
      </c>
      <c r="H17" s="4" t="s">
        <v>92</v>
      </c>
      <c r="I17" s="4" t="s">
        <v>17</v>
      </c>
      <c r="J17" s="4" t="s">
        <v>17</v>
      </c>
      <c r="K17" s="4" t="s">
        <v>18</v>
      </c>
      <c r="L17" s="4" t="s">
        <v>17</v>
      </c>
      <c r="M17" s="4" t="s">
        <v>17</v>
      </c>
      <c r="N17" s="4" t="s">
        <v>92</v>
      </c>
      <c r="O17" s="4">
        <v>0</v>
      </c>
      <c r="P17" s="4">
        <v>1</v>
      </c>
      <c r="S17" s="18"/>
      <c r="T17" s="4"/>
      <c r="U17" s="18"/>
      <c r="V17" s="4"/>
      <c r="W17" s="4"/>
      <c r="X17" s="4"/>
      <c r="Y17" s="4"/>
    </row>
    <row r="18" spans="1:25" x14ac:dyDescent="0.25">
      <c r="A18" s="11">
        <v>11</v>
      </c>
      <c r="B18" s="11" t="s">
        <v>46</v>
      </c>
      <c r="C18" s="11" t="s">
        <v>40</v>
      </c>
      <c r="D18" s="11" t="s">
        <v>17</v>
      </c>
      <c r="E18" s="11" t="s">
        <v>91</v>
      </c>
      <c r="F18" s="10">
        <v>5</v>
      </c>
      <c r="G18" s="9">
        <v>43262</v>
      </c>
      <c r="H18" s="4" t="s">
        <v>19</v>
      </c>
      <c r="I18" s="4" t="s">
        <v>20</v>
      </c>
      <c r="J18" s="4" t="s">
        <v>92</v>
      </c>
      <c r="K18" s="4" t="s">
        <v>18</v>
      </c>
      <c r="L18" s="4" t="s">
        <v>17</v>
      </c>
      <c r="M18" s="4" t="s">
        <v>17</v>
      </c>
      <c r="N18" s="4" t="s">
        <v>19</v>
      </c>
      <c r="O18" s="4">
        <v>1</v>
      </c>
      <c r="P18" s="4">
        <v>5</v>
      </c>
      <c r="S18" s="4"/>
      <c r="T18" s="4"/>
      <c r="U18" s="4"/>
      <c r="V18" s="4"/>
      <c r="W18" s="4"/>
      <c r="X18" s="4"/>
      <c r="Y18" s="4"/>
    </row>
    <row r="19" spans="1:25" x14ac:dyDescent="0.25">
      <c r="A19" s="17">
        <v>12</v>
      </c>
      <c r="B19" s="11" t="s">
        <v>47</v>
      </c>
      <c r="C19" s="11" t="s">
        <v>48</v>
      </c>
      <c r="D19" s="11" t="s">
        <v>26</v>
      </c>
      <c r="E19" s="11" t="s">
        <v>93</v>
      </c>
      <c r="F19" s="10">
        <v>3</v>
      </c>
      <c r="G19" s="9">
        <v>43262</v>
      </c>
      <c r="H19" s="4" t="s">
        <v>18</v>
      </c>
      <c r="I19" s="4" t="s">
        <v>17</v>
      </c>
      <c r="J19" s="4" t="s">
        <v>92</v>
      </c>
      <c r="K19" s="4" t="s">
        <v>17</v>
      </c>
      <c r="L19" s="4" t="s">
        <v>17</v>
      </c>
      <c r="M19" s="4" t="s">
        <v>17</v>
      </c>
      <c r="N19" s="4" t="s">
        <v>17</v>
      </c>
      <c r="O19" s="4">
        <v>0</v>
      </c>
      <c r="P19" s="4">
        <v>5</v>
      </c>
      <c r="S19" s="4"/>
      <c r="T19" s="4"/>
      <c r="U19" s="4"/>
      <c r="V19" s="4"/>
      <c r="W19" s="4"/>
      <c r="X19" s="4"/>
      <c r="Y19" s="4"/>
    </row>
    <row r="20" spans="1:25" x14ac:dyDescent="0.25">
      <c r="A20" s="17">
        <v>30</v>
      </c>
      <c r="B20" s="11" t="s">
        <v>47</v>
      </c>
      <c r="C20" s="11" t="s">
        <v>49</v>
      </c>
      <c r="D20" s="11" t="s">
        <v>17</v>
      </c>
      <c r="E20" s="11" t="s">
        <v>93</v>
      </c>
      <c r="F20" s="10">
        <v>7</v>
      </c>
      <c r="G20" s="9">
        <v>43262</v>
      </c>
      <c r="H20" s="4" t="s">
        <v>17</v>
      </c>
      <c r="I20" s="4" t="s">
        <v>17</v>
      </c>
      <c r="J20" s="4" t="s">
        <v>17</v>
      </c>
      <c r="K20" s="4" t="s">
        <v>92</v>
      </c>
      <c r="L20" s="4" t="s">
        <v>92</v>
      </c>
      <c r="M20" s="4" t="s">
        <v>17</v>
      </c>
      <c r="N20" s="4" t="s">
        <v>18</v>
      </c>
      <c r="O20" s="4">
        <v>0</v>
      </c>
      <c r="P20" s="4">
        <v>3</v>
      </c>
      <c r="S20" s="4"/>
      <c r="T20" s="4"/>
      <c r="U20" s="4"/>
      <c r="V20" s="4"/>
      <c r="W20" s="4"/>
      <c r="X20" s="4"/>
      <c r="Y20" s="4"/>
    </row>
    <row r="21" spans="1:25" x14ac:dyDescent="0.25">
      <c r="A21" s="11">
        <v>13</v>
      </c>
      <c r="B21" s="11" t="s">
        <v>50</v>
      </c>
      <c r="C21" s="11"/>
      <c r="D21" s="11" t="s">
        <v>26</v>
      </c>
      <c r="E21" s="11" t="s">
        <v>91</v>
      </c>
      <c r="F21" s="10">
        <v>4</v>
      </c>
      <c r="G21" s="9">
        <v>43262</v>
      </c>
      <c r="H21" s="4" t="s">
        <v>18</v>
      </c>
      <c r="I21" s="4" t="s">
        <v>17</v>
      </c>
      <c r="J21" s="4" t="s">
        <v>18</v>
      </c>
      <c r="K21" s="4" t="s">
        <v>92</v>
      </c>
      <c r="L21" s="4" t="s">
        <v>18</v>
      </c>
      <c r="M21" s="4" t="s">
        <v>17</v>
      </c>
      <c r="N21" s="4" t="s">
        <v>17</v>
      </c>
      <c r="O21" s="4">
        <v>0</v>
      </c>
      <c r="P21" s="4">
        <v>4</v>
      </c>
      <c r="S21" s="20"/>
      <c r="T21" s="20"/>
      <c r="U21" s="20"/>
      <c r="V21" s="20"/>
      <c r="W21" s="20"/>
      <c r="X21" s="20"/>
      <c r="Y21" s="20"/>
    </row>
    <row r="22" spans="1:25" x14ac:dyDescent="0.25">
      <c r="A22" s="11">
        <v>34</v>
      </c>
      <c r="B22" s="11" t="s">
        <v>51</v>
      </c>
      <c r="C22" s="11"/>
      <c r="D22" s="11"/>
      <c r="E22" s="11" t="s">
        <v>91</v>
      </c>
      <c r="F22" s="10">
        <v>11</v>
      </c>
      <c r="G22" s="9">
        <v>43262</v>
      </c>
      <c r="H22" s="4" t="s">
        <v>17</v>
      </c>
      <c r="I22" s="4" t="s">
        <v>17</v>
      </c>
      <c r="J22" s="4" t="s">
        <v>92</v>
      </c>
      <c r="K22" s="4" t="s">
        <v>17</v>
      </c>
      <c r="L22" s="4" t="s">
        <v>17</v>
      </c>
      <c r="M22" s="4" t="s">
        <v>19</v>
      </c>
      <c r="N22" s="4" t="s">
        <v>20</v>
      </c>
      <c r="O22" s="4">
        <v>2</v>
      </c>
      <c r="P22" s="4">
        <v>5</v>
      </c>
      <c r="S22" s="4"/>
      <c r="T22" s="18"/>
      <c r="U22" s="4"/>
      <c r="V22" s="4"/>
      <c r="W22" s="4"/>
      <c r="X22" s="4"/>
      <c r="Y22" s="4"/>
    </row>
    <row r="23" spans="1:25" x14ac:dyDescent="0.25">
      <c r="A23" s="11">
        <v>31</v>
      </c>
      <c r="B23" s="11" t="s">
        <v>52</v>
      </c>
      <c r="C23" s="11" t="s">
        <v>53</v>
      </c>
      <c r="D23" s="11" t="s">
        <v>17</v>
      </c>
      <c r="E23" s="11" t="s">
        <v>91</v>
      </c>
      <c r="F23" s="10">
        <v>8</v>
      </c>
      <c r="G23" s="9">
        <v>43262</v>
      </c>
      <c r="H23" s="4" t="s">
        <v>17</v>
      </c>
      <c r="I23" s="4" t="s">
        <v>17</v>
      </c>
      <c r="J23" s="4" t="s">
        <v>17</v>
      </c>
      <c r="K23" s="4" t="s">
        <v>19</v>
      </c>
      <c r="L23" s="4" t="s">
        <v>20</v>
      </c>
      <c r="M23" s="4" t="s">
        <v>92</v>
      </c>
      <c r="N23" s="4" t="s">
        <v>18</v>
      </c>
      <c r="O23" s="4">
        <v>4</v>
      </c>
      <c r="P23" s="4">
        <v>2</v>
      </c>
      <c r="S23" s="20"/>
      <c r="T23" s="20"/>
      <c r="U23" s="20"/>
      <c r="V23" s="20"/>
      <c r="W23" s="20"/>
      <c r="X23" s="20"/>
      <c r="Y23" s="20"/>
    </row>
    <row r="24" spans="1:25" x14ac:dyDescent="0.25">
      <c r="A24" s="11">
        <v>14</v>
      </c>
      <c r="B24" s="11" t="s">
        <v>54</v>
      </c>
      <c r="C24" s="11" t="s">
        <v>55</v>
      </c>
      <c r="D24" s="11" t="s">
        <v>17</v>
      </c>
      <c r="E24" s="11" t="s">
        <v>91</v>
      </c>
      <c r="F24" s="10">
        <v>6</v>
      </c>
      <c r="G24" s="9">
        <v>43262</v>
      </c>
      <c r="H24" s="4" t="s">
        <v>20</v>
      </c>
      <c r="I24" s="4" t="s">
        <v>92</v>
      </c>
      <c r="J24" s="4" t="s">
        <v>18</v>
      </c>
      <c r="K24" s="4" t="s">
        <v>17</v>
      </c>
      <c r="L24" s="4" t="s">
        <v>17</v>
      </c>
      <c r="M24" s="4" t="s">
        <v>17</v>
      </c>
      <c r="N24" s="4" t="s">
        <v>18</v>
      </c>
      <c r="O24" s="4">
        <v>0</v>
      </c>
      <c r="P24" s="4">
        <v>6</v>
      </c>
      <c r="S24" s="20"/>
      <c r="T24" s="20"/>
      <c r="U24" s="20"/>
      <c r="V24" s="20"/>
      <c r="W24" s="20"/>
      <c r="X24" s="20"/>
      <c r="Y24" s="20"/>
    </row>
    <row r="25" spans="1:25" x14ac:dyDescent="0.25">
      <c r="A25" s="11">
        <v>15</v>
      </c>
      <c r="B25" s="11" t="s">
        <v>56</v>
      </c>
      <c r="C25" s="11" t="s">
        <v>57</v>
      </c>
      <c r="D25" s="11" t="s">
        <v>26</v>
      </c>
      <c r="E25" s="11" t="s">
        <v>93</v>
      </c>
      <c r="F25" s="10">
        <v>10</v>
      </c>
      <c r="G25" s="9">
        <v>43262</v>
      </c>
      <c r="H25" s="4" t="s">
        <v>17</v>
      </c>
      <c r="I25" s="4" t="s">
        <v>92</v>
      </c>
      <c r="J25" s="4" t="s">
        <v>92</v>
      </c>
      <c r="K25" s="4" t="s">
        <v>17</v>
      </c>
      <c r="L25" s="4" t="s">
        <v>18</v>
      </c>
      <c r="M25" s="4" t="s">
        <v>17</v>
      </c>
      <c r="N25" s="4" t="s">
        <v>17</v>
      </c>
      <c r="O25" s="4">
        <v>0</v>
      </c>
      <c r="P25" s="4">
        <v>5</v>
      </c>
      <c r="S25" s="4"/>
      <c r="T25" s="4"/>
      <c r="U25" s="4"/>
      <c r="V25" s="4"/>
      <c r="W25" s="4"/>
      <c r="X25" s="4"/>
      <c r="Y25" s="4"/>
    </row>
    <row r="26" spans="1:25" x14ac:dyDescent="0.25">
      <c r="A26" s="17">
        <v>16</v>
      </c>
      <c r="B26" s="11" t="s">
        <v>58</v>
      </c>
      <c r="C26" s="11" t="s">
        <v>31</v>
      </c>
      <c r="D26" s="11" t="s">
        <v>26</v>
      </c>
      <c r="E26" s="11" t="s">
        <v>93</v>
      </c>
      <c r="F26" s="10">
        <v>9</v>
      </c>
      <c r="G26" s="9">
        <v>43262</v>
      </c>
      <c r="H26" s="4" t="s">
        <v>18</v>
      </c>
      <c r="I26" s="4" t="s">
        <v>17</v>
      </c>
      <c r="J26" s="4" t="s">
        <v>92</v>
      </c>
      <c r="K26" s="4" t="s">
        <v>17</v>
      </c>
      <c r="L26" s="4" t="s">
        <v>17</v>
      </c>
      <c r="M26" s="4" t="s">
        <v>18</v>
      </c>
      <c r="N26" s="4" t="s">
        <v>17</v>
      </c>
      <c r="O26" s="4">
        <v>0</v>
      </c>
      <c r="P26" s="4">
        <v>5</v>
      </c>
      <c r="S26" s="4"/>
      <c r="T26" s="4"/>
      <c r="U26" s="4"/>
      <c r="V26" s="4"/>
      <c r="W26" s="4"/>
      <c r="X26" s="4"/>
      <c r="Y26" s="4"/>
    </row>
    <row r="27" spans="1:25" x14ac:dyDescent="0.25">
      <c r="A27" s="17">
        <v>17</v>
      </c>
      <c r="B27" s="11" t="s">
        <v>58</v>
      </c>
      <c r="C27" s="11" t="s">
        <v>59</v>
      </c>
      <c r="D27" s="11" t="s">
        <v>26</v>
      </c>
      <c r="E27" s="11" t="s">
        <v>93</v>
      </c>
      <c r="F27" s="10">
        <v>4</v>
      </c>
      <c r="G27" s="9">
        <v>43262</v>
      </c>
      <c r="H27" s="4" t="s">
        <v>17</v>
      </c>
      <c r="I27" s="4" t="s">
        <v>92</v>
      </c>
      <c r="J27" s="4" t="s">
        <v>92</v>
      </c>
      <c r="K27" s="4" t="s">
        <v>17</v>
      </c>
      <c r="L27" s="4" t="s">
        <v>18</v>
      </c>
      <c r="M27" s="4" t="s">
        <v>17</v>
      </c>
      <c r="N27" s="4" t="s">
        <v>17</v>
      </c>
      <c r="O27" s="4">
        <v>0</v>
      </c>
      <c r="P27" s="4">
        <v>5</v>
      </c>
      <c r="S27" s="4"/>
      <c r="T27" s="4"/>
      <c r="U27" s="4"/>
      <c r="V27" s="4"/>
      <c r="W27" s="4"/>
      <c r="X27" s="4"/>
      <c r="Y27" s="4"/>
    </row>
    <row r="28" spans="1:25" x14ac:dyDescent="0.25">
      <c r="A28" s="17">
        <v>19</v>
      </c>
      <c r="B28" s="11" t="s">
        <v>60</v>
      </c>
      <c r="C28" s="11" t="s">
        <v>62</v>
      </c>
      <c r="D28" s="11" t="s">
        <v>26</v>
      </c>
      <c r="E28" s="11" t="s">
        <v>93</v>
      </c>
      <c r="F28" s="10">
        <v>5</v>
      </c>
      <c r="G28" s="9">
        <v>43262</v>
      </c>
      <c r="H28" s="4" t="s">
        <v>92</v>
      </c>
      <c r="I28" s="4" t="s">
        <v>17</v>
      </c>
      <c r="J28" s="4" t="s">
        <v>17</v>
      </c>
      <c r="K28" s="4" t="s">
        <v>18</v>
      </c>
      <c r="L28" s="4" t="s">
        <v>17</v>
      </c>
      <c r="M28" s="4" t="s">
        <v>17</v>
      </c>
      <c r="N28" s="4" t="s">
        <v>92</v>
      </c>
      <c r="O28" s="4">
        <v>0</v>
      </c>
      <c r="P28" s="4">
        <v>1</v>
      </c>
      <c r="S28" s="4"/>
      <c r="T28" s="4"/>
      <c r="U28" s="4"/>
      <c r="V28" s="4"/>
      <c r="W28" s="4"/>
      <c r="X28" s="4"/>
      <c r="Y28" s="4"/>
    </row>
    <row r="29" spans="1:25" x14ac:dyDescent="0.25">
      <c r="A29" s="17">
        <v>18</v>
      </c>
      <c r="B29" s="11" t="s">
        <v>60</v>
      </c>
      <c r="C29" s="11" t="s">
        <v>61</v>
      </c>
      <c r="D29" s="11" t="s">
        <v>17</v>
      </c>
      <c r="E29" s="11" t="s">
        <v>93</v>
      </c>
      <c r="F29" s="10">
        <v>6</v>
      </c>
      <c r="G29" s="9">
        <v>43262</v>
      </c>
      <c r="H29" s="4" t="s">
        <v>92</v>
      </c>
      <c r="I29" s="4" t="s">
        <v>17</v>
      </c>
      <c r="J29" s="4" t="s">
        <v>17</v>
      </c>
      <c r="K29" s="4" t="s">
        <v>17</v>
      </c>
      <c r="L29" s="4" t="s">
        <v>17</v>
      </c>
      <c r="M29" s="4" t="s">
        <v>92</v>
      </c>
      <c r="N29" s="4" t="s">
        <v>17</v>
      </c>
      <c r="O29" s="4">
        <v>0</v>
      </c>
      <c r="P29" s="4">
        <v>2</v>
      </c>
      <c r="S29" s="4"/>
      <c r="T29" s="4"/>
      <c r="U29" s="4"/>
      <c r="V29" s="4"/>
      <c r="W29" s="4"/>
      <c r="X29" s="4"/>
      <c r="Y29" s="4"/>
    </row>
    <row r="30" spans="1:25" x14ac:dyDescent="0.25">
      <c r="A30" s="11">
        <v>20</v>
      </c>
      <c r="B30" s="11" t="s">
        <v>63</v>
      </c>
      <c r="C30" s="11" t="s">
        <v>64</v>
      </c>
      <c r="D30" s="11" t="s">
        <v>26</v>
      </c>
      <c r="E30" s="11" t="s">
        <v>93</v>
      </c>
      <c r="F30" s="10">
        <v>11</v>
      </c>
      <c r="G30" s="9">
        <v>43262</v>
      </c>
      <c r="H30" s="4" t="s">
        <v>92</v>
      </c>
      <c r="I30" s="4" t="s">
        <v>17</v>
      </c>
      <c r="J30" s="4" t="s">
        <v>17</v>
      </c>
      <c r="K30" s="4" t="s">
        <v>18</v>
      </c>
      <c r="L30" s="4" t="s">
        <v>17</v>
      </c>
      <c r="M30" s="4" t="s">
        <v>17</v>
      </c>
      <c r="N30" s="4" t="s">
        <v>92</v>
      </c>
      <c r="O30" s="4">
        <v>0</v>
      </c>
      <c r="P30" s="4">
        <v>1</v>
      </c>
      <c r="S30" s="4"/>
      <c r="T30" s="4"/>
      <c r="U30" s="4"/>
      <c r="V30" s="4"/>
      <c r="W30" s="4"/>
      <c r="X30" s="4"/>
      <c r="Y30" s="4"/>
    </row>
    <row r="31" spans="1:25" x14ac:dyDescent="0.25">
      <c r="A31" s="11">
        <v>35</v>
      </c>
      <c r="B31" s="11" t="s">
        <v>65</v>
      </c>
      <c r="C31" s="11" t="s">
        <v>66</v>
      </c>
      <c r="D31" s="11" t="s">
        <v>66</v>
      </c>
      <c r="E31" s="11" t="s">
        <v>91</v>
      </c>
      <c r="F31" s="10">
        <v>1</v>
      </c>
      <c r="G31" s="9">
        <v>43262</v>
      </c>
      <c r="H31" s="4" t="s">
        <v>92</v>
      </c>
      <c r="I31" s="4" t="s">
        <v>18</v>
      </c>
      <c r="J31" s="4" t="s">
        <v>17</v>
      </c>
      <c r="K31" s="4" t="s">
        <v>17</v>
      </c>
      <c r="L31" s="4" t="s">
        <v>19</v>
      </c>
      <c r="M31" s="4" t="s">
        <v>20</v>
      </c>
      <c r="N31" s="4" t="s">
        <v>92</v>
      </c>
      <c r="O31" s="4">
        <v>3</v>
      </c>
      <c r="P31" s="4">
        <v>1</v>
      </c>
      <c r="S31" s="4"/>
      <c r="T31" s="4"/>
      <c r="U31" s="4"/>
      <c r="V31" s="4"/>
      <c r="W31" s="4"/>
      <c r="X31" s="4"/>
      <c r="Y31" s="4"/>
    </row>
    <row r="32" spans="1:25" x14ac:dyDescent="0.25">
      <c r="A32" s="11">
        <v>32</v>
      </c>
      <c r="B32" s="11" t="s">
        <v>67</v>
      </c>
      <c r="C32" s="11" t="s">
        <v>68</v>
      </c>
      <c r="D32" s="11" t="s">
        <v>17</v>
      </c>
      <c r="E32" s="11" t="s">
        <v>93</v>
      </c>
      <c r="F32" s="10">
        <v>10</v>
      </c>
      <c r="G32" s="9">
        <v>43262</v>
      </c>
      <c r="H32" s="4" t="s">
        <v>17</v>
      </c>
      <c r="I32" s="4" t="s">
        <v>92</v>
      </c>
      <c r="J32" s="4" t="s">
        <v>92</v>
      </c>
      <c r="K32" s="4" t="s">
        <v>17</v>
      </c>
      <c r="L32" s="4" t="s">
        <v>18</v>
      </c>
      <c r="M32" s="4" t="s">
        <v>17</v>
      </c>
      <c r="N32" s="4" t="s">
        <v>17</v>
      </c>
      <c r="O32" s="4">
        <v>0</v>
      </c>
      <c r="P32" s="4">
        <v>5</v>
      </c>
      <c r="S32" s="19"/>
      <c r="T32" s="19"/>
      <c r="U32" s="19"/>
      <c r="V32" s="4"/>
      <c r="W32" s="4"/>
      <c r="X32" s="4"/>
      <c r="Y32" s="4"/>
    </row>
    <row r="33" spans="1:25" x14ac:dyDescent="0.25">
      <c r="A33" s="11">
        <v>21</v>
      </c>
      <c r="B33" s="11" t="s">
        <v>69</v>
      </c>
      <c r="C33" s="11" t="s">
        <v>70</v>
      </c>
      <c r="D33" s="11" t="s">
        <v>17</v>
      </c>
      <c r="E33" s="11" t="s">
        <v>93</v>
      </c>
      <c r="F33" s="10">
        <v>2</v>
      </c>
      <c r="G33" s="9">
        <v>43262</v>
      </c>
      <c r="H33" s="4" t="s">
        <v>18</v>
      </c>
      <c r="I33" s="4" t="s">
        <v>17</v>
      </c>
      <c r="J33" s="4" t="s">
        <v>92</v>
      </c>
      <c r="K33" s="4" t="s">
        <v>92</v>
      </c>
      <c r="L33" s="4" t="s">
        <v>18</v>
      </c>
      <c r="M33" s="4" t="s">
        <v>17</v>
      </c>
      <c r="N33" s="4" t="s">
        <v>18</v>
      </c>
      <c r="O33" s="4">
        <v>0</v>
      </c>
      <c r="P33" s="4">
        <v>4</v>
      </c>
      <c r="S33" s="4"/>
      <c r="T33" s="4"/>
      <c r="U33" s="4"/>
      <c r="V33" s="4"/>
      <c r="W33" s="4"/>
      <c r="X33" s="4"/>
      <c r="Y33" s="4"/>
    </row>
    <row r="34" spans="1:25" x14ac:dyDescent="0.25">
      <c r="A34" s="11">
        <v>22</v>
      </c>
      <c r="B34" s="11" t="s">
        <v>71</v>
      </c>
      <c r="C34" s="11" t="s">
        <v>72</v>
      </c>
      <c r="D34" s="11" t="s">
        <v>26</v>
      </c>
      <c r="E34" s="11" t="s">
        <v>91</v>
      </c>
      <c r="F34" s="10">
        <v>10</v>
      </c>
      <c r="G34" s="9">
        <v>43262</v>
      </c>
      <c r="H34" s="4" t="s">
        <v>17</v>
      </c>
      <c r="I34" s="4" t="s">
        <v>19</v>
      </c>
      <c r="J34" s="4" t="s">
        <v>20</v>
      </c>
      <c r="K34" s="4" t="s">
        <v>92</v>
      </c>
      <c r="L34" s="4" t="s">
        <v>18</v>
      </c>
      <c r="M34" s="4" t="s">
        <v>17</v>
      </c>
      <c r="N34" s="4" t="s">
        <v>17</v>
      </c>
      <c r="O34" s="4">
        <v>6</v>
      </c>
      <c r="P34" s="4">
        <v>4</v>
      </c>
      <c r="S34" s="20"/>
      <c r="T34" s="20"/>
      <c r="U34" s="20"/>
      <c r="V34" s="20"/>
      <c r="W34" s="20"/>
      <c r="X34" s="20"/>
      <c r="Y34" s="20"/>
    </row>
    <row r="35" spans="1:25" x14ac:dyDescent="0.25">
      <c r="A35" s="11">
        <v>23</v>
      </c>
      <c r="B35" s="11" t="s">
        <v>73</v>
      </c>
      <c r="C35" s="11" t="s">
        <v>74</v>
      </c>
      <c r="D35" s="11" t="s">
        <v>17</v>
      </c>
      <c r="E35" s="11" t="s">
        <v>93</v>
      </c>
      <c r="F35" s="10">
        <v>8</v>
      </c>
      <c r="G35" s="9">
        <v>43262</v>
      </c>
      <c r="H35" s="4" t="s">
        <v>18</v>
      </c>
      <c r="I35" s="4" t="s">
        <v>17</v>
      </c>
      <c r="J35" s="4" t="s">
        <v>18</v>
      </c>
      <c r="K35" s="4" t="s">
        <v>92</v>
      </c>
      <c r="L35" s="4" t="s">
        <v>18</v>
      </c>
      <c r="M35" s="4" t="s">
        <v>17</v>
      </c>
      <c r="N35" s="4" t="s">
        <v>18</v>
      </c>
      <c r="O35" s="4">
        <v>0</v>
      </c>
      <c r="P35" s="4">
        <v>4</v>
      </c>
      <c r="S35" s="4"/>
      <c r="T35" s="4"/>
      <c r="U35" s="4"/>
      <c r="V35" s="4"/>
      <c r="W35" s="4"/>
      <c r="X35" s="4"/>
      <c r="Y35" s="4"/>
    </row>
    <row r="36" spans="1:25" x14ac:dyDescent="0.25">
      <c r="A36" s="11">
        <v>38</v>
      </c>
      <c r="B36" s="11" t="s">
        <v>88</v>
      </c>
      <c r="C36" s="11"/>
      <c r="D36" s="11"/>
      <c r="E36" s="11" t="s">
        <v>91</v>
      </c>
      <c r="F36" s="10">
        <v>7</v>
      </c>
      <c r="G36" s="9">
        <v>43262</v>
      </c>
      <c r="H36" s="4" t="s">
        <v>92</v>
      </c>
      <c r="I36" s="4" t="s">
        <v>17</v>
      </c>
      <c r="J36" s="4" t="s">
        <v>17</v>
      </c>
      <c r="K36" s="4" t="s">
        <v>18</v>
      </c>
      <c r="L36" s="4" t="s">
        <v>18</v>
      </c>
      <c r="M36" s="4" t="s">
        <v>17</v>
      </c>
      <c r="N36" s="4" t="s">
        <v>92</v>
      </c>
      <c r="O36" s="4">
        <v>0</v>
      </c>
      <c r="P36" s="4">
        <v>1</v>
      </c>
      <c r="S36" s="19"/>
      <c r="T36" s="4"/>
      <c r="U36" s="4"/>
      <c r="V36" s="4"/>
      <c r="W36" s="4"/>
      <c r="X36" s="4"/>
      <c r="Y36" s="4"/>
    </row>
    <row r="37" spans="1:25" x14ac:dyDescent="0.25">
      <c r="A37" s="11">
        <v>24</v>
      </c>
      <c r="B37" s="11" t="s">
        <v>75</v>
      </c>
      <c r="C37" s="11" t="s">
        <v>76</v>
      </c>
      <c r="D37" s="11" t="s">
        <v>17</v>
      </c>
      <c r="E37" s="11" t="s">
        <v>93</v>
      </c>
      <c r="F37" s="10">
        <v>3</v>
      </c>
      <c r="G37" s="9">
        <v>43262</v>
      </c>
      <c r="H37" s="4" t="s">
        <v>18</v>
      </c>
      <c r="I37" s="4" t="s">
        <v>18</v>
      </c>
      <c r="J37" s="4" t="s">
        <v>92</v>
      </c>
      <c r="K37" s="4" t="s">
        <v>17</v>
      </c>
      <c r="L37" s="4" t="s">
        <v>17</v>
      </c>
      <c r="M37" s="4" t="s">
        <v>18</v>
      </c>
      <c r="N37" s="4" t="s">
        <v>17</v>
      </c>
      <c r="O37" s="4">
        <v>0</v>
      </c>
      <c r="P37" s="4">
        <v>5</v>
      </c>
      <c r="S37" s="4"/>
      <c r="T37" s="19"/>
      <c r="U37" s="4"/>
      <c r="V37" s="4"/>
      <c r="W37" s="4"/>
      <c r="X37" s="4"/>
      <c r="Y37" s="4"/>
    </row>
    <row r="38" spans="1:25" x14ac:dyDescent="0.25">
      <c r="A38" s="11">
        <v>25</v>
      </c>
      <c r="B38" s="11" t="s">
        <v>77</v>
      </c>
      <c r="C38" s="11" t="s">
        <v>78</v>
      </c>
      <c r="D38" s="11" t="s">
        <v>26</v>
      </c>
      <c r="E38" s="11" t="s">
        <v>91</v>
      </c>
      <c r="F38" s="10">
        <v>9</v>
      </c>
      <c r="G38" s="9">
        <v>43262</v>
      </c>
      <c r="H38" s="4" t="s">
        <v>17</v>
      </c>
      <c r="I38" s="4" t="s">
        <v>18</v>
      </c>
      <c r="J38" s="4" t="s">
        <v>18</v>
      </c>
      <c r="K38" s="4" t="s">
        <v>17</v>
      </c>
      <c r="L38" s="4" t="s">
        <v>92</v>
      </c>
      <c r="M38" s="4" t="s">
        <v>18</v>
      </c>
      <c r="N38" s="4" t="s">
        <v>18</v>
      </c>
      <c r="O38" s="4">
        <v>0</v>
      </c>
      <c r="P38" s="4">
        <v>3</v>
      </c>
      <c r="S38" s="4"/>
      <c r="T38" s="4"/>
      <c r="U38" s="4"/>
      <c r="V38" s="4"/>
      <c r="W38" s="4"/>
      <c r="X38" s="4"/>
      <c r="Y38" s="4"/>
    </row>
    <row r="39" spans="1:25" x14ac:dyDescent="0.25">
      <c r="A39" s="11">
        <v>26</v>
      </c>
      <c r="B39" s="11" t="s">
        <v>79</v>
      </c>
      <c r="C39" s="11" t="s">
        <v>80</v>
      </c>
      <c r="D39" s="11" t="s">
        <v>17</v>
      </c>
      <c r="E39" s="11" t="s">
        <v>91</v>
      </c>
      <c r="F39" s="10">
        <v>1</v>
      </c>
      <c r="G39" s="9">
        <v>43262</v>
      </c>
      <c r="H39" s="4" t="s">
        <v>92</v>
      </c>
      <c r="I39" s="4" t="s">
        <v>18</v>
      </c>
      <c r="J39" s="4" t="s">
        <v>17</v>
      </c>
      <c r="K39" s="4" t="s">
        <v>17</v>
      </c>
      <c r="L39" s="4" t="s">
        <v>19</v>
      </c>
      <c r="M39" s="4" t="s">
        <v>20</v>
      </c>
      <c r="N39" s="4" t="s">
        <v>92</v>
      </c>
      <c r="O39" s="4">
        <v>3</v>
      </c>
      <c r="P39" s="4">
        <v>1</v>
      </c>
      <c r="S39" s="20"/>
      <c r="T39" s="20"/>
      <c r="U39" s="20"/>
      <c r="V39" s="20"/>
      <c r="W39" s="20"/>
      <c r="X39" s="20"/>
      <c r="Y39" s="20"/>
    </row>
    <row r="40" spans="1:25" x14ac:dyDescent="0.25">
      <c r="A40" s="11">
        <v>27</v>
      </c>
      <c r="B40" s="11" t="s">
        <v>81</v>
      </c>
      <c r="C40" s="11" t="s">
        <v>82</v>
      </c>
      <c r="D40" s="11" t="s">
        <v>26</v>
      </c>
      <c r="E40" s="11" t="s">
        <v>91</v>
      </c>
      <c r="F40" s="10">
        <v>3</v>
      </c>
      <c r="G40" s="9">
        <v>43262</v>
      </c>
      <c r="H40" s="4" t="s">
        <v>18</v>
      </c>
      <c r="I40" s="4" t="s">
        <v>17</v>
      </c>
      <c r="J40" s="4" t="s">
        <v>19</v>
      </c>
      <c r="K40" s="4" t="s">
        <v>20</v>
      </c>
      <c r="L40" s="4" t="s">
        <v>92</v>
      </c>
      <c r="M40" s="4" t="s">
        <v>18</v>
      </c>
      <c r="N40" s="4" t="s">
        <v>17</v>
      </c>
      <c r="O40" s="4">
        <v>5</v>
      </c>
      <c r="P40" s="4">
        <v>3</v>
      </c>
      <c r="S40" s="20"/>
      <c r="T40" s="20"/>
      <c r="U40" s="20"/>
      <c r="V40" s="20"/>
      <c r="W40" s="20"/>
      <c r="X40" s="20"/>
      <c r="Y40" s="20"/>
    </row>
    <row r="41" spans="1:25" x14ac:dyDescent="0.25">
      <c r="A41" s="11">
        <v>28</v>
      </c>
      <c r="B41" s="11" t="s">
        <v>83</v>
      </c>
      <c r="C41" s="11" t="s">
        <v>84</v>
      </c>
      <c r="D41" s="11" t="s">
        <v>26</v>
      </c>
      <c r="E41" s="11" t="s">
        <v>91</v>
      </c>
      <c r="F41" s="10">
        <v>3</v>
      </c>
      <c r="G41" s="9">
        <v>43262</v>
      </c>
      <c r="H41" s="4" t="s">
        <v>18</v>
      </c>
      <c r="I41" s="4" t="s">
        <v>17</v>
      </c>
      <c r="J41" s="4" t="s">
        <v>19</v>
      </c>
      <c r="K41" s="4" t="s">
        <v>20</v>
      </c>
      <c r="L41" s="4" t="s">
        <v>92</v>
      </c>
      <c r="M41" s="4" t="s">
        <v>18</v>
      </c>
      <c r="N41" s="4" t="s">
        <v>17</v>
      </c>
      <c r="O41" s="4">
        <v>5</v>
      </c>
      <c r="P41" s="4">
        <v>3</v>
      </c>
      <c r="S41" s="20"/>
      <c r="T41" s="20"/>
      <c r="U41" s="20"/>
      <c r="V41" s="20"/>
      <c r="W41" s="20"/>
      <c r="X41" s="20"/>
      <c r="Y41" s="20"/>
    </row>
    <row r="42" spans="1:25" x14ac:dyDescent="0.25">
      <c r="A42" s="11">
        <v>29</v>
      </c>
      <c r="B42" s="11" t="s">
        <v>85</v>
      </c>
      <c r="C42" s="11" t="s">
        <v>86</v>
      </c>
      <c r="D42" s="11" t="s">
        <v>26</v>
      </c>
      <c r="E42" s="11" t="s">
        <v>91</v>
      </c>
      <c r="F42" s="10">
        <v>8</v>
      </c>
      <c r="G42" s="9">
        <v>43262</v>
      </c>
      <c r="H42" s="4" t="s">
        <v>17</v>
      </c>
      <c r="I42" s="4" t="s">
        <v>17</v>
      </c>
      <c r="J42" s="4" t="s">
        <v>17</v>
      </c>
      <c r="K42" s="4" t="s">
        <v>19</v>
      </c>
      <c r="L42" s="4" t="s">
        <v>20</v>
      </c>
      <c r="M42" s="4" t="s">
        <v>92</v>
      </c>
      <c r="N42" s="4" t="s">
        <v>18</v>
      </c>
      <c r="O42" s="4">
        <v>4</v>
      </c>
      <c r="P42" s="4">
        <v>2</v>
      </c>
      <c r="S42" s="18"/>
      <c r="T42" s="4"/>
      <c r="U42" s="4"/>
      <c r="V42" s="4"/>
      <c r="W42" s="4"/>
      <c r="X42" s="4"/>
      <c r="Y42" s="4"/>
    </row>
    <row r="43" spans="1:25" x14ac:dyDescent="0.25">
      <c r="A43" s="10"/>
      <c r="B43" s="15"/>
      <c r="C43" s="10"/>
      <c r="D43" s="10"/>
      <c r="E43" s="10"/>
      <c r="F43" s="10"/>
      <c r="H43" s="4"/>
      <c r="I43" s="4"/>
      <c r="J43" s="4"/>
      <c r="K43" s="4"/>
      <c r="L43" s="4"/>
      <c r="M43" s="4"/>
      <c r="N43" s="4"/>
      <c r="O43" s="4"/>
      <c r="P43" s="4"/>
      <c r="S43">
        <f>COUNTIF(S$5:S$42,"N")</f>
        <v>0</v>
      </c>
      <c r="T43">
        <f>COUNTIF(T$5:T$42,"N")</f>
        <v>0</v>
      </c>
      <c r="U43">
        <f t="shared" ref="U43:Y43" si="0">COUNTIF(U$5:U$42,"N")</f>
        <v>0</v>
      </c>
      <c r="V43">
        <f>COUNTIF(V$5:V$42,"N")</f>
        <v>0</v>
      </c>
      <c r="W43">
        <f>COUNTIF(W$5:W$42,"N")</f>
        <v>0</v>
      </c>
      <c r="X43">
        <f t="shared" si="0"/>
        <v>0</v>
      </c>
      <c r="Y43">
        <f t="shared" si="0"/>
        <v>0</v>
      </c>
    </row>
    <row r="44" spans="1:25" x14ac:dyDescent="0.25">
      <c r="S44">
        <f>COUNTIF(S$5:S$42,"S")</f>
        <v>0</v>
      </c>
      <c r="T44">
        <f t="shared" ref="T44:Y44" si="1">COUNTIF(T$5:T$42,"S")</f>
        <v>0</v>
      </c>
      <c r="U44">
        <f t="shared" si="1"/>
        <v>0</v>
      </c>
      <c r="V44">
        <f t="shared" si="1"/>
        <v>0</v>
      </c>
      <c r="W44">
        <f t="shared" si="1"/>
        <v>0</v>
      </c>
      <c r="X44">
        <f t="shared" si="1"/>
        <v>0</v>
      </c>
      <c r="Y44">
        <f t="shared" si="1"/>
        <v>0</v>
      </c>
    </row>
    <row r="45" spans="1:25" x14ac:dyDescent="0.25">
      <c r="S45">
        <f>COUNTIF(S$5:S$42,"R")</f>
        <v>0</v>
      </c>
      <c r="T45">
        <f t="shared" ref="T45:Y45" si="2">COUNTIF(T$5:T$42,"R")</f>
        <v>0</v>
      </c>
      <c r="U45">
        <f t="shared" si="2"/>
        <v>0</v>
      </c>
      <c r="V45">
        <f t="shared" si="2"/>
        <v>0</v>
      </c>
      <c r="W45">
        <f t="shared" si="2"/>
        <v>0</v>
      </c>
      <c r="X45">
        <f t="shared" si="2"/>
        <v>0</v>
      </c>
      <c r="Y45">
        <f t="shared" si="2"/>
        <v>0</v>
      </c>
    </row>
    <row r="46" spans="1:25" x14ac:dyDescent="0.25">
      <c r="S46"/>
    </row>
    <row r="47" spans="1:25" x14ac:dyDescent="0.25">
      <c r="S47"/>
    </row>
    <row r="48" spans="1:25" x14ac:dyDescent="0.25">
      <c r="S48"/>
    </row>
    <row r="49" spans="19:19" x14ac:dyDescent="0.25">
      <c r="S49"/>
    </row>
    <row r="50" spans="19:19" x14ac:dyDescent="0.25">
      <c r="S50"/>
    </row>
    <row r="51" spans="19:19" x14ac:dyDescent="0.25">
      <c r="S51"/>
    </row>
  </sheetData>
  <conditionalFormatting sqref="AA4">
    <cfRule type="cellIs" dxfId="1" priority="2" operator="equal">
      <formula>$M$7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18" r:id="rId4" name="cb_Tipo_Turno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9" r:id="rId5" name="cbProgressivo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0" r:id="rId6" name="cb_Tipo_Turno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1" r:id="rId7" name="cbProgressivo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2" r:id="rId8" name="cb_Tipo_Turno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3" r:id="rId9" name="cbProgressivo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4" r:id="rId10" name="cb_Tipo_Turno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5" r:id="rId11" name="cbProgressivo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6" r:id="rId12" name="cb_Tipo_Turno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7" r:id="rId13" name="cbProgressivo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8" r:id="rId14" name="cb_Tipo_Turno1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9" r:id="rId15" name="cbProgressivo1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0" r:id="rId16" name="cb_Tipo_Turno1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1" r:id="rId17" name="cbProgressivo1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2" r:id="rId18" name="cb_Tipo_Turno1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3" r:id="rId19" name="cbProgressivo1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4" r:id="rId20" name="cb_Tipo_Turno1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5" r:id="rId21" name="cbProgressivo1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6" r:id="rId22" name="cb_Tipo_Turno1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7" r:id="rId23" name="cbProgressivo1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8" r:id="rId24" name="cb_Tipo_Turno1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9" r:id="rId25" name="cbProgressivo1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0" r:id="rId26" name="cb_Tipo_Turno1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1" r:id="rId27" name="cbProgressivo1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2" r:id="rId28" name="cb_Tipo_Turno1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3" r:id="rId29" name="cbProgressivo1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4" r:id="rId30" name="cb_Tipo_Turno1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" r:id="rId31" name="cbProgressivo1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6" r:id="rId32" name="cb_Tipo_Turno1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7" r:id="rId33" name="cbProgressivo1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8" r:id="rId34" name="cb_Tipo_Turno2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9" r:id="rId35" name="cbProgressivo2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0" r:id="rId36" name="cb_Tipo_Turno2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1" r:id="rId37" name="cbProgressivo2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2" r:id="rId38" name="cb_Tipo_Turno2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3" r:id="rId39" name="cbProgressivo2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4" r:id="rId40" name="cb_Tipo_Turno2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5" r:id="rId41" name="cbProgressivo2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6" r:id="rId42" name="cb_Tipo_Turno2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7" r:id="rId43" name="cbProgressivo2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8" r:id="rId44" name="cb_Tipo_Turno2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9" r:id="rId45" name="cbProgressivo2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0" r:id="rId46" name="cb_Tipo_Turno2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1" r:id="rId47" name="cbProgressivo2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25</xdr:row>
                    <xdr:rowOff>0</xdr:rowOff>
                  </from>
                  <to>
                    <xdr:col>18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2" r:id="rId48" name="cb_Tipo_Turno2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3" r:id="rId49" name="cbProgressivo2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4" r:id="rId50" name="cb_Tipo_Turno2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5" r:id="rId51" name="cbProgressivo2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6" r:id="rId52" name="cb_Tipo_Turno2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7" r:id="rId53" name="cbProgressivo2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8" r:id="rId54" name="cb_Tipo_Turno3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9" r:id="rId55" name="cbProgressivo3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0" r:id="rId56" name="cb_Tipo_Turno3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1" r:id="rId57" name="cbProgressivo3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2" r:id="rId58" name="cb_Tipo_Turno3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3" r:id="rId59" name="cbProgressivo3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4" r:id="rId60" name="cb_Tipo_Turno3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5" r:id="rId61" name="cbProgressivo3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" r:id="rId62" name="cb_Tipo_Turno3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7" r:id="rId63" name="cbProgressivo3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64" name="cb_Tipo_Turno3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5" name="cbProgressivo3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6" name="cb_Tipo_Turno3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67" name="cbProgressivo3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68" name="cb_Tipo_Turno3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69" name="cbProgressivo3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70" name="cb_Tipo_Turno3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71" name="cbProgressivo3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72" name="cb_Tipo_Turno3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73" name="cbProgressivo3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74" name="cb_Tipo_Turno4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75" name="cbProgressivo4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76" name="cb_Tipo_Turno4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77" name="cbProgressivo4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78" name="cb_Tipo_Turno4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79" name="cbProgressivo4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RNI23"/>
  <sheetViews>
    <sheetView workbookViewId="0">
      <selection activeCell="J2" sqref="J2"/>
    </sheetView>
  </sheetViews>
  <sheetFormatPr defaultColWidth="8.85546875" defaultRowHeight="15" x14ac:dyDescent="0.25"/>
  <cols>
    <col min="2" max="2" width="3.7109375" bestFit="1" customWidth="1"/>
    <col min="3" max="4" width="3.7109375" customWidth="1"/>
  </cols>
  <sheetData>
    <row r="1" spans="1:20 12541:12541" x14ac:dyDescent="0.25">
      <c r="A1" s="2">
        <v>1</v>
      </c>
    </row>
    <row r="2" spans="1:20 12541:12541" x14ac:dyDescent="0.25">
      <c r="A2" t="s">
        <v>17</v>
      </c>
      <c r="E2">
        <v>1</v>
      </c>
      <c r="T2" s="2"/>
      <c r="RNI2">
        <v>0</v>
      </c>
    </row>
    <row r="3" spans="1:20 12541:12541" x14ac:dyDescent="0.25">
      <c r="A3" t="s">
        <v>18</v>
      </c>
      <c r="E3">
        <v>2</v>
      </c>
    </row>
    <row r="4" spans="1:20 12541:12541" x14ac:dyDescent="0.25">
      <c r="A4" t="s">
        <v>19</v>
      </c>
      <c r="E4">
        <v>3</v>
      </c>
    </row>
    <row r="5" spans="1:20 12541:12541" x14ac:dyDescent="0.25">
      <c r="A5" t="s">
        <v>20</v>
      </c>
      <c r="E5">
        <v>4</v>
      </c>
    </row>
    <row r="8" spans="1:20 12541:12541" ht="132" customHeight="1" x14ac:dyDescent="0.25">
      <c r="B8" s="1" t="s">
        <v>21</v>
      </c>
      <c r="C8" s="1" t="s">
        <v>22</v>
      </c>
      <c r="D8" s="1" t="s">
        <v>23</v>
      </c>
      <c r="E8" t="s">
        <v>0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</row>
    <row r="9" spans="1:20 12541:12541" x14ac:dyDescent="0.25">
      <c r="A9" t="s">
        <v>7</v>
      </c>
      <c r="B9">
        <v>0</v>
      </c>
      <c r="C9">
        <v>1</v>
      </c>
      <c r="D9">
        <v>1</v>
      </c>
      <c r="E9">
        <v>4</v>
      </c>
    </row>
    <row r="10" spans="1:20 12541:12541" x14ac:dyDescent="0.25">
      <c r="A10" t="s">
        <v>8</v>
      </c>
      <c r="B10">
        <v>0</v>
      </c>
      <c r="C10">
        <v>1</v>
      </c>
      <c r="D10">
        <v>2</v>
      </c>
      <c r="E10">
        <v>1</v>
      </c>
    </row>
    <row r="11" spans="1:20 12541:12541" x14ac:dyDescent="0.25">
      <c r="A11" t="s">
        <v>9</v>
      </c>
      <c r="B11">
        <v>0</v>
      </c>
      <c r="C11">
        <v>1</v>
      </c>
      <c r="D11">
        <v>5</v>
      </c>
      <c r="E11">
        <v>2</v>
      </c>
    </row>
    <row r="12" spans="1:20 12541:12541" x14ac:dyDescent="0.25">
      <c r="A12" t="s">
        <v>10</v>
      </c>
      <c r="B12">
        <v>0</v>
      </c>
      <c r="C12">
        <v>1</v>
      </c>
      <c r="D12">
        <v>4</v>
      </c>
      <c r="E12">
        <v>2</v>
      </c>
    </row>
    <row r="13" spans="1:20 12541:12541" x14ac:dyDescent="0.25">
      <c r="A13" t="s">
        <v>11</v>
      </c>
      <c r="B13">
        <v>0</v>
      </c>
      <c r="C13">
        <v>1</v>
      </c>
      <c r="D13">
        <v>5</v>
      </c>
      <c r="E13">
        <v>3</v>
      </c>
    </row>
    <row r="14" spans="1:20 12541:12541" x14ac:dyDescent="0.25">
      <c r="A14" t="s">
        <v>12</v>
      </c>
      <c r="B14">
        <v>1</v>
      </c>
      <c r="C14">
        <v>0</v>
      </c>
      <c r="D14">
        <v>5</v>
      </c>
    </row>
    <row r="15" spans="1:20 12541:12541" x14ac:dyDescent="0.25">
      <c r="A15" t="s">
        <v>13</v>
      </c>
      <c r="B15">
        <v>1</v>
      </c>
      <c r="C15">
        <v>1</v>
      </c>
      <c r="D15">
        <v>7</v>
      </c>
      <c r="E15">
        <v>0</v>
      </c>
    </row>
    <row r="16" spans="1:20 12541:12541" x14ac:dyDescent="0.25">
      <c r="A16" t="s">
        <v>14</v>
      </c>
      <c r="B16">
        <v>0</v>
      </c>
      <c r="C16">
        <v>1</v>
      </c>
      <c r="D16">
        <v>8</v>
      </c>
      <c r="E16">
        <v>3</v>
      </c>
    </row>
    <row r="17" spans="1:5" x14ac:dyDescent="0.25">
      <c r="A17" t="s">
        <v>15</v>
      </c>
      <c r="B17">
        <v>0</v>
      </c>
      <c r="C17">
        <v>1</v>
      </c>
      <c r="D17">
        <v>9</v>
      </c>
      <c r="E17">
        <v>1</v>
      </c>
    </row>
    <row r="18" spans="1:5" x14ac:dyDescent="0.25">
      <c r="A18" t="s">
        <v>16</v>
      </c>
      <c r="B18">
        <v>0</v>
      </c>
      <c r="C18">
        <v>1</v>
      </c>
      <c r="D18">
        <v>1</v>
      </c>
      <c r="E18">
        <v>4</v>
      </c>
    </row>
    <row r="19" spans="1:5" x14ac:dyDescent="0.25">
      <c r="B19" t="s">
        <v>17</v>
      </c>
      <c r="E19">
        <f>IF($E$9=E2,1,0)+IF($E$10=E2,1,0)+IF($E$11=E2,1,0)+IF($E$12=E2,1,0)+IF($E$13=E2,1,0)+IF($E$14=E2,1,0)+IF($E$15=E2,1,0)+IF($E$16=E2,1,0)+IF($E$17=E2,1,0)+IF($E$18=E2,1,0)</f>
        <v>2</v>
      </c>
    </row>
    <row r="20" spans="1:5" x14ac:dyDescent="0.25">
      <c r="B20" t="s">
        <v>18</v>
      </c>
      <c r="E20">
        <f>IF($E$9=E3,1,0)+IF($E$10=E3,1,0)+IF($E$11=E3,1,0)+IF($E$12=E3,1,0)+IF($E$13=E3,1,0)+IF($E$14=E3,1,0)+IF($E$15=E3,1,0)+IF($E$16=E3,1,0)+IF($E$17=E3,1,0)+IF($E$18=E3,1,0)</f>
        <v>2</v>
      </c>
    </row>
    <row r="21" spans="1:5" x14ac:dyDescent="0.25">
      <c r="B21" t="s">
        <v>19</v>
      </c>
      <c r="E21">
        <f>IF($E$9=E4,1,0)+IF($E$10=E4,1,0)+IF($E$11=E4,1,0)+IF($E$12=E4,1,0)+IF($E$13=E4,1,0)+IF($E$14=E4,1,0)+IF($E$15=E4,1,0)+IF($E$16=E4,1,0)+IF($E$17=E4,1,0)+IF($E$18=E4,1,0)</f>
        <v>2</v>
      </c>
    </row>
    <row r="22" spans="1:5" x14ac:dyDescent="0.25">
      <c r="B22" t="s">
        <v>20</v>
      </c>
      <c r="E22">
        <f>IF($E$9=E5,1,0)+IF($E$10=E5,1,0)+IF($E$11=E5,1,0)+IF($E$12=E5,1,0)+IF($E$13=E5,1,0)+IF($E$14=E5,1,0)+IF($E$15=E5,1,0)+IF($E$16=E5,1,0)+IF($E$17=E5,1,0)+IF($E$18=E5,1,0)</f>
        <v>2</v>
      </c>
    </row>
    <row r="23" spans="1:5" x14ac:dyDescent="0.25">
      <c r="E23">
        <f>SUM(E19:E22)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3"/>
  <sheetViews>
    <sheetView workbookViewId="0">
      <selection activeCell="I24" sqref="I24"/>
    </sheetView>
  </sheetViews>
  <sheetFormatPr defaultColWidth="8.85546875" defaultRowHeight="15" x14ac:dyDescent="0.25"/>
  <sheetData>
    <row r="1" spans="1:8" x14ac:dyDescent="0.25">
      <c r="A1" t="s">
        <v>17</v>
      </c>
      <c r="B1">
        <v>1</v>
      </c>
    </row>
    <row r="2" spans="1:8" x14ac:dyDescent="0.25">
      <c r="A2" t="s">
        <v>18</v>
      </c>
      <c r="B2">
        <v>2</v>
      </c>
    </row>
    <row r="3" spans="1:8" x14ac:dyDescent="0.25">
      <c r="A3" t="s">
        <v>19</v>
      </c>
      <c r="B3">
        <v>3</v>
      </c>
    </row>
    <row r="4" spans="1:8" x14ac:dyDescent="0.25">
      <c r="A4" t="s">
        <v>20</v>
      </c>
      <c r="B4">
        <v>4</v>
      </c>
    </row>
    <row r="8" spans="1:8" x14ac:dyDescent="0.25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</row>
    <row r="9" spans="1:8" x14ac:dyDescent="0.25">
      <c r="A9" t="s">
        <v>7</v>
      </c>
      <c r="B9">
        <v>2</v>
      </c>
    </row>
    <row r="10" spans="1:8" x14ac:dyDescent="0.25">
      <c r="A10" t="s">
        <v>8</v>
      </c>
      <c r="B10">
        <v>1</v>
      </c>
    </row>
    <row r="11" spans="1:8" x14ac:dyDescent="0.25">
      <c r="A11" t="s">
        <v>9</v>
      </c>
      <c r="B11">
        <v>4</v>
      </c>
    </row>
    <row r="12" spans="1:8" x14ac:dyDescent="0.25">
      <c r="A12" t="s">
        <v>10</v>
      </c>
      <c r="B12">
        <v>0</v>
      </c>
    </row>
    <row r="13" spans="1:8" x14ac:dyDescent="0.25">
      <c r="A13" t="s">
        <v>11</v>
      </c>
      <c r="B13">
        <v>2</v>
      </c>
    </row>
    <row r="14" spans="1:8" x14ac:dyDescent="0.25">
      <c r="A14" t="s">
        <v>12</v>
      </c>
      <c r="B14">
        <v>1</v>
      </c>
    </row>
    <row r="15" spans="1:8" x14ac:dyDescent="0.25">
      <c r="A15" t="s">
        <v>13</v>
      </c>
      <c r="B15">
        <v>2</v>
      </c>
    </row>
    <row r="16" spans="1:8" x14ac:dyDescent="0.25">
      <c r="A16" t="s">
        <v>14</v>
      </c>
      <c r="B16">
        <v>3</v>
      </c>
    </row>
    <row r="17" spans="1:2" x14ac:dyDescent="0.25">
      <c r="A17" t="s">
        <v>15</v>
      </c>
      <c r="B17">
        <v>1</v>
      </c>
    </row>
    <row r="18" spans="1:2" x14ac:dyDescent="0.25">
      <c r="A18" t="s">
        <v>16</v>
      </c>
      <c r="B18">
        <v>1</v>
      </c>
    </row>
    <row r="19" spans="1:2" x14ac:dyDescent="0.25">
      <c r="B19">
        <f>IF($B$9=B1,1,0)+IF($B$10=B1,1,0)+IF($B$11=B1,1,0)+IF($B$12=B1,1,0)+IF($B$13=B1,1,0)+IF($B$14=B1,1,0)+IF($B$15=B1,1,0)+IF($B$16=B1,1,0)+IF($B$17=B1,1,0)+IF($B$18=B1,1,0)</f>
        <v>4</v>
      </c>
    </row>
    <row r="20" spans="1:2" x14ac:dyDescent="0.25">
      <c r="B20">
        <f>IF($B$9=B2,1,0)+IF($B$10=B2,1,0)+IF($B$11=B2,1,0)+IF($B$12=B2,1,0)+IF($B$13=B2,1,0)+IF($B$14=B2,1,0)+IF($B$15=B2,1,0)+IF($B$16=B2,1,0)+IF($B$17=B2,1,0)+IF($B$18=B2,1,0)</f>
        <v>3</v>
      </c>
    </row>
    <row r="21" spans="1:2" x14ac:dyDescent="0.25">
      <c r="B21">
        <f>IF($B$9=B3,1,0)+IF($B$10=B3,1,0)+IF($B$11=B3,1,0)+IF($B$12=B3,1,0)+IF($B$13=B3,1,0)+IF($B$14=B3,1,0)+IF($B$15=B3,1,0)+IF($B$16=B3,1,0)+IF($B$17=B3,1,0)+IF($B$18=B3,1,0)</f>
        <v>1</v>
      </c>
    </row>
    <row r="22" spans="1:2" x14ac:dyDescent="0.25">
      <c r="B22">
        <f>IF($B$9=B4,1,0)+IF($B$10=B4,1,0)+IF($B$11=B4,1,0)+IF($B$12=B4,1,0)+IF($B$13=B4,1,0)+IF($B$14=B4,1,0)+IF($B$15=B4,1,0)+IF($B$16=B4,1,0)+IF($B$17=B4,1,0)+IF($B$18=B4,1,0)</f>
        <v>1</v>
      </c>
    </row>
    <row r="23" spans="1:2" x14ac:dyDescent="0.25">
      <c r="B23">
        <f>SUM(B19:B22)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Foglio2</vt:lpstr>
      <vt:lpstr>Foglio1</vt:lpstr>
      <vt:lpstr>Foglio1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 POLLACCIA</cp:lastModifiedBy>
  <dcterms:created xsi:type="dcterms:W3CDTF">2017-02-13T17:34:06Z</dcterms:created>
  <dcterms:modified xsi:type="dcterms:W3CDTF">2018-05-05T16:23:08Z</dcterms:modified>
</cp:coreProperties>
</file>