
<file path=[Content_Types].xml><?xml version="1.0" encoding="utf-8"?>
<Types xmlns="http://schemas.openxmlformats.org/package/2006/content-types">
  <Default Extension="bin" ContentType="application/vnd.openxmlformats-officedocument.spreadsheetml.customProperty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2460" windowWidth="20640" windowHeight="11760" activeTab="3"/>
  </bookViews>
  <sheets>
    <sheet name="Sheet1" sheetId="1" r:id="rId1"/>
    <sheet name="xl_DCF_History" sheetId="2" state="veryHidden" r:id="rId2"/>
    <sheet name="Classified as UnClassified" sheetId="3" state="hidden" r:id="rId3"/>
    <sheet name="GIORNALIERO" sheetId="4" r:id="rId4"/>
    <sheet name="NOTTURNO" sheetId="5" r:id="rId5"/>
  </sheets>
  <functionGroups/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4"/>
  <c r="M1" i="5"/>
  <c r="K12"/>
  <c r="K11"/>
  <c r="K8"/>
  <c r="K4"/>
  <c r="J11"/>
  <c r="J10"/>
  <c r="J9"/>
  <c r="J8"/>
  <c r="J7"/>
  <c r="J6"/>
  <c r="J5"/>
  <c r="J4"/>
  <c r="J3"/>
  <c r="J2"/>
  <c r="J1"/>
  <c r="I9" i="4"/>
  <c r="I10"/>
  <c r="I11"/>
  <c r="I12"/>
  <c r="J12"/>
  <c r="I5"/>
  <c r="I6"/>
  <c r="I7"/>
  <c r="I8"/>
  <c r="J8"/>
  <c r="I1"/>
  <c r="I2"/>
  <c r="I3"/>
  <c r="I4"/>
  <c r="J4"/>
  <c r="I13"/>
  <c r="J12" i="1"/>
  <c r="J2"/>
  <c r="J6"/>
  <c r="J10"/>
  <c r="J14"/>
  <c r="J3"/>
  <c r="J7"/>
  <c r="J11"/>
  <c r="J15"/>
  <c r="J4"/>
  <c r="J8"/>
  <c r="J5"/>
  <c r="J13"/>
  <c r="J16"/>
  <c r="J9"/>
  <c r="J17"/>
  <c r="J1"/>
</calcChain>
</file>

<file path=xl/sharedStrings.xml><?xml version="1.0" encoding="utf-8"?>
<sst xmlns="http://schemas.openxmlformats.org/spreadsheetml/2006/main" count="323" uniqueCount="22">
  <si>
    <t>R</t>
  </si>
  <si>
    <t>P</t>
  </si>
  <si>
    <t>M</t>
  </si>
  <si>
    <t>N</t>
  </si>
  <si>
    <t>S</t>
  </si>
  <si>
    <t>NOTTURNO</t>
  </si>
  <si>
    <t>GIORNALIERO</t>
  </si>
  <si>
    <t>CLINAME</t>
  </si>
  <si>
    <t>DATETIME</t>
  </si>
  <si>
    <t>DONEBY</t>
  </si>
  <si>
    <t>IPADDRESS</t>
  </si>
  <si>
    <t>APPVER</t>
  </si>
  <si>
    <t>RANDOM</t>
  </si>
  <si>
    <t>CHECKSUM</t>
  </si>
  <si>
    <t>ᑦᑿᑔᑽᑲᒄᒄᑺᑷᑺᑶᑵ</t>
  </si>
  <si>
    <t>ᑂᑁᑀᑃᑈᑀᑃᑁᑂᑇᐱᐱᑂᑂᑋᑂᑇᑒᑞᐱᐹᑘᑞᑥᐼᑃᑋᑁᐺ</t>
  </si>
  <si>
    <t>ᑤᑥᑭᑘᑺᒀᒃᑸᑺᒀᐱᒁᒀᑽᑽᑲᑴᑴᑺᑲ</t>
  </si>
  <si>
    <t>ᑔᑥᑟᑔᑨᑝᑅᑃᑃᑂ</t>
  </si>
  <si>
    <t>ᑅᐿᑁᐿᑃᐿᑁ</t>
  </si>
  <si>
    <t>ᑆᑄᑃᑄ</t>
  </si>
  <si>
    <t>2ORE IN PIU</t>
  </si>
  <si>
    <t>1 ORA IN MENO</t>
  </si>
</sst>
</file>

<file path=xl/styles.xml><?xml version="1.0" encoding="utf-8"?>
<styleSheet xmlns="http://schemas.openxmlformats.org/spreadsheetml/2006/main">
  <numFmts count="1">
    <numFmt numFmtId="164" formatCode="[h]:mm"/>
  </numFmts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scheme val="minor"/>
    </font>
    <font>
      <b/>
      <sz val="11"/>
      <color theme="1"/>
      <name val="Calibri"/>
      <scheme val="minor"/>
    </font>
    <font>
      <b/>
      <sz val="11"/>
      <color rgb="FFFF000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3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</cellXfs>
  <cellStyles count="5">
    <cellStyle name="Collegamento ipertestuale" xfId="1" builtinId="8" hidden="1"/>
    <cellStyle name="Collegamento ipertestuale" xfId="3" builtinId="8" hidden="1"/>
    <cellStyle name="Collegamento ipertestuale visitato" xfId="2" builtinId="9" hidden="1"/>
    <cellStyle name="Collegamento ipertestuale visitato" xfId="4" builtinId="9" hidden="1"/>
    <cellStyle name="Normale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J17"/>
  <sheetViews>
    <sheetView workbookViewId="0">
      <selection sqref="A1:J11"/>
    </sheetView>
  </sheetViews>
  <sheetFormatPr defaultColWidth="8.85546875" defaultRowHeight="15"/>
  <sheetData>
    <row r="1" spans="1:10">
      <c r="A1" t="s">
        <v>5</v>
      </c>
      <c r="B1">
        <v>1</v>
      </c>
      <c r="C1" t="s">
        <v>0</v>
      </c>
      <c r="D1" t="s">
        <v>1</v>
      </c>
      <c r="E1" t="s">
        <v>2</v>
      </c>
      <c r="F1" t="s">
        <v>2</v>
      </c>
      <c r="G1" t="s">
        <v>3</v>
      </c>
      <c r="H1" t="s">
        <v>4</v>
      </c>
      <c r="I1" t="s">
        <v>0</v>
      </c>
      <c r="J1" t="str">
        <f>min_hour(+IF(C1="M","420","0")+IF(C1="P","420","0")+IF(C1="F","420","0")+IF(C1="N","600","0")+IF(C1="M1","380","0")+IF(C1="P1","380","0")+IF(C1="L104","0","0")+IF(C1="MAL","0","0")+IF(C1="RC","0","0")+IF(D1="M","420","0")+IF(D1="P","420","0")+IF(D1="F","420","0")+IF(D1="N","600","0")+IF(D1="M1","380","0")+IF(D1="P1","380","0")+IF(D1="L104","0","0")+IF(D1="MAL","0","0")+IF(D1="RC","0","0")+IF(E1="M","420","0")+IF(E1="P","420","0")+IF(E1="F","420","0")+IF(E1="N","600","0")+IF(E1="M1","380","0")+IF(E1="P1","380","0")+IF(E1="L104","0","0")+IF(E1="MAL","0","0")+IF(E1="RC","0","0")+IF(F1="M","420","0")+IF(F1="P","420","0")+IF(F1="F","420","0")+IF(F1="N","600","0")+IF(F1="M1","380","0")+IF(F1="P1","380","0")+IF(F1="L104","0","0")+IF(F1="MAL","0","0")+IF(F1="RC","0","0")+IF(G1="M","420","0")+IF(G1="P","420","0")+IF(G1="F","420","0")+IF(G1="N","600","0")+IF(G1="M1","380","0")+IF(G1="P1","380","0")+IF(G1="L104","0","0")+IF(G1="MAL","0","0")+IF(G1="RC","0","0")+IF(H1="M","420","0")+IF(H1="P","420","0")+IF(H1="F","420","0")+IF(H1="N","600","0")+IF(H1="M1","380","0")+IF(H1="P1","380","0")+IF(H1="L104","0","0")+IF(H1="MAL","0","0")+IF(H1="RC","0","0")+IF(I1="M","420","0")+IF(I1="P","420","0")+IF(I1="F","420","0")+IF(I1="N","600","0")+IF(I1="M1","380","0")+IF(I1="P1","380","0")+IF(I1="L104","0","0")+IF(I1="MAL","0","0")+IF(I1="RC","0","0"))</f>
        <v>31:00</v>
      </c>
    </row>
    <row r="2" spans="1:10">
      <c r="A2" t="s">
        <v>5</v>
      </c>
      <c r="B2">
        <v>2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0</v>
      </c>
      <c r="I2" t="s">
        <v>2</v>
      </c>
      <c r="J2" t="str">
        <f t="shared" ref="J2:J17" si="0">min_hour(+IF(C2="M","420","0")+IF(C2="P","420","0")+IF(C2="F","420","0")+IF(C2="N","600","0")+IF(C2="M1","380","0")+IF(C2="P1","380","0")+IF(C2="L104","0","0")+IF(C2="MAL","0","0")+IF(C2="RC","0","0")+IF(D2="M","420","0")+IF(D2="P","420","0")+IF(D2="F","420","0")+IF(D2="N","600","0")+IF(D2="M1","380","0")+IF(D2="P1","380","0")+IF(D2="L104","0","0")+IF(D2="MAL","0","0")+IF(D2="RC","0","0")+IF(E2="M","420","0")+IF(E2="P","420","0")+IF(E2="F","420","0")+IF(E2="N","600","0")+IF(E2="M1","380","0")+IF(E2="P1","380","0")+IF(E2="L104","0","0")+IF(E2="MAL","0","0")+IF(E2="RC","0","0")+IF(F2="M","420","0")+IF(F2="P","420","0")+IF(F2="F","420","0")+IF(F2="N","600","0")+IF(F2="M1","380","0")+IF(F2="P1","380","0")+IF(F2="L104","0","0")+IF(F2="MAL","0","0")+IF(F2="RC","0","0")+IF(G2="M","420","0")+IF(G2="P","420","0")+IF(G2="F","420","0")+IF(G2="N","600","0")+IF(G2="M1","380","0")+IF(G2="P1","380","0")+IF(G2="L104","0","0")+IF(G2="MAL","0","0")+IF(G2="RC","0","0")+IF(H2="M","420","0")+IF(H2="P","420","0")+IF(H2="F","420","0")+IF(H2="N","600","0")+IF(H2="M1","380","0")+IF(H2="P1","380","0")+IF(H2="L104","0","0")+IF(H2="MAL","0","0")+IF(H2="RC","0","0")+IF(I2="M","420","0")+IF(I2="P","420","0")+IF(I2="F","420","0")+IF(I2="N","600","0")+IF(I2="M1","380","0")+IF(I2="P1","380","0")+IF(I2="L104","0","0")+IF(I2="MAL","0","0")+IF(I2="RC","0","0"))</f>
        <v>42:00</v>
      </c>
    </row>
    <row r="3" spans="1:10">
      <c r="A3" t="s">
        <v>5</v>
      </c>
      <c r="B3">
        <v>3</v>
      </c>
      <c r="C3" t="s">
        <v>1</v>
      </c>
      <c r="D3" t="s">
        <v>2</v>
      </c>
      <c r="E3" t="s">
        <v>3</v>
      </c>
      <c r="F3" t="s">
        <v>4</v>
      </c>
      <c r="G3" t="s">
        <v>0</v>
      </c>
      <c r="H3" t="s">
        <v>1</v>
      </c>
      <c r="I3" t="s">
        <v>2</v>
      </c>
      <c r="J3" t="str">
        <f t="shared" si="0"/>
        <v>38:00</v>
      </c>
    </row>
    <row r="4" spans="1:10">
      <c r="A4" t="s">
        <v>5</v>
      </c>
      <c r="B4">
        <v>4</v>
      </c>
      <c r="C4" t="s">
        <v>1</v>
      </c>
      <c r="D4" t="s">
        <v>2</v>
      </c>
      <c r="E4" t="s">
        <v>1</v>
      </c>
      <c r="F4" t="s">
        <v>0</v>
      </c>
      <c r="G4" t="s">
        <v>1</v>
      </c>
      <c r="H4" t="s">
        <v>1</v>
      </c>
      <c r="I4" t="s">
        <v>2</v>
      </c>
      <c r="J4" t="str">
        <f t="shared" si="0"/>
        <v>42:00</v>
      </c>
    </row>
    <row r="5" spans="1:10">
      <c r="A5" t="s">
        <v>5</v>
      </c>
      <c r="B5">
        <v>5</v>
      </c>
      <c r="C5" t="s">
        <v>3</v>
      </c>
      <c r="D5" t="s">
        <v>4</v>
      </c>
      <c r="E5" t="s">
        <v>0</v>
      </c>
      <c r="F5" t="s">
        <v>1</v>
      </c>
      <c r="G5" t="s">
        <v>2</v>
      </c>
      <c r="H5" t="s">
        <v>2</v>
      </c>
      <c r="I5" t="s">
        <v>3</v>
      </c>
      <c r="J5" t="str">
        <f t="shared" si="0"/>
        <v>41:00</v>
      </c>
    </row>
    <row r="6" spans="1:10">
      <c r="A6" t="s">
        <v>5</v>
      </c>
      <c r="B6">
        <v>6</v>
      </c>
      <c r="C6" t="s">
        <v>4</v>
      </c>
      <c r="D6" t="s">
        <v>0</v>
      </c>
      <c r="E6" t="s">
        <v>1</v>
      </c>
      <c r="F6" t="s">
        <v>1</v>
      </c>
      <c r="G6" t="s">
        <v>2</v>
      </c>
      <c r="H6" t="s">
        <v>2</v>
      </c>
      <c r="I6" t="s">
        <v>1</v>
      </c>
      <c r="J6" t="str">
        <f t="shared" si="0"/>
        <v>35:00</v>
      </c>
    </row>
    <row r="7" spans="1:10">
      <c r="A7" t="s">
        <v>5</v>
      </c>
      <c r="B7">
        <v>7</v>
      </c>
      <c r="C7" t="s">
        <v>0</v>
      </c>
      <c r="D7" t="s">
        <v>1</v>
      </c>
      <c r="E7" t="s">
        <v>2</v>
      </c>
      <c r="F7" t="s">
        <v>1</v>
      </c>
      <c r="G7" t="s">
        <v>1</v>
      </c>
      <c r="H7" t="s">
        <v>2</v>
      </c>
      <c r="I7" t="s">
        <v>0</v>
      </c>
      <c r="J7" t="str">
        <f t="shared" si="0"/>
        <v>35:00</v>
      </c>
    </row>
    <row r="8" spans="1:10">
      <c r="A8" t="s">
        <v>5</v>
      </c>
      <c r="B8">
        <v>8</v>
      </c>
      <c r="C8" t="s">
        <v>2</v>
      </c>
      <c r="D8" t="s">
        <v>2</v>
      </c>
      <c r="E8" t="s">
        <v>2</v>
      </c>
      <c r="F8" t="s">
        <v>3</v>
      </c>
      <c r="G8" t="s">
        <v>4</v>
      </c>
      <c r="H8" t="s">
        <v>0</v>
      </c>
      <c r="I8" t="s">
        <v>1</v>
      </c>
      <c r="J8" t="str">
        <f t="shared" si="0"/>
        <v>38:00</v>
      </c>
    </row>
    <row r="9" spans="1:10">
      <c r="A9" t="s">
        <v>5</v>
      </c>
      <c r="B9">
        <v>9</v>
      </c>
      <c r="C9" t="s">
        <v>2</v>
      </c>
      <c r="D9" t="s">
        <v>1</v>
      </c>
      <c r="E9" t="s">
        <v>1</v>
      </c>
      <c r="F9" t="s">
        <v>2</v>
      </c>
      <c r="G9" t="s">
        <v>0</v>
      </c>
      <c r="H9" t="s">
        <v>1</v>
      </c>
      <c r="I9" t="s">
        <v>1</v>
      </c>
      <c r="J9" t="str">
        <f t="shared" si="0"/>
        <v>42:00</v>
      </c>
    </row>
    <row r="10" spans="1:10">
      <c r="A10" t="s">
        <v>5</v>
      </c>
      <c r="B10">
        <v>10</v>
      </c>
      <c r="C10" t="s">
        <v>2</v>
      </c>
      <c r="D10" t="s">
        <v>3</v>
      </c>
      <c r="E10" t="s">
        <v>4</v>
      </c>
      <c r="F10" t="s">
        <v>0</v>
      </c>
      <c r="G10" t="s">
        <v>1</v>
      </c>
      <c r="H10" t="s">
        <v>2</v>
      </c>
      <c r="I10" t="s">
        <v>2</v>
      </c>
      <c r="J10" t="str">
        <f t="shared" si="0"/>
        <v>38:00</v>
      </c>
    </row>
    <row r="11" spans="1:10">
      <c r="A11" t="s">
        <v>5</v>
      </c>
      <c r="B11">
        <v>11</v>
      </c>
      <c r="C11" t="s">
        <v>2</v>
      </c>
      <c r="D11" t="s">
        <v>2</v>
      </c>
      <c r="E11" t="s">
        <v>0</v>
      </c>
      <c r="F11" t="s">
        <v>2</v>
      </c>
      <c r="G11" t="s">
        <v>2</v>
      </c>
      <c r="H11" t="s">
        <v>3</v>
      </c>
      <c r="I11" t="s">
        <v>4</v>
      </c>
      <c r="J11" t="str">
        <f t="shared" si="0"/>
        <v>38:00</v>
      </c>
    </row>
    <row r="12" spans="1:10">
      <c r="A12" t="s">
        <v>6</v>
      </c>
      <c r="B12">
        <v>1</v>
      </c>
      <c r="C12" t="s">
        <v>2</v>
      </c>
      <c r="D12" t="s">
        <v>1</v>
      </c>
      <c r="E12" t="s">
        <v>2</v>
      </c>
      <c r="F12" t="s">
        <v>2</v>
      </c>
      <c r="G12" t="s">
        <v>0</v>
      </c>
      <c r="H12" t="s">
        <v>1</v>
      </c>
      <c r="I12" t="s">
        <v>1</v>
      </c>
      <c r="J12" t="str">
        <f>min_hour(+IF(C12="M","420","0")+IF(C12="P","420","0")+IF(C12="F","420","0")+IF(C12="N","600","0")+IF(C12="M1","380","0")+IF(C12="P1","380","0")+IF(C12="L104","0","0")+IF(C12="MAL","0","0")+IF(C12="RC","0","0")+IF(D12="M","420","0")+IF(D12="P","420","0")+IF(D12="F","420","0")+IF(D12="N","600","0")+IF(D12="M1","380","0")+IF(D12="P1","380","0")+IF(D12="L104","0","0")+IF(D12="MAL","0","0")+IF(D12="RC","0","0")+IF(E12="M","420","0")+IF(E12="P","420","0")+IF(E12="F","420","0")+IF(E12="N","600","0")+IF(E12="M1","380","0")+IF(E12="P1","380","0")+IF(E12="L104","0","0")+IF(E12="MAL","0","0")+IF(E12="RC","0","0")+IF(F12="M","420","0")+IF(F12="P","420","0")+IF(F12="F","420","0")+IF(F12="N","600","0")+IF(F12="M1","380","0")+IF(F12="P1","380","0")+IF(F12="L104","0","0")+IF(F12="MAL","0","0")+IF(F12="RC","0","0")+IF(G12="M","420","0")+IF(G12="P","420","0")+IF(G12="F","420","0")+IF(G12="N","600","0")+IF(G12="M1","380","0")+IF(G12="P1","380","0")+IF(G12="L104","0","0")+IF(G12="MAL","0","0")+IF(G12="RC","0","0")+IF(H12="M","420","0")+IF(H12="P","420","0")+IF(H12="F","420","0")+IF(H12="N","600","0")+IF(H12="M1","380","0")+IF(H12="P1","380","0")+IF(H12="L104","0","0")+IF(H12="MAL","0","0")+IF(H12="RC","0","0")+IF(I12="M","420","0")+IF(I12="P","420","0")+IF(I12="F","420","0")+IF(I12="N","600","0")+IF(I12="M1","380","0")+IF(I12="P1","380","0")+IF(I12="L104","0","0")+IF(I12="MAL","0","0")+IF(I12="RC","0","0"))</f>
        <v>42:00</v>
      </c>
    </row>
    <row r="13" spans="1:10">
      <c r="A13" t="s">
        <v>6</v>
      </c>
      <c r="B13">
        <v>2</v>
      </c>
      <c r="C13" t="s">
        <v>1</v>
      </c>
      <c r="D13" t="s">
        <v>2</v>
      </c>
      <c r="E13" t="s">
        <v>1</v>
      </c>
      <c r="F13" t="s">
        <v>0</v>
      </c>
      <c r="G13" t="s">
        <v>1</v>
      </c>
      <c r="H13" t="s">
        <v>2</v>
      </c>
      <c r="I13" t="s">
        <v>1</v>
      </c>
      <c r="J13" t="str">
        <f t="shared" si="0"/>
        <v>42:00</v>
      </c>
    </row>
    <row r="14" spans="1:10">
      <c r="A14" t="s">
        <v>6</v>
      </c>
      <c r="B14">
        <v>3</v>
      </c>
      <c r="C14" t="s">
        <v>1</v>
      </c>
      <c r="D14" t="s">
        <v>1</v>
      </c>
      <c r="E14" t="s">
        <v>0</v>
      </c>
      <c r="F14" t="s">
        <v>2</v>
      </c>
      <c r="G14" t="s">
        <v>2</v>
      </c>
      <c r="H14" t="s">
        <v>1</v>
      </c>
      <c r="I14" t="s">
        <v>2</v>
      </c>
      <c r="J14" t="str">
        <f t="shared" si="0"/>
        <v>42:00</v>
      </c>
    </row>
    <row r="15" spans="1:10">
      <c r="A15" t="s">
        <v>6</v>
      </c>
      <c r="B15">
        <v>4</v>
      </c>
      <c r="C15" t="s">
        <v>2</v>
      </c>
      <c r="D15" t="s">
        <v>0</v>
      </c>
      <c r="E15" t="s">
        <v>1</v>
      </c>
      <c r="F15" t="s">
        <v>2</v>
      </c>
      <c r="G15" t="s">
        <v>1</v>
      </c>
      <c r="H15" t="s">
        <v>2</v>
      </c>
      <c r="I15" t="s">
        <v>2</v>
      </c>
      <c r="J15" t="str">
        <f t="shared" si="0"/>
        <v>42:00</v>
      </c>
    </row>
    <row r="16" spans="1:10">
      <c r="A16" t="s">
        <v>6</v>
      </c>
      <c r="B16">
        <v>5</v>
      </c>
      <c r="C16" t="s">
        <v>0</v>
      </c>
      <c r="D16" t="s">
        <v>2</v>
      </c>
      <c r="E16" t="s">
        <v>2</v>
      </c>
      <c r="F16" t="s">
        <v>1</v>
      </c>
      <c r="G16" t="s">
        <v>2</v>
      </c>
      <c r="H16" t="s">
        <v>2</v>
      </c>
      <c r="I16" t="s">
        <v>0</v>
      </c>
      <c r="J16" t="str">
        <f t="shared" si="0"/>
        <v>35:00</v>
      </c>
    </row>
    <row r="17" spans="1:10">
      <c r="A17" t="s">
        <v>6</v>
      </c>
      <c r="B17">
        <v>6</v>
      </c>
      <c r="C17" t="s">
        <v>2</v>
      </c>
      <c r="D17" t="s">
        <v>1</v>
      </c>
      <c r="E17" t="s">
        <v>2</v>
      </c>
      <c r="F17" t="s">
        <v>1</v>
      </c>
      <c r="G17" t="s">
        <v>2</v>
      </c>
      <c r="H17" t="s">
        <v>0</v>
      </c>
      <c r="I17" t="s">
        <v>2</v>
      </c>
      <c r="J17" t="str">
        <f t="shared" si="0"/>
        <v>42:00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G2"/>
  <sheetViews>
    <sheetView workbookViewId="0"/>
  </sheetViews>
  <sheetFormatPr defaultColWidth="8.85546875" defaultRowHeight="15"/>
  <sheetData>
    <row r="1" spans="1:7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>
      <c r="A2" t="s">
        <v>14</v>
      </c>
      <c r="B2" t="s">
        <v>15</v>
      </c>
      <c r="C2" t="s">
        <v>16</v>
      </c>
      <c r="D2" t="s">
        <v>17</v>
      </c>
      <c r="E2" t="s">
        <v>18</v>
      </c>
      <c r="F2">
        <v>17</v>
      </c>
      <c r="G2" t="s">
        <v>19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enableFormatConditionsCalculation="0">
    <tabColor rgb="FFFF0000"/>
  </sheetPr>
  <dimension ref="A1"/>
  <sheetViews>
    <sheetView workbookViewId="0"/>
  </sheetViews>
  <sheetFormatPr defaultColWidth="8.85546875" defaultRowHeight="15"/>
  <sheetData/>
  <pageMargins left="0.7" right="0.7" top="0.75" bottom="0.75" header="0.3" footer="0.3"/>
  <customProperties>
    <customPr name="DCFIdentifier" r:id="rId1"/>
  </customPropertie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dimension ref="A1:M13"/>
  <sheetViews>
    <sheetView tabSelected="1" workbookViewId="0">
      <selection activeCell="D13" sqref="D13"/>
    </sheetView>
  </sheetViews>
  <sheetFormatPr defaultColWidth="11.42578125" defaultRowHeight="15"/>
  <sheetData>
    <row r="1" spans="1:13">
      <c r="A1">
        <v>1</v>
      </c>
      <c r="B1" t="s">
        <v>2</v>
      </c>
      <c r="C1" t="s">
        <v>1</v>
      </c>
      <c r="D1" t="s">
        <v>2</v>
      </c>
      <c r="E1" t="s">
        <v>2</v>
      </c>
      <c r="F1" t="s">
        <v>0</v>
      </c>
      <c r="G1" t="s">
        <v>0</v>
      </c>
      <c r="H1" t="s">
        <v>1</v>
      </c>
      <c r="I1" s="1" t="str">
        <f>min_hour(+IF(B1="M","420","0")+IF(B1="P","420","0")+IF(B1="F","420","0")+IF(B1="N","600","0")+IF(B1="M1","380","0")+IF(B1="P1","380","0")+IF(B1="L104","0","0")+IF(B1="MAL","0","0")+IF(B1="RC","0","0")+IF(C1="M","420","0")+IF(C1="P","420","0")+IF(C1="F","420","0")+IF(C1="N","600","0")+IF(C1="M1","380","0")+IF(C1="P1","380","0")+IF(C1="L104","0","0")+IF(C1="MAL","0","0")+IF(C1="RC","0","0")+IF(D1="M","420","0")+IF(D1="P","420","0")+IF(D1="F","420","0")+IF(D1="N","600","0")+IF(D1="M1","380","0")+IF(D1="P1","380","0")+IF(D1="L104","0","0")+IF(D1="MAL","0","0")+IF(D1="RC","0","0")+IF(E1="M","420","0")+IF(E1="P","420","0")+IF(E1="F","420","0")+IF(E1="N","600","0")+IF(E1="M1","380","0")+IF(E1="P1","380","0")+IF(E1="L104","0","0")+IF(E1="MAL","0","0")+IF(E1="RC","0","0")+IF(F1="M","420","0")+IF(F1="P","420","0")+IF(F1="F","420","0")+IF(F1="N","600","0")+IF(F1="M1","380","0")+IF(F1="P1","380","0")+IF(F1="L104","0","0")+IF(F1="MAL","0","0")+IF(F1="RC","0","0")+IF(G1="M","420","0")+IF(G1="P","420","0")+IF(G1="F","420","0")+IF(G1="N","600","0")+IF(G1="M1","380","0")+IF(G1="P1","380","0")+IF(G1="L104","0","0")+IF(G1="MAL","0","0")+IF(G1="RC","0","0")+IF(H1="M","420","0")+IF(H1="P","420","0")+IF(H1="F","420","0")+IF(H1="N","600","0")+IF(H1="M1","380","0")+IF(H1="P1","380","0")+IF(H1="L104","0","0")+IF(H1="MAL","0","0")+IF(H1="RC","0","0"))</f>
        <v>35:00</v>
      </c>
      <c r="J1" s="1"/>
      <c r="M1" s="4">
        <f>152*3</f>
        <v>456</v>
      </c>
    </row>
    <row r="2" spans="1:13">
      <c r="A2">
        <v>2</v>
      </c>
      <c r="B2" t="s">
        <v>1</v>
      </c>
      <c r="C2" t="s">
        <v>2</v>
      </c>
      <c r="D2" t="s">
        <v>1</v>
      </c>
      <c r="E2" t="s">
        <v>0</v>
      </c>
      <c r="F2" t="s">
        <v>1</v>
      </c>
      <c r="G2" t="s">
        <v>2</v>
      </c>
      <c r="H2" t="s">
        <v>1</v>
      </c>
      <c r="I2" s="1" t="str">
        <f t="shared" ref="I2:I6" si="0">min_hour(+IF(B2="M","420","0")+IF(B2="P","420","0")+IF(B2="F","420","0")+IF(B2="N","600","0")+IF(B2="M1","380","0")+IF(B2="P1","380","0")+IF(B2="L104","0","0")+IF(B2="MAL","0","0")+IF(B2="RC","0","0")+IF(C2="M","420","0")+IF(C2="P","420","0")+IF(C2="F","420","0")+IF(C2="N","600","0")+IF(C2="M1","380","0")+IF(C2="P1","380","0")+IF(C2="L104","0","0")+IF(C2="MAL","0","0")+IF(C2="RC","0","0")+IF(D2="M","420","0")+IF(D2="P","420","0")+IF(D2="F","420","0")+IF(D2="N","600","0")+IF(D2="M1","380","0")+IF(D2="P1","380","0")+IF(D2="L104","0","0")+IF(D2="MAL","0","0")+IF(D2="RC","0","0")+IF(E2="M","420","0")+IF(E2="P","420","0")+IF(E2="F","420","0")+IF(E2="N","600","0")+IF(E2="M1","380","0")+IF(E2="P1","380","0")+IF(E2="L104","0","0")+IF(E2="MAL","0","0")+IF(E2="RC","0","0")+IF(F2="M","420","0")+IF(F2="P","420","0")+IF(F2="F","420","0")+IF(F2="N","600","0")+IF(F2="M1","380","0")+IF(F2="P1","380","0")+IF(F2="L104","0","0")+IF(F2="MAL","0","0")+IF(F2="RC","0","0")+IF(G2="M","420","0")+IF(G2="P","420","0")+IF(G2="F","420","0")+IF(G2="N","600","0")+IF(G2="M1","380","0")+IF(G2="P1","380","0")+IF(G2="L104","0","0")+IF(G2="MAL","0","0")+IF(G2="RC","0","0")+IF(H2="M","420","0")+IF(H2="P","420","0")+IF(H2="F","420","0")+IF(H2="N","600","0")+IF(H2="M1","380","0")+IF(H2="P1","380","0")+IF(H2="L104","0","0")+IF(H2="MAL","0","0")+IF(H2="RC","0","0"))</f>
        <v>42:00</v>
      </c>
      <c r="J2" s="1"/>
    </row>
    <row r="3" spans="1:13">
      <c r="A3">
        <v>3</v>
      </c>
      <c r="B3" t="s">
        <v>1</v>
      </c>
      <c r="C3" t="s">
        <v>1</v>
      </c>
      <c r="D3" t="s">
        <v>0</v>
      </c>
      <c r="E3" t="s">
        <v>2</v>
      </c>
      <c r="F3" t="s">
        <v>2</v>
      </c>
      <c r="G3" t="s">
        <v>1</v>
      </c>
      <c r="H3" t="s">
        <v>2</v>
      </c>
      <c r="I3" s="1" t="str">
        <f t="shared" si="0"/>
        <v>42:00</v>
      </c>
      <c r="J3" s="1"/>
    </row>
    <row r="4" spans="1:13">
      <c r="A4">
        <v>4</v>
      </c>
      <c r="B4" t="s">
        <v>2</v>
      </c>
      <c r="C4" t="s">
        <v>0</v>
      </c>
      <c r="D4" t="s">
        <v>0</v>
      </c>
      <c r="E4" t="s">
        <v>2</v>
      </c>
      <c r="F4" t="s">
        <v>1</v>
      </c>
      <c r="G4" t="s">
        <v>2</v>
      </c>
      <c r="H4" t="s">
        <v>2</v>
      </c>
      <c r="I4" s="1" t="str">
        <f t="shared" si="0"/>
        <v>35:00</v>
      </c>
      <c r="J4" s="1">
        <f>I1+I2+I3+I4</f>
        <v>6.4166666666666661</v>
      </c>
    </row>
    <row r="5" spans="1:13">
      <c r="A5">
        <v>5</v>
      </c>
      <c r="B5" t="s">
        <v>0</v>
      </c>
      <c r="C5" t="s">
        <v>2</v>
      </c>
      <c r="D5" t="s">
        <v>2</v>
      </c>
      <c r="E5" t="s">
        <v>1</v>
      </c>
      <c r="F5" t="s">
        <v>2</v>
      </c>
      <c r="G5" t="s">
        <v>2</v>
      </c>
      <c r="H5" t="s">
        <v>0</v>
      </c>
      <c r="I5" s="1" t="str">
        <f t="shared" si="0"/>
        <v>35:00</v>
      </c>
      <c r="J5" s="1"/>
    </row>
    <row r="6" spans="1:13">
      <c r="A6">
        <v>6</v>
      </c>
      <c r="B6" t="s">
        <v>0</v>
      </c>
      <c r="C6" t="s">
        <v>1</v>
      </c>
      <c r="D6" t="s">
        <v>2</v>
      </c>
      <c r="E6" t="s">
        <v>1</v>
      </c>
      <c r="F6" t="s">
        <v>2</v>
      </c>
      <c r="G6" t="s">
        <v>0</v>
      </c>
      <c r="H6" t="s">
        <v>2</v>
      </c>
      <c r="I6" s="1" t="str">
        <f t="shared" si="0"/>
        <v>35:00</v>
      </c>
      <c r="J6" s="1"/>
    </row>
    <row r="7" spans="1:13">
      <c r="A7">
        <v>7</v>
      </c>
      <c r="B7" t="s">
        <v>2</v>
      </c>
      <c r="C7" t="s">
        <v>1</v>
      </c>
      <c r="D7" t="s">
        <v>2</v>
      </c>
      <c r="E7" t="s">
        <v>0</v>
      </c>
      <c r="F7" t="s">
        <v>0</v>
      </c>
      <c r="G7" t="s">
        <v>1</v>
      </c>
      <c r="H7" t="s">
        <v>1</v>
      </c>
      <c r="I7" s="1" t="str">
        <f>min_hour(+IF(B7="M","420","0")+IF(B7="P","420","0")+IF(B7="F","420","0")+IF(B7="N","600","0")+IF(B7="M1","380","0")+IF(B7="P1","380","0")+IF(B7="L104","0","0")+IF(B7="MAL","0","0")+IF(B7="RC","0","0")+IF(C7="M","420","0")+IF(C7="P","420","0")+IF(C7="F","420","0")+IF(C7="N","600","0")+IF(C7="M1","380","0")+IF(C7="P1","380","0")+IF(C7="L104","0","0")+IF(C7="MAL","0","0")+IF(C7="RC","0","0")+IF(D7="M","420","0")+IF(D7="P","420","0")+IF(D7="F","420","0")+IF(D7="N","600","0")+IF(D7="M1","380","0")+IF(D7="P1","380","0")+IF(D7="L104","0","0")+IF(D7="MAL","0","0")+IF(D7="RC","0","0")+IF(E7="M","420","0")+IF(E7="P","420","0")+IF(E7="F","420","0")+IF(E7="N","600","0")+IF(E7="M1","380","0")+IF(E7="P1","380","0")+IF(E7="L104","0","0")+IF(E7="MAL","0","0")+IF(E7="RC","0","0")+IF(F7="M","420","0")+IF(F7="P","420","0")+IF(F7="F","420","0")+IF(F7="N","600","0")+IF(F7="M1","380","0")+IF(F7="P1","380","0")+IF(F7="L104","0","0")+IF(F7="MAL","0","0")+IF(F7="RC","0","0")+IF(G7="M","420","0")+IF(G7="P","420","0")+IF(G7="F","420","0")+IF(G7="N","600","0")+IF(G7="M1","380","0")+IF(G7="P1","380","0")+IF(G7="L104","0","0")+IF(G7="MAL","0","0")+IF(G7="RC","0","0")+IF(H7="M","420","0")+IF(H7="P","420","0")+IF(H7="F","420","0")+IF(H7="N","600","0")+IF(H7="M1","380","0")+IF(H7="P1","380","0")+IF(H7="L104","0","0")+IF(H7="MAL","0","0")+IF(H7="RC","0","0"))</f>
        <v>35:00</v>
      </c>
      <c r="J7" s="1"/>
    </row>
    <row r="8" spans="1:13">
      <c r="A8">
        <v>8</v>
      </c>
      <c r="B8" t="s">
        <v>1</v>
      </c>
      <c r="C8" t="s">
        <v>2</v>
      </c>
      <c r="D8" t="s">
        <v>1</v>
      </c>
      <c r="E8" t="s">
        <v>0</v>
      </c>
      <c r="F8" t="s">
        <v>1</v>
      </c>
      <c r="G8" t="s">
        <v>2</v>
      </c>
      <c r="H8" t="s">
        <v>1</v>
      </c>
      <c r="I8" s="1" t="str">
        <f t="shared" ref="I8:I12" si="1">min_hour(+IF(B8="M","420","0")+IF(B8="P","420","0")+IF(B8="F","420","0")+IF(B8="N","600","0")+IF(B8="M1","380","0")+IF(B8="P1","380","0")+IF(B8="L104","0","0")+IF(B8="MAL","0","0")+IF(B8="RC","0","0")+IF(C8="M","420","0")+IF(C8="P","420","0")+IF(C8="F","420","0")+IF(C8="N","600","0")+IF(C8="M1","380","0")+IF(C8="P1","380","0")+IF(C8="L104","0","0")+IF(C8="MAL","0","0")+IF(C8="RC","0","0")+IF(D8="M","420","0")+IF(D8="P","420","0")+IF(D8="F","420","0")+IF(D8="N","600","0")+IF(D8="M1","380","0")+IF(D8="P1","380","0")+IF(D8="L104","0","0")+IF(D8="MAL","0","0")+IF(D8="RC","0","0")+IF(E8="M","420","0")+IF(E8="P","420","0")+IF(E8="F","420","0")+IF(E8="N","600","0")+IF(E8="M1","380","0")+IF(E8="P1","380","0")+IF(E8="L104","0","0")+IF(E8="MAL","0","0")+IF(E8="RC","0","0")+IF(F8="M","420","0")+IF(F8="P","420","0")+IF(F8="F","420","0")+IF(F8="N","600","0")+IF(F8="M1","380","0")+IF(F8="P1","380","0")+IF(F8="L104","0","0")+IF(F8="MAL","0","0")+IF(F8="RC","0","0")+IF(G8="M","420","0")+IF(G8="P","420","0")+IF(G8="F","420","0")+IF(G8="N","600","0")+IF(G8="M1","380","0")+IF(G8="P1","380","0")+IF(G8="L104","0","0")+IF(G8="MAL","0","0")+IF(G8="RC","0","0")+IF(H8="M","420","0")+IF(H8="P","420","0")+IF(H8="F","420","0")+IF(H8="N","600","0")+IF(H8="M1","380","0")+IF(H8="P1","380","0")+IF(H8="L104","0","0")+IF(H8="MAL","0","0")+IF(H8="RC","0","0"))</f>
        <v>42:00</v>
      </c>
      <c r="J8" s="1">
        <f>I5+I6+I7+I8</f>
        <v>6.125</v>
      </c>
    </row>
    <row r="9" spans="1:13">
      <c r="A9">
        <v>9</v>
      </c>
      <c r="B9" t="s">
        <v>1</v>
      </c>
      <c r="C9" t="s">
        <v>1</v>
      </c>
      <c r="D9" t="s">
        <v>0</v>
      </c>
      <c r="E9" t="s">
        <v>2</v>
      </c>
      <c r="F9" t="s">
        <v>2</v>
      </c>
      <c r="G9" t="s">
        <v>1</v>
      </c>
      <c r="H9" t="s">
        <v>2</v>
      </c>
      <c r="I9" s="1" t="str">
        <f t="shared" si="1"/>
        <v>42:00</v>
      </c>
      <c r="J9" s="1"/>
    </row>
    <row r="10" spans="1:13">
      <c r="A10">
        <v>10</v>
      </c>
      <c r="B10" t="s">
        <v>2</v>
      </c>
      <c r="C10" t="s">
        <v>0</v>
      </c>
      <c r="D10" t="s">
        <v>0</v>
      </c>
      <c r="E10" t="s">
        <v>2</v>
      </c>
      <c r="F10" t="s">
        <v>1</v>
      </c>
      <c r="G10" t="s">
        <v>2</v>
      </c>
      <c r="H10" t="s">
        <v>2</v>
      </c>
      <c r="I10" s="1" t="str">
        <f t="shared" si="1"/>
        <v>35:00</v>
      </c>
      <c r="J10" s="1"/>
    </row>
    <row r="11" spans="1:13">
      <c r="A11">
        <v>11</v>
      </c>
      <c r="B11" t="s">
        <v>0</v>
      </c>
      <c r="C11" t="s">
        <v>2</v>
      </c>
      <c r="D11" t="s">
        <v>2</v>
      </c>
      <c r="E11" t="s">
        <v>1</v>
      </c>
      <c r="F11" t="s">
        <v>2</v>
      </c>
      <c r="G11" t="s">
        <v>2</v>
      </c>
      <c r="H11" t="s">
        <v>0</v>
      </c>
      <c r="I11" s="1" t="str">
        <f t="shared" si="1"/>
        <v>35:00</v>
      </c>
      <c r="J11" s="1"/>
    </row>
    <row r="12" spans="1:13">
      <c r="A12">
        <v>12</v>
      </c>
      <c r="B12" t="s">
        <v>2</v>
      </c>
      <c r="C12" t="s">
        <v>1</v>
      </c>
      <c r="D12" t="s">
        <v>2</v>
      </c>
      <c r="E12" t="s">
        <v>1</v>
      </c>
      <c r="F12" t="s">
        <v>2</v>
      </c>
      <c r="G12" t="s">
        <v>0</v>
      </c>
      <c r="H12" t="s">
        <v>2</v>
      </c>
      <c r="I12" s="1" t="str">
        <f t="shared" si="1"/>
        <v>42:00</v>
      </c>
      <c r="J12" s="1">
        <f>I9+I10+I11+I12</f>
        <v>6.4166666666666661</v>
      </c>
    </row>
    <row r="13" spans="1:13">
      <c r="I13" s="5">
        <f>(I1+I2+I3+I4+I5+I6+I7+I8+I9+I10+I11+I12)</f>
        <v>18.958333333333332</v>
      </c>
      <c r="J13" s="1" t="s">
        <v>21</v>
      </c>
    </row>
  </sheetData>
  <conditionalFormatting sqref="B1:H1048576">
    <cfRule type="cellIs" dxfId="1" priority="1" operator="equal">
      <formula>"r"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dimension ref="A1:M12"/>
  <sheetViews>
    <sheetView workbookViewId="0">
      <selection activeCell="G19" sqref="G19"/>
    </sheetView>
  </sheetViews>
  <sheetFormatPr defaultColWidth="11.42578125" defaultRowHeight="15"/>
  <cols>
    <col min="11" max="11" width="10.85546875" style="1"/>
  </cols>
  <sheetData>
    <row r="1" spans="1:13">
      <c r="A1" t="s">
        <v>5</v>
      </c>
      <c r="B1">
        <v>1</v>
      </c>
      <c r="C1" t="s">
        <v>0</v>
      </c>
      <c r="D1" t="s">
        <v>1</v>
      </c>
      <c r="E1" t="s">
        <v>2</v>
      </c>
      <c r="F1" t="s">
        <v>2</v>
      </c>
      <c r="G1" t="s">
        <v>3</v>
      </c>
      <c r="H1" t="s">
        <v>4</v>
      </c>
      <c r="I1" t="s">
        <v>0</v>
      </c>
      <c r="J1" t="str">
        <f>min_hour(+IF(C1="M","420","0")+IF(C1="P","420","0")+IF(C1="F","420","0")+IF(C1="N","600","0")+IF(C1="M1","380","0")+IF(C1="P1","380","0")+IF(C1="L104","0","0")+IF(C1="MAL","0","0")+IF(C1="RC","0","0")+IF(D1="M","420","0")+IF(D1="P","420","0")+IF(D1="F","420","0")+IF(D1="N","600","0")+IF(D1="M1","380","0")+IF(D1="P1","380","0")+IF(D1="L104","0","0")+IF(D1="MAL","0","0")+IF(D1="RC","0","0")+IF(E1="M","420","0")+IF(E1="P","420","0")+IF(E1="F","420","0")+IF(E1="N","600","0")+IF(E1="M1","380","0")+IF(E1="P1","380","0")+IF(E1="L104","0","0")+IF(E1="MAL","0","0")+IF(E1="RC","0","0")+IF(F1="M","420","0")+IF(F1="P","420","0")+IF(F1="F","420","0")+IF(F1="N","600","0")+IF(F1="M1","380","0")+IF(F1="P1","380","0")+IF(F1="L104","0","0")+IF(F1="MAL","0","0")+IF(F1="RC","0","0")+IF(G1="M","420","0")+IF(G1="P","420","0")+IF(G1="F","420","0")+IF(G1="N","600","0")+IF(G1="M1","380","0")+IF(G1="P1","380","0")+IF(G1="L104","0","0")+IF(G1="MAL","0","0")+IF(G1="RC","0","0")+IF(H1="M","420","0")+IF(H1="P","420","0")+IF(H1="F","420","0")+IF(H1="N","600","0")+IF(H1="M1","380","0")+IF(H1="P1","380","0")+IF(H1="L104","0","0")+IF(H1="MAL","0","0")+IF(H1="RC","0","0")+IF(I1="M","420","0")+IF(I1="P","420","0")+IF(I1="F","420","0")+IF(I1="N","600","0")+IF(I1="M1","380","0")+IF(I1="P1","380","0")+IF(I1="L104","0","0")+IF(I1="MAL","0","0")+IF(I1="RC","0","0"))</f>
        <v>31:00</v>
      </c>
      <c r="M1" s="2">
        <f>152*3-38</f>
        <v>418</v>
      </c>
    </row>
    <row r="2" spans="1:13">
      <c r="A2" t="s">
        <v>5</v>
      </c>
      <c r="B2">
        <v>2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0</v>
      </c>
      <c r="I2" t="s">
        <v>2</v>
      </c>
      <c r="J2" t="str">
        <f t="shared" ref="J2:J11" si="0">min_hour(+IF(C2="M","420","0")+IF(C2="P","420","0")+IF(C2="F","420","0")+IF(C2="N","600","0")+IF(C2="M1","380","0")+IF(C2="P1","380","0")+IF(C2="L104","0","0")+IF(C2="MAL","0","0")+IF(C2="RC","0","0")+IF(D2="M","420","0")+IF(D2="P","420","0")+IF(D2="F","420","0")+IF(D2="N","600","0")+IF(D2="M1","380","0")+IF(D2="P1","380","0")+IF(D2="L104","0","0")+IF(D2="MAL","0","0")+IF(D2="RC","0","0")+IF(E2="M","420","0")+IF(E2="P","420","0")+IF(E2="F","420","0")+IF(E2="N","600","0")+IF(E2="M1","380","0")+IF(E2="P1","380","0")+IF(E2="L104","0","0")+IF(E2="MAL","0","0")+IF(E2="RC","0","0")+IF(F2="M","420","0")+IF(F2="P","420","0")+IF(F2="F","420","0")+IF(F2="N","600","0")+IF(F2="M1","380","0")+IF(F2="P1","380","0")+IF(F2="L104","0","0")+IF(F2="MAL","0","0")+IF(F2="RC","0","0")+IF(G2="M","420","0")+IF(G2="P","420","0")+IF(G2="F","420","0")+IF(G2="N","600","0")+IF(G2="M1","380","0")+IF(G2="P1","380","0")+IF(G2="L104","0","0")+IF(G2="MAL","0","0")+IF(G2="RC","0","0")+IF(H2="M","420","0")+IF(H2="P","420","0")+IF(H2="F","420","0")+IF(H2="N","600","0")+IF(H2="M1","380","0")+IF(H2="P1","380","0")+IF(H2="L104","0","0")+IF(H2="MAL","0","0")+IF(H2="RC","0","0")+IF(I2="M","420","0")+IF(I2="P","420","0")+IF(I2="F","420","0")+IF(I2="N","600","0")+IF(I2="M1","380","0")+IF(I2="P1","380","0")+IF(I2="L104","0","0")+IF(I2="MAL","0","0")+IF(I2="RC","0","0"))</f>
        <v>42:00</v>
      </c>
    </row>
    <row r="3" spans="1:13">
      <c r="A3" t="s">
        <v>5</v>
      </c>
      <c r="B3">
        <v>3</v>
      </c>
      <c r="C3" t="s">
        <v>1</v>
      </c>
      <c r="D3" t="s">
        <v>2</v>
      </c>
      <c r="E3" t="s">
        <v>3</v>
      </c>
      <c r="F3" t="s">
        <v>4</v>
      </c>
      <c r="G3" t="s">
        <v>0</v>
      </c>
      <c r="H3" t="s">
        <v>1</v>
      </c>
      <c r="I3" t="s">
        <v>2</v>
      </c>
      <c r="J3" t="str">
        <f t="shared" si="0"/>
        <v>38:00</v>
      </c>
    </row>
    <row r="4" spans="1:13">
      <c r="A4" t="s">
        <v>5</v>
      </c>
      <c r="B4">
        <v>4</v>
      </c>
      <c r="C4" t="s">
        <v>1</v>
      </c>
      <c r="D4" t="s">
        <v>2</v>
      </c>
      <c r="E4" t="s">
        <v>1</v>
      </c>
      <c r="F4" t="s">
        <v>0</v>
      </c>
      <c r="G4" t="s">
        <v>1</v>
      </c>
      <c r="H4" t="s">
        <v>1</v>
      </c>
      <c r="I4" t="s">
        <v>2</v>
      </c>
      <c r="J4" t="str">
        <f t="shared" si="0"/>
        <v>42:00</v>
      </c>
      <c r="K4" s="1">
        <f>J1+J2+J3+J4</f>
        <v>6.375</v>
      </c>
    </row>
    <row r="5" spans="1:13">
      <c r="A5" t="s">
        <v>5</v>
      </c>
      <c r="B5">
        <v>5</v>
      </c>
      <c r="C5" t="s">
        <v>3</v>
      </c>
      <c r="D5" t="s">
        <v>4</v>
      </c>
      <c r="E5" t="s">
        <v>0</v>
      </c>
      <c r="F5" t="s">
        <v>1</v>
      </c>
      <c r="G5" t="s">
        <v>2</v>
      </c>
      <c r="H5" t="s">
        <v>2</v>
      </c>
      <c r="I5" t="s">
        <v>3</v>
      </c>
      <c r="J5" t="str">
        <f t="shared" si="0"/>
        <v>41:00</v>
      </c>
    </row>
    <row r="6" spans="1:13">
      <c r="A6" t="s">
        <v>5</v>
      </c>
      <c r="B6">
        <v>6</v>
      </c>
      <c r="C6" t="s">
        <v>4</v>
      </c>
      <c r="D6" t="s">
        <v>0</v>
      </c>
      <c r="E6" t="s">
        <v>1</v>
      </c>
      <c r="F6" t="s">
        <v>1</v>
      </c>
      <c r="G6" t="s">
        <v>2</v>
      </c>
      <c r="H6" t="s">
        <v>2</v>
      </c>
      <c r="I6" t="s">
        <v>1</v>
      </c>
      <c r="J6" t="str">
        <f t="shared" si="0"/>
        <v>35:00</v>
      </c>
    </row>
    <row r="7" spans="1:13">
      <c r="A7" t="s">
        <v>5</v>
      </c>
      <c r="B7">
        <v>7</v>
      </c>
      <c r="C7" t="s">
        <v>0</v>
      </c>
      <c r="D7" t="s">
        <v>1</v>
      </c>
      <c r="E7" t="s">
        <v>2</v>
      </c>
      <c r="F7" t="s">
        <v>1</v>
      </c>
      <c r="G7" t="s">
        <v>1</v>
      </c>
      <c r="H7" t="s">
        <v>2</v>
      </c>
      <c r="I7" t="s">
        <v>0</v>
      </c>
      <c r="J7" t="str">
        <f t="shared" si="0"/>
        <v>35:00</v>
      </c>
    </row>
    <row r="8" spans="1:13">
      <c r="A8" t="s">
        <v>5</v>
      </c>
      <c r="B8">
        <v>8</v>
      </c>
      <c r="C8" t="s">
        <v>2</v>
      </c>
      <c r="D8" t="s">
        <v>2</v>
      </c>
      <c r="E8" t="s">
        <v>2</v>
      </c>
      <c r="F8" t="s">
        <v>3</v>
      </c>
      <c r="G8" t="s">
        <v>4</v>
      </c>
      <c r="H8" t="s">
        <v>0</v>
      </c>
      <c r="I8" t="s">
        <v>1</v>
      </c>
      <c r="J8" t="str">
        <f t="shared" si="0"/>
        <v>38:00</v>
      </c>
      <c r="K8" s="1">
        <f>J5+J6+J7+J8</f>
        <v>6.208333333333333</v>
      </c>
    </row>
    <row r="9" spans="1:13">
      <c r="A9" t="s">
        <v>5</v>
      </c>
      <c r="B9">
        <v>9</v>
      </c>
      <c r="C9" t="s">
        <v>2</v>
      </c>
      <c r="D9" t="s">
        <v>1</v>
      </c>
      <c r="E9" t="s">
        <v>1</v>
      </c>
      <c r="F9" t="s">
        <v>2</v>
      </c>
      <c r="G9" t="s">
        <v>0</v>
      </c>
      <c r="H9" t="s">
        <v>1</v>
      </c>
      <c r="I9" t="s">
        <v>1</v>
      </c>
      <c r="J9" t="str">
        <f t="shared" si="0"/>
        <v>42:00</v>
      </c>
    </row>
    <row r="10" spans="1:13">
      <c r="A10" t="s">
        <v>5</v>
      </c>
      <c r="B10">
        <v>10</v>
      </c>
      <c r="C10" t="s">
        <v>2</v>
      </c>
      <c r="D10" t="s">
        <v>3</v>
      </c>
      <c r="E10" t="s">
        <v>4</v>
      </c>
      <c r="F10" t="s">
        <v>0</v>
      </c>
      <c r="G10" t="s">
        <v>1</v>
      </c>
      <c r="H10" t="s">
        <v>2</v>
      </c>
      <c r="I10" t="s">
        <v>2</v>
      </c>
      <c r="J10" t="str">
        <f t="shared" si="0"/>
        <v>38:00</v>
      </c>
    </row>
    <row r="11" spans="1:13">
      <c r="A11" t="s">
        <v>5</v>
      </c>
      <c r="B11">
        <v>11</v>
      </c>
      <c r="C11" t="s">
        <v>2</v>
      </c>
      <c r="D11" t="s">
        <v>2</v>
      </c>
      <c r="E11" t="s">
        <v>0</v>
      </c>
      <c r="F11" t="s">
        <v>2</v>
      </c>
      <c r="G11" t="s">
        <v>2</v>
      </c>
      <c r="H11" t="s">
        <v>3</v>
      </c>
      <c r="I11" t="s">
        <v>4</v>
      </c>
      <c r="J11" t="str">
        <f t="shared" si="0"/>
        <v>38:00</v>
      </c>
      <c r="K11" s="1">
        <f>J9+J10+J11</f>
        <v>4.9166666666666661</v>
      </c>
    </row>
    <row r="12" spans="1:13">
      <c r="K12" s="3">
        <f>K4+K8+K11</f>
        <v>17.5</v>
      </c>
      <c r="L12" t="s">
        <v>20</v>
      </c>
    </row>
  </sheetData>
  <conditionalFormatting sqref="C1:I1048576">
    <cfRule type="cellIs" dxfId="0" priority="1" operator="equal">
      <formula>"R"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Sheet1</vt:lpstr>
      <vt:lpstr>Classified as UnClassified</vt:lpstr>
      <vt:lpstr>GIORNALIERO</vt:lpstr>
      <vt:lpstr>NOTTURNO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User</cp:lastModifiedBy>
  <dcterms:created xsi:type="dcterms:W3CDTF">2016-10-27T08:35:14Z</dcterms:created>
  <dcterms:modified xsi:type="dcterms:W3CDTF">2016-10-31T11:13:40Z</dcterms:modified>
</cp:coreProperties>
</file>