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190" yWindow="10755" windowWidth="19320" windowHeight="9885" tabRatio="560" activeTab="5"/>
  </bookViews>
  <sheets>
    <sheet name="Sheet1" sheetId="100" r:id="rId1"/>
    <sheet name="COMANDI" sheetId="89" r:id="rId2"/>
    <sheet name="ANAGRAFICA" sheetId="131" r:id="rId3"/>
    <sheet name="MATRICETURNI" sheetId="3" r:id="rId4"/>
    <sheet name="TURNAZIONE_OPERATORE" sheetId="4" r:id="rId5"/>
    <sheet name="2016_45_46" sheetId="166" r:id="rId6"/>
    <sheet name="Classified as UnClassified" sheetId="6" state="hidden" r:id="rId7"/>
    <sheet name="xl_DCF_History" sheetId="5" state="veryHidden" r:id="rId8"/>
  </sheets>
  <functionGroups builtInGroupCount="18"/>
  <externalReferences>
    <externalReference r:id="rId9"/>
  </externalReferences>
  <definedNames>
    <definedName name="anagrafica">#REF!</definedName>
    <definedName name="ExternalData_1" localSheetId="5" hidden="1">'2016_45_46'!$A$3:$O$35</definedName>
    <definedName name="location">COMANDI!$B$2</definedName>
    <definedName name="Query_da_SQLite3_Datasource" localSheetId="2" hidden="1">ANAGRAFICA!$A$4:$D$36</definedName>
    <definedName name="Query_from_SQLite3_Datasource_1" localSheetId="3" hidden="1">MATRICETURNI!$A$4:$M$79</definedName>
    <definedName name="source">COMANDI!$B$1</definedName>
    <definedName name="turnazione_operatore" localSheetId="4" hidden="1">TURNAZIONE_OPERATORE!$A$4:$P$2684</definedName>
  </definedNames>
  <calcPr calcId="152511"/>
</workbook>
</file>

<file path=xl/calcChain.xml><?xml version="1.0" encoding="utf-8"?>
<calcChain xmlns="http://schemas.openxmlformats.org/spreadsheetml/2006/main">
  <c r="X6" i="166" l="1"/>
  <c r="X10" i="166"/>
  <c r="X14" i="166"/>
  <c r="X18" i="166"/>
  <c r="X22" i="166"/>
  <c r="X26" i="166"/>
  <c r="X30" i="166"/>
  <c r="X34" i="166"/>
  <c r="X7" i="166"/>
  <c r="X11" i="166"/>
  <c r="X15" i="166"/>
  <c r="X19" i="166"/>
  <c r="X23" i="166"/>
  <c r="X27" i="166"/>
  <c r="X31" i="166"/>
  <c r="X35" i="166"/>
  <c r="X4" i="166"/>
  <c r="X8" i="166"/>
  <c r="X12" i="166"/>
  <c r="X16" i="166"/>
  <c r="X20" i="166"/>
  <c r="X24" i="166"/>
  <c r="X28" i="166"/>
  <c r="X32" i="166"/>
  <c r="X5" i="166"/>
  <c r="X9" i="166"/>
  <c r="X13" i="166"/>
  <c r="X17" i="166"/>
  <c r="X21" i="166"/>
  <c r="X25" i="166"/>
  <c r="X29" i="166"/>
  <c r="X33" i="166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3" name="MATRICETURNI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4" name="turnazione_operator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<sst xmlns="http://schemas.openxmlformats.org/spreadsheetml/2006/main" count="31743" uniqueCount="1289">
  <si>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</si>
  <si>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</si>
  <si>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</si>
  <si>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</si>
  <si>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</si>
  <si>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</si>
  <si>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</si>
  <si>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</si>
  <si>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</si>
  <si>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</si>
  <si>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</si>
  <si>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</si>
  <si>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</si>
  <si>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</si>
  <si>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</si>
  <si>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</si>
  <si>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</si>
  <si>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</si>
  <si>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</si>
  <si>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</si>
  <si>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</si>
  <si>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</si>
  <si>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</si>
  <si>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</si>
  <si>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</si>
  <si>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</si>
  <si>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</si>
  <si>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</si>
  <si>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</si>
  <si>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</si>
  <si>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</si>
  <si>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</si>
  <si>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</si>
  <si>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</si>
  <si>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</si>
  <si>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</si>
  <si>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</si>
  <si>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</si>
  <si>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</si>
  <si>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</si>
  <si>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</si>
  <si>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</si>
  <si>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</si>
  <si>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</si>
  <si>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</si>
  <si>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</si>
  <si>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</si>
  <si>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</si>
  <si>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</si>
  <si>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</si>
  <si>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</si>
  <si>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</si>
  <si>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</si>
  <si>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</si>
  <si>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</si>
  <si>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</si>
  <si>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</si>
  <si>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</si>
  <si>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</si>
  <si>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</si>
  <si>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</si>
  <si>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</si>
  <si>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</si>
  <si>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</si>
  <si>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</si>
  <si>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</si>
  <si>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</si>
  <si>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</si>
  <si>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</si>
  <si>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</si>
  <si>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</si>
  <si>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</si>
  <si>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</si>
  <si>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</si>
  <si>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</si>
  <si>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</si>
  <si>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</si>
  <si>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</si>
  <si>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</si>
  <si>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</si>
  <si>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</si>
  <si>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</si>
  <si>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</si>
  <si>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</si>
  <si>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</si>
  <si>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</si>
  <si>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</si>
  <si>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</si>
  <si>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</si>
  <si>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</si>
  <si>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</si>
  <si>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</si>
  <si>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</si>
  <si>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</si>
  <si>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</si>
  <si>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</si>
  <si>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</si>
  <si>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</si>
  <si>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</si>
  <si>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</si>
  <si>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</si>
  <si>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</si>
  <si>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</si>
  <si>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</si>
  <si>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</si>
  <si>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</si>
  <si>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</si>
  <si>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</si>
  <si>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</si>
  <si>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</si>
  <si>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</si>
  <si>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</si>
  <si>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</si>
  <si>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</si>
  <si>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</si>
  <si>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</si>
  <si>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</si>
  <si>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</si>
  <si>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</si>
  <si>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</si>
  <si>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</si>
  <si>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</si>
  <si>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</si>
  <si>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</si>
  <si>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</si>
  <si>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</si>
  <si>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</si>
  <si>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</si>
  <si>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</si>
  <si>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</si>
  <si>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</si>
  <si>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</si>
  <si>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</si>
  <si>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</si>
  <si>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</si>
  <si>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</si>
  <si>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</si>
  <si>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</si>
  <si>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</si>
  <si>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</si>
  <si>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</si>
  <si>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</si>
  <si>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</si>
  <si>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</si>
  <si>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</si>
  <si>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</si>
  <si>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</si>
  <si>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</si>
  <si>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</si>
  <si>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</si>
  <si>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</si>
  <si>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</si>
  <si>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</si>
  <si>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</si>
  <si>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</si>
  <si>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</si>
  <si>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</si>
  <si>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</si>
  <si>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</si>
  <si>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</si>
  <si>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</si>
  <si>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</si>
  <si>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</si>
  <si>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</si>
  <si>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</si>
  <si>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</si>
  <si>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</si>
  <si>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</si>
  <si>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</si>
  <si>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</si>
  <si>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</si>
  <si>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</si>
  <si>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</si>
  <si>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</si>
  <si>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</si>
  <si>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</si>
  <si>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</si>
  <si>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</si>
  <si>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</si>
  <si>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</si>
  <si>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</si>
  <si>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</si>
  <si>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</si>
  <si>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</si>
  <si>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</si>
  <si>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</si>
  <si>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</si>
  <si>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</si>
  <si>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</si>
  <si>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</si>
  <si>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</si>
  <si>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</si>
  <si>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</si>
  <si>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</si>
  <si>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</si>
  <si>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</si>
  <si>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</si>
  <si>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</si>
  <si>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</si>
  <si>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</si>
  <si>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</si>
  <si>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</si>
  <si>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</si>
  <si>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</si>
  <si>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</si>
  <si>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</si>
  <si>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</si>
  <si>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</si>
  <si>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</si>
  <si>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</si>
  <si>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</si>
  <si>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</si>
  <si>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</si>
  <si>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</si>
  <si>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</si>
  <si>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</si>
  <si>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</si>
  <si>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</si>
  <si>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</si>
  <si>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</si>
  <si>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</si>
  <si>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</si>
  <si>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</si>
  <si>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</si>
  <si>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</si>
  <si>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</si>
  <si>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</si>
  <si>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</si>
  <si>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</si>
  <si>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</si>
  <si>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</si>
  <si>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</si>
  <si>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</si>
  <si>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</si>
  <si>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</si>
  <si>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</si>
  <si>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</si>
  <si>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</si>
  <si>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</si>
  <si>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</si>
  <si>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</si>
  <si>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</si>
  <si>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</si>
  <si>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</si>
  <si>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</si>
  <si>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</si>
  <si>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</si>
  <si>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</si>
  <si>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</si>
  <si>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</si>
  <si>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</si>
  <si>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</si>
  <si>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</si>
  <si>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</si>
  <si>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</si>
  <si>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</si>
  <si>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</si>
  <si>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</si>
  <si>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</si>
  <si>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</si>
  <si>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</si>
  <si>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</si>
  <si>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</si>
  <si>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</si>
  <si>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</si>
  <si>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</si>
  <si>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</si>
  <si>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</si>
  <si>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</si>
  <si>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</si>
  <si>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</si>
  <si>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</si>
  <si>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</si>
  <si>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</si>
  <si>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</si>
  <si>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</si>
  <si>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</si>
  <si>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</si>
  <si>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</si>
  <si>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</si>
  <si>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</si>
  <si>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</si>
  <si>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</si>
  <si>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</si>
  <si>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</si>
  <si>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</si>
  <si>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</si>
  <si>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</si>
  <si>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</si>
  <si>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</si>
  <si>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</si>
  <si>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</si>
  <si>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</si>
  <si>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</si>
  <si>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</si>
  <si>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</si>
  <si>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</si>
  <si>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</si>
  <si>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</si>
  <si>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</si>
  <si>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</si>
  <si>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</si>
  <si>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</si>
  <si>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</si>
  <si>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</si>
  <si>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</si>
  <si>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</si>
  <si>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</si>
  <si>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</si>
  <si>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</si>
  <si>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</si>
  <si>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</si>
  <si>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</si>
  <si>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</si>
  <si>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</si>
  <si>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</si>
  <si>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</si>
  <si>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</si>
  <si>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</si>
  <si>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</si>
  <si>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</si>
  <si>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</si>
  <si>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</si>
  <si>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</si>
  <si>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</si>
  <si>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</si>
  <si>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</si>
  <si>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</si>
  <si>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</si>
  <si>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</si>
  <si>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</si>
  <si>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</si>
  <si>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</si>
  <si>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</si>
  <si>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</si>
  <si>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</si>
  <si>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</si>
  <si>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</si>
  <si>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</si>
  <si>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</si>
  <si>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</si>
  <si>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</si>
  <si>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</si>
  <si>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</si>
  <si>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</si>
  <si>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</si>
  <si>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</si>
  <si>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</si>
  <si>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</si>
  <si>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</si>
  <si>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</si>
  <si>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</si>
  <si>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</si>
  <si>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</si>
  <si>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</si>
  <si>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</si>
  <si>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</si>
  <si>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</si>
  <si>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</si>
  <si>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</si>
  <si>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</si>
  <si>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</si>
  <si>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</si>
  <si>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</si>
  <si>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</si>
  <si>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</si>
  <si>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</si>
  <si>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</si>
  <si>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</si>
  <si>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</si>
  <si>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</si>
  <si>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</si>
  <si>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</si>
  <si>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</si>
  <si>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</si>
  <si>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</si>
  <si>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</si>
  <si>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</si>
  <si>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</si>
  <si>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</si>
  <si>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</si>
  <si>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</si>
  <si>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</si>
  <si>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</si>
  <si>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</si>
  <si>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</si>
  <si>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</si>
  <si>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</si>
  <si>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</si>
  <si>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</si>
  <si>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</si>
  <si>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</si>
  <si>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</si>
  <si>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</si>
  <si>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</si>
  <si>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</si>
  <si>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</si>
  <si>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</si>
  <si>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</si>
  <si>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</si>
  <si>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</si>
  <si>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</si>
  <si>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</si>
  <si>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</si>
  <si>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</si>
  <si>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</si>
  <si>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</si>
  <si>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</si>
  <si>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</si>
  <si>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</si>
  <si>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</si>
  <si>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</si>
  <si>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</si>
  <si>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</si>
  <si>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</si>
  <si>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</si>
  <si>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</si>
  <si>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</si>
  <si>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</si>
  <si>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</si>
  <si>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</si>
  <si>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</si>
  <si>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</si>
  <si>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</si>
  <si>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</si>
  <si>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</si>
  <si>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</si>
  <si>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</si>
  <si>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</si>
  <si>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</si>
  <si>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</si>
  <si>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</si>
  <si>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</si>
  <si>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</si>
  <si>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</si>
  <si>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</si>
  <si>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</si>
  <si>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</si>
  <si>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</si>
  <si>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</si>
  <si>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</si>
  <si>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</si>
  <si>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</si>
  <si>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</si>
  <si>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</si>
  <si>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</si>
  <si>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</si>
  <si>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</si>
  <si>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</si>
  <si>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</si>
  <si>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</si>
  <si>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</si>
  <si>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</si>
  <si>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</si>
  <si>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</si>
  <si>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</si>
  <si>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</si>
  <si>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</si>
  <si>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</si>
  <si>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</si>
  <si>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</si>
  <si>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</si>
  <si>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</si>
  <si>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</si>
  <si>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</si>
  <si>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</si>
  <si>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</si>
  <si>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</si>
  <si>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</si>
  <si>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</si>
  <si>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</si>
  <si>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</si>
  <si>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</si>
  <si>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</si>
  <si>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</si>
  <si>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</si>
  <si>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</si>
  <si>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</si>
  <si>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</si>
  <si>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</si>
  <si>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</si>
  <si>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</si>
  <si>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</si>
  <si>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</si>
  <si>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</si>
  <si>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</si>
  <si>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</si>
  <si>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</si>
  <si>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</si>
  <si>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</si>
  <si>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</si>
  <si>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</si>
  <si>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</si>
  <si>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</si>
  <si>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</si>
  <si>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</si>
  <si>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</si>
  <si>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</si>
  <si>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</si>
  <si>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</si>
  <si>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</si>
  <si>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</si>
  <si>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</si>
  <si>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</si>
  <si>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</si>
  <si>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</si>
  <si>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</si>
  <si>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</si>
  <si>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</si>
  <si>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</si>
  <si>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</si>
  <si>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</si>
  <si>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</si>
  <si>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</si>
  <si>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</si>
  <si>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</si>
  <si>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</si>
  <si>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</si>
  <si>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</si>
  <si>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</si>
  <si>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</si>
  <si>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</si>
  <si>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</si>
  <si>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</si>
  <si>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</si>
  <si>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</si>
  <si>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</si>
  <si>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</si>
  <si>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</si>
  <si>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</si>
  <si>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</si>
  <si>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</si>
  <si>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</si>
  <si>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</si>
  <si>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</si>
  <si>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</si>
  <si>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</si>
  <si>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</si>
  <si>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</si>
  <si>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</si>
  <si>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</si>
  <si>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</si>
  <si>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</si>
  <si>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</si>
  <si>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</si>
  <si>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</si>
  <si>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</si>
  <si>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</si>
  <si>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</si>
  <si>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</si>
  <si>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</si>
  <si>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</si>
  <si>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</si>
  <si>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</si>
  <si>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</si>
  <si>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</si>
  <si>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</si>
  <si>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</si>
  <si>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</si>
  <si>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</si>
  <si>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</si>
  <si>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</si>
  <si>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</si>
  <si>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</si>
  <si>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</si>
  <si>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</si>
  <si>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</si>
  <si>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</si>
  <si>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</si>
  <si>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</si>
  <si>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</si>
  <si>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</si>
  <si>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</si>
  <si>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</si>
  <si>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</si>
  <si>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</si>
  <si>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</si>
  <si>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</si>
  <si>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</si>
  <si>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</si>
  <si>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</si>
  <si>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</si>
  <si>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</si>
  <si>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</si>
  <si>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</si>
  <si>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</si>
  <si>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</si>
  <si>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</si>
  <si>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</si>
  <si>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</si>
  <si>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</si>
  <si>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</si>
  <si>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</si>
  <si>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</si>
  <si>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</si>
  <si>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</si>
  <si>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</si>
  <si>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</si>
  <si>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</si>
  <si>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</si>
  <si>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</si>
  <si>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</si>
  <si>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</si>
  <si>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</si>
  <si>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</si>
  <si>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</si>
  <si>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</si>
  <si>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</si>
  <si>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</si>
  <si>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</si>
  <si>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</si>
  <si>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</si>
  <si>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</si>
  <si>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</si>
  <si>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</si>
  <si>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</si>
  <si>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</si>
  <si>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</si>
  <si>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</si>
  <si>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</si>
  <si>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</si>
  <si>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</si>
  <si>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</si>
  <si>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</si>
  <si>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</si>
  <si>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</si>
  <si>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</si>
  <si>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</si>
  <si>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</si>
  <si>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</si>
  <si>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</si>
  <si>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</si>
  <si>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</si>
  <si>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</si>
  <si>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</si>
  <si>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</si>
  <si>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</si>
  <si>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</si>
  <si>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</si>
  <si>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</si>
  <si>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</si>
  <si>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</si>
  <si>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</si>
  <si>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</si>
  <si>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</si>
  <si>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</si>
  <si>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</si>
  <si>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</si>
  <si>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</si>
  <si>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</si>
  <si>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</si>
  <si>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</si>
  <si>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</si>
  <si>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</si>
  <si>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</si>
  <si>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</si>
  <si>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</si>
  <si>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</si>
  <si>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</si>
  <si>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</si>
  <si>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</si>
  <si>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</si>
  <si>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</si>
  <si>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</si>
  <si>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</si>
  <si>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</si>
  <si>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</si>
  <si>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</si>
  <si>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</si>
  <si>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</si>
  <si>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</si>
  <si>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</si>
  <si>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</si>
  <si>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</si>
  <si>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</si>
  <si>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</si>
  <si>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</si>
  <si>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</si>
  <si>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</si>
  <si>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</si>
  <si>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</si>
  <si>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</si>
  <si>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</si>
  <si>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</si>
  <si>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</si>
  <si>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</si>
  <si>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</si>
  <si>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</si>
  <si>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</si>
  <si>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</si>
  <si>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</si>
  <si>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</si>
  <si>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</si>
  <si>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</si>
  <si>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</si>
  <si>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</si>
  <si>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</si>
  <si>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</si>
  <si>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</si>
  <si>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</si>
  <si>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</si>
  <si>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</si>
  <si>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</si>
  <si>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</si>
  <si>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</si>
  <si>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</si>
  <si>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</si>
  <si>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</si>
  <si>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</si>
  <si>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</si>
  <si>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</si>
  <si>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</si>
  <si>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</si>
  <si>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</si>
  <si>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</si>
  <si>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</si>
  <si>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</si>
  <si>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</si>
  <si>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</si>
  <si>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</si>
  <si>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</si>
  <si>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</si>
  <si>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</si>
  <si>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</si>
  <si>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</si>
  <si>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</si>
  <si>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</si>
  <si>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</si>
  <si>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</si>
  <si>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</si>
  <si>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</si>
  <si>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</si>
  <si>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</si>
  <si>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</si>
  <si>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</si>
  <si>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</si>
  <si>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</si>
  <si>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</si>
  <si>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</si>
  <si>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</si>
  <si>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</si>
  <si>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</si>
  <si>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</si>
  <si>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</si>
  <si>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</si>
  <si>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</si>
  <si>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</si>
  <si>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</si>
  <si>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</si>
  <si>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</si>
  <si>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</si>
  <si>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</si>
  <si>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</si>
  <si>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</si>
  <si>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</si>
  <si>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</si>
  <si>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</si>
  <si>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</si>
  <si>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</si>
  <si>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</si>
  <si>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</si>
  <si>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</si>
  <si>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</si>
  <si>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</si>
  <si>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</si>
  <si>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</si>
  <si>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</si>
  <si>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</si>
  <si>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</si>
  <si>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</si>
  <si>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</si>
  <si>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</si>
  <si>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</si>
  <si>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</si>
  <si>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</si>
  <si>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</si>
  <si>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</si>
  <si>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</si>
  <si>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</si>
  <si>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</si>
  <si>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</si>
  <si>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</si>
  <si>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</si>
  <si>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</si>
  <si>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</si>
  <si>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</si>
  <si>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</si>
  <si>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</si>
  <si>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</si>
  <si>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</si>
  <si>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</si>
  <si>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</si>
  <si>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</si>
  <si>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</si>
  <si>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</si>
  <si>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</si>
  <si>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</si>
  <si>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</si>
  <si>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</si>
  <si>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</si>
  <si>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</si>
  <si>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</si>
  <si>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</si>
  <si>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</si>
  <si>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</si>
  <si>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</si>
  <si>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</si>
  <si>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</si>
  <si>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</si>
  <si>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</si>
  <si>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</si>
  <si>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</si>
  <si>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</si>
  <si>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</si>
  <si>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</si>
  <si>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</si>
  <si>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</si>
  <si>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</si>
  <si>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</si>
  <si>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</si>
  <si>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</si>
  <si>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</si>
  <si>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</si>
  <si>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</si>
  <si>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</si>
  <si>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</si>
  <si>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</si>
  <si>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</si>
  <si>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</si>
  <si>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</si>
  <si>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</si>
  <si>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</si>
  <si>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</si>
  <si>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</si>
  <si>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</si>
  <si>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</si>
  <si>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</si>
  <si>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</si>
  <si>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</si>
  <si>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</si>
  <si>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</si>
  <si>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</si>
  <si>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</si>
  <si>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</si>
  <si>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</si>
  <si>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</si>
  <si>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</si>
  <si>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</si>
  <si>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</si>
  <si>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</si>
  <si>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</si>
  <si>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</si>
  <si>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</si>
  <si>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</si>
  <si>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</si>
  <si>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</si>
  <si>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</si>
  <si>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</si>
  <si>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</si>
  <si>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</si>
  <si>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</si>
  <si>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</si>
  <si>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</si>
  <si>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</si>
  <si>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</si>
  <si>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</si>
  <si>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</si>
  <si>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</si>
  <si>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</si>
  <si>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</si>
  <si>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</si>
  <si>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</si>
  <si>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</si>
  <si>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</si>
  <si>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</si>
  <si>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</si>
  <si>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</si>
  <si>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</si>
  <si>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</si>
  <si>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</si>
  <si>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</si>
  <si>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</si>
  <si>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</si>
  <si>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</si>
  <si>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</si>
  <si>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</si>
  <si>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</si>
  <si>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</si>
  <si>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</si>
  <si>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</si>
  <si>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</si>
  <si>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</si>
  <si>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</si>
  <si>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</si>
  <si>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</si>
  <si>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</si>
  <si>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</si>
  <si>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</si>
  <si>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</si>
  <si>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</si>
  <si>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</si>
  <si>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</si>
  <si>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</si>
  <si>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</si>
  <si>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</si>
  <si>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</si>
  <si>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</si>
  <si>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</si>
  <si>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</si>
  <si>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</si>
  <si>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</si>
  <si>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</si>
  <si>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</si>
  <si>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</si>
  <si>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</si>
  <si>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</si>
  <si>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</si>
  <si>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</si>
  <si>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</si>
  <si>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</si>
  <si>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</si>
  <si>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</si>
  <si>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</si>
  <si>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</si>
  <si>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</si>
  <si>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</si>
  <si>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</si>
  <si>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</si>
  <si>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</si>
  <si>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</si>
  <si>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</si>
  <si>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</si>
  <si>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</si>
  <si>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</si>
  <si>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</si>
  <si>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</si>
  <si>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</si>
  <si>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</si>
  <si>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</si>
  <si>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</si>
  <si>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</si>
  <si>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</si>
  <si>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</si>
  <si>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</si>
  <si>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</si>
  <si>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</si>
  <si>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</si>
  <si>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</si>
  <si>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</si>
  <si>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</si>
  <si>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</si>
  <si>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</si>
  <si>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</si>
  <si>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</si>
  <si>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</si>
  <si>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</si>
  <si>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</si>
  <si>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</si>
  <si>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</si>
  <si>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</si>
  <si>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</si>
  <si>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</si>
  <si>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</si>
  <si>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</si>
  <si>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</si>
  <si>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</si>
  <si>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</si>
  <si>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</si>
  <si>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</si>
  <si>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</si>
  <si>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</si>
  <si>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</si>
  <si>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</si>
  <si>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</si>
  <si>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</si>
  <si>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</si>
  <si>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</si>
  <si>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</si>
  <si>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</si>
  <si>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</si>
  <si>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</si>
  <si>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</si>
  <si>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</si>
  <si>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</si>
  <si>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</si>
  <si>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</si>
  <si>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</si>
  <si>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</si>
  <si>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</si>
  <si>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</si>
  <si>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</si>
  <si>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</si>
  <si>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</si>
  <si>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</si>
  <si>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</si>
  <si>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</si>
  <si>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</si>
  <si>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</si>
  <si>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</si>
  <si>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</si>
  <si>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</si>
  <si>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</si>
  <si>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</si>
  <si>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</si>
  <si>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</si>
  <si>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</si>
  <si>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</si>
  <si>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</si>
  <si>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</si>
  <si>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</si>
  <si>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</si>
  <si>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</si>
  <si>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</si>
  <si>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</si>
  <si>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</si>
  <si>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</si>
  <si>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</si>
  <si>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</si>
  <si>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</si>
  <si>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</si>
  <si>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</si>
  <si>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</si>
  <si>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</si>
  <si>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</si>
  <si>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</si>
  <si>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</si>
  <si>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</si>
  <si>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</si>
  <si>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</si>
  <si>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</si>
  <si>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</si>
  <si>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</si>
  <si>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</si>
  <si>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</si>
  <si>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</si>
  <si>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</si>
  <si>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</si>
  <si>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</si>
  <si>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</si>
  <si>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</si>
  <si>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</si>
  <si>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</si>
  <si>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</si>
  <si>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</si>
  <si>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</si>
  <si>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</si>
  <si>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</si>
  <si>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</si>
  <si>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</si>
  <si>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</si>
  <si>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</si>
  <si>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</si>
  <si>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</si>
  <si>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</si>
  <si>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</si>
  <si>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</si>
  <si>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</si>
  <si>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</si>
  <si>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</si>
  <si>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</si>
  <si>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</si>
  <si>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</si>
  <si>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</si>
  <si>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</si>
  <si>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</si>
  <si>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</si>
  <si>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</si>
  <si>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</si>
  <si>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</si>
  <si>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</si>
  <si>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</si>
  <si>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</si>
  <si>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</si>
  <si>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</si>
  <si>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</si>
  <si>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</si>
  <si>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</si>
  <si>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</si>
  <si>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</si>
  <si>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</si>
  <si>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</si>
  <si>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</si>
  <si>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</si>
  <si>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</si>
  <si>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</si>
  <si>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</si>
  <si>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</si>
  <si>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</si>
  <si>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</si>
  <si>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</si>
  <si>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</si>
  <si>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</si>
  <si>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</si>
  <si>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</si>
  <si>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</si>
  <si>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</si>
  <si>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</si>
  <si>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</si>
  <si>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</si>
  <si>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</si>
  <si>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</si>
  <si>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</si>
  <si>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</si>
  <si>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</si>
  <si>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</si>
  <si>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</si>
  <si>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</si>
  <si>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</si>
  <si>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</si>
  <si>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</si>
  <si>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</si>
  <si>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</si>
  <si>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</si>
  <si>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</si>
  <si>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</si>
  <si>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</si>
  <si>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</si>
  <si>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</si>
  <si>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</si>
  <si>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</si>
  <si>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</si>
  <si>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</si>
  <si>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</si>
  <si>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</si>
  <si>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</si>
  <si>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</si>
  <si>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</si>
  <si>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</si>
  <si>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</si>
  <si>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</si>
  <si>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</si>
  <si>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</si>
  <si>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</si>
  <si>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</si>
  <si>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</si>
  <si>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</si>
  <si>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</si>
  <si>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</si>
  <si>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</si>
  <si>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</si>
  <si>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</si>
  <si>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</si>
  <si>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</si>
  <si>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</si>
  <si>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</si>
  <si>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</si>
  <si>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</si>
  <si>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</si>
  <si>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</si>
  <si>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</si>
  <si>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</si>
  <si>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</si>
  <si>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</si>
  <si>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</si>
  <si>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</si>
  <si>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</si>
  <si>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</si>
  <si>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</si>
  <si>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</si>
  <si>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</si>
  <si>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</si>
  <si>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</si>
  <si>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</si>
  <si>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</si>
  <si>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</si>
  <si>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</si>
  <si>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</si>
  <si>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</si>
  <si>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</si>
  <si>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</si>
  <si>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</si>
  <si>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</si>
  <si>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</si>
  <si>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</si>
  <si>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</si>
  <si>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</si>
  <si>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</si>
  <si>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</si>
  <si>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</si>
  <si>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</si>
  <si>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</si>
  <si>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</si>
  <si>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</si>
  <si>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</si>
  <si>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</si>
  <si>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</si>
  <si>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</si>
  <si>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</si>
  <si>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</si>
  <si>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</si>
  <si>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</si>
  <si>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</si>
  <si>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</si>
  <si>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</si>
  <si>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</si>
  <si>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</si>
  <si>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</si>
  <si>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</si>
  <si>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</si>
  <si>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</si>
  <si>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</si>
  <si>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</si>
  <si>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</si>
  <si>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</si>
  <si>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</si>
  <si>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</si>
  <si>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</si>
  <si>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</si>
  <si>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</si>
  <si>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</si>
  <si>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</si>
  <si>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</si>
  <si>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</si>
  <si>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</si>
  <si>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</si>
  <si>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</si>
  <si>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</si>
  <si>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</si>
  <si>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</si>
  <si>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</si>
  <si>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</si>
  <si>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</si>
  <si>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</si>
  <si>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</si>
  <si>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</si>
  <si>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</si>
  <si>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</si>
  <si>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</si>
  <si>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</si>
  <si>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</si>
  <si>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</si>
  <si>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</si>
  <si>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</si>
  <si>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</si>
  <si>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</si>
  <si>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</si>
  <si>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</si>
  <si>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</si>
  <si>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</si>
  <si>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</si>
  <si>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</si>
  <si>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</si>
  <si>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</si>
  <si>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</si>
  <si>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</si>
  <si>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</si>
  <si>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</si>
  <si>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</si>
  <si>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</si>
  <si>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</si>
  <si>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</si>
  <si>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</si>
  <si>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</si>
  <si>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</si>
  <si>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</si>
  <si>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</si>
  <si>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</si>
  <si>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</si>
  <si>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</si>
  <si>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</si>
  <si>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</si>
  <si>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</si>
  <si>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</si>
  <si>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</si>
  <si>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</si>
  <si>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</si>
  <si>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</si>
  <si>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</si>
  <si>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</si>
  <si>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</si>
  <si>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</si>
  <si>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</si>
  <si>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</si>
  <si>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</si>
  <si>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</si>
  <si>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</si>
  <si>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</si>
  <si>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</si>
  <si>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d:\EXCEL_TURNI_VBA_SQLITE\rsa.sqlite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</si>
  <si>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</si>
  <si>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</si>
  <si>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</si>
  <si>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</si>
  <si>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</si>
  <si>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</si>
  <si>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</si>
  <si>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</si>
  <si>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</si>
  <si>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ON;2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</si>
</sst>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14"/>
      <color indexed="3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5">
    <dxf>
      <numFmt numFmtId="0" formatCode="General"/>
    </dxf>
    <dxf>
      <numFmt numFmtId="19" formatCode="m/d/yyyy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7</xdr:row>
          <xdr:rowOff>19050</xdr:rowOff>
        </xdr:from>
        <xdr:to>
          <xdr:col>20</xdr:col>
          <xdr:colOff>238125</xdr:colOff>
          <xdr:row>17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8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78849" name="BtnGeneraTempl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ANDI"/>
      <sheetName val="ANAGRAFICA"/>
      <sheetName val="MATRICETURNI"/>
      <sheetName val="TURNAZIONE_OPERATORE"/>
      <sheetName val="2016_45"/>
      <sheetName val="Classified as UnClassified"/>
      <sheetName val="xl_DCF_History"/>
      <sheetName val="Book3"/>
    </sheetNames>
    <definedNames>
      <definedName name="btn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3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turnazione_operatore" connectionId="4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4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25" unboundColumnsRight="9">
    <queryTableFields count="24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  <queryTableField id="17" dataBound="0" tableColumnId="32"/>
      <queryTableField id="18" dataBound="0" tableColumnId="33"/>
      <queryTableField id="19" dataBound="0" tableColumnId="34"/>
      <queryTableField id="20" dataBound="0" tableColumnId="35"/>
      <queryTableField id="21" dataBound="0" tableColumnId="36"/>
      <queryTableField id="22" dataBound="0" tableColumnId="37"/>
      <queryTableField id="23" dataBound="0" tableColumnId="38"/>
      <queryTableField id="24" dataBound="0" tableColumnId="3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36" tableType="queryTable" totalsRowShown="0">
  <autoFilter ref="A4:D36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79" tableType="queryTable" totalsRowShown="0">
  <autoFilter ref="A4:M79"/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able_turnazione_operatore" displayName="Table_turnazione_operatore" ref="A4:P2684" tableType="queryTable" totalsRowShown="0">
  <autoFilter ref="A4:P2684"/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2" name="tab_2016_45_46" displayName="tab_2016_45_46" ref="A3:X35" tableType="queryTable" totalsRowShown="0">
  <tableColumns count="24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Column1" queryTableFieldId="16"/>
    <tableColumn id="32" uniqueName="32" name="Column2" queryTableFieldId="17"/>
    <tableColumn id="33" uniqueName="33" name="Column3" queryTableFieldId="18"/>
    <tableColumn id="34" uniqueName="34" name="Column4" queryTableFieldId="19"/>
    <tableColumn id="35" uniqueName="35" name="Column5" queryTableFieldId="20"/>
    <tableColumn id="36" uniqueName="36" name="Column6" queryTableFieldId="21"/>
    <tableColumn id="37" uniqueName="37" name="Column7" queryTableFieldId="22"/>
    <tableColumn id="38" uniqueName="38" name="Column8" queryTableFieldId="23"/>
    <tableColumn id="39" uniqueName="39" name="Column9" queryTableFieldId="24" dataDxfId="0">
      <calculatedColumnFormula>min_hour(IF(164=P,420,3))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B15"/>
  <sheetViews>
    <sheetView workbookViewId="0">
      <selection activeCell="H16" sqref="H16"/>
    </sheetView>
  </sheetViews>
  <sheetFormatPr defaultRowHeight="15" x14ac:dyDescent="0.25"/>
  <cols>
    <col min="1" max="1" width="11" bestFit="1" customWidth="1"/>
    <col min="2" max="2" width="13.140625" bestFit="1" customWidth="1"/>
  </cols>
  <sheetData>
    <row r="12" spans="1:2" x14ac:dyDescent="0.25">
      <c r="A12" s="4" t="s">
        <v>1267</v>
      </c>
      <c r="B12" s="4" t="s">
        <v>1268</v>
      </c>
    </row>
    <row r="13" spans="1:2" x14ac:dyDescent="0.25">
      <c r="A13">
        <v>1</v>
      </c>
      <c r="B13" t="s">
        <v>1266</v>
      </c>
    </row>
    <row r="14" spans="1:2" x14ac:dyDescent="0.25">
      <c r="A14">
        <v>999</v>
      </c>
      <c r="B14" t="s">
        <v>1269</v>
      </c>
    </row>
    <row r="15" spans="1:2" x14ac:dyDescent="0.25">
      <c r="A15">
        <v>8888</v>
      </c>
      <c r="B15" t="s">
        <v>1270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E18" sqref="E1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1278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36"/>
  <sheetViews>
    <sheetView zoomScale="90" zoomScaleNormal="90" workbookViewId="0">
      <selection activeCell="C25" sqref="C25"/>
    </sheetView>
  </sheetViews>
  <sheetFormatPr defaultRowHeight="15" x14ac:dyDescent="0.25"/>
  <cols>
    <col min="1" max="1" width="11.7109375" bestFit="1" customWidth="1"/>
    <col min="2" max="2" width="11.85546875" bestFit="1" customWidth="1"/>
    <col min="3" max="3" width="14.28515625" bestFit="1" customWidth="1"/>
    <col min="4" max="4" width="8.425781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1273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93</v>
      </c>
      <c r="B6" t="s">
        <v>5</v>
      </c>
      <c r="C6" t="s">
        <v>6</v>
      </c>
      <c r="D6" t="s">
        <v>92</v>
      </c>
    </row>
    <row r="7" spans="1:4" x14ac:dyDescent="0.25">
      <c r="A7" t="s">
        <v>94</v>
      </c>
      <c r="B7" t="s">
        <v>7</v>
      </c>
      <c r="C7" t="s">
        <v>8</v>
      </c>
      <c r="D7" t="s">
        <v>92</v>
      </c>
    </row>
    <row r="8" spans="1:4" x14ac:dyDescent="0.25">
      <c r="A8" t="s">
        <v>96</v>
      </c>
      <c r="B8" t="s">
        <v>9</v>
      </c>
      <c r="C8" t="s">
        <v>10</v>
      </c>
      <c r="D8" t="s">
        <v>92</v>
      </c>
    </row>
    <row r="9" spans="1:4" x14ac:dyDescent="0.25">
      <c r="A9" t="s">
        <v>97</v>
      </c>
      <c r="B9" t="s">
        <v>11</v>
      </c>
      <c r="C9" t="s">
        <v>12</v>
      </c>
      <c r="D9" t="s">
        <v>92</v>
      </c>
    </row>
    <row r="10" spans="1:4" x14ac:dyDescent="0.25">
      <c r="A10" t="s">
        <v>120</v>
      </c>
      <c r="B10" t="s">
        <v>13</v>
      </c>
      <c r="C10" t="s">
        <v>14</v>
      </c>
      <c r="D10" t="s">
        <v>92</v>
      </c>
    </row>
    <row r="11" spans="1:4" x14ac:dyDescent="0.25">
      <c r="A11" t="s">
        <v>98</v>
      </c>
      <c r="B11" t="s">
        <v>13</v>
      </c>
      <c r="C11" t="s">
        <v>15</v>
      </c>
      <c r="D11" t="s">
        <v>92</v>
      </c>
    </row>
    <row r="12" spans="1:4" x14ac:dyDescent="0.25">
      <c r="A12" t="s">
        <v>99</v>
      </c>
      <c r="B12" t="s">
        <v>16</v>
      </c>
      <c r="C12" t="s">
        <v>17</v>
      </c>
      <c r="D12" t="s">
        <v>75</v>
      </c>
    </row>
    <row r="13" spans="1:4" x14ac:dyDescent="0.25">
      <c r="A13" t="s">
        <v>100</v>
      </c>
      <c r="B13" t="s">
        <v>18</v>
      </c>
      <c r="C13" t="s">
        <v>19</v>
      </c>
      <c r="D13" t="s">
        <v>92</v>
      </c>
    </row>
    <row r="14" spans="1:4" x14ac:dyDescent="0.25">
      <c r="A14" t="s">
        <v>101</v>
      </c>
      <c r="B14" t="s">
        <v>20</v>
      </c>
      <c r="C14" t="s">
        <v>21</v>
      </c>
      <c r="D14" t="s">
        <v>92</v>
      </c>
    </row>
    <row r="15" spans="1:4" x14ac:dyDescent="0.25">
      <c r="A15" t="s">
        <v>102</v>
      </c>
      <c r="B15" t="s">
        <v>22</v>
      </c>
      <c r="C15" t="s">
        <v>17</v>
      </c>
      <c r="D15" t="s">
        <v>75</v>
      </c>
    </row>
    <row r="16" spans="1:4" x14ac:dyDescent="0.25">
      <c r="A16" t="s">
        <v>103</v>
      </c>
      <c r="B16" t="s">
        <v>23</v>
      </c>
      <c r="C16" t="s">
        <v>24</v>
      </c>
      <c r="D16" t="s">
        <v>92</v>
      </c>
    </row>
    <row r="17" spans="1:4" x14ac:dyDescent="0.25">
      <c r="A17" t="s">
        <v>127</v>
      </c>
      <c r="B17" t="s">
        <v>23</v>
      </c>
      <c r="C17" t="s">
        <v>55</v>
      </c>
      <c r="D17" t="s">
        <v>75</v>
      </c>
    </row>
    <row r="18" spans="1:4" x14ac:dyDescent="0.25">
      <c r="A18" t="s">
        <v>104</v>
      </c>
      <c r="B18" t="s">
        <v>25</v>
      </c>
      <c r="C18" t="s">
        <v>132</v>
      </c>
      <c r="D18" t="s">
        <v>92</v>
      </c>
    </row>
    <row r="19" spans="1:4" x14ac:dyDescent="0.25">
      <c r="A19" t="s">
        <v>129</v>
      </c>
      <c r="B19" t="s">
        <v>56</v>
      </c>
      <c r="C19" t="s">
        <v>57</v>
      </c>
      <c r="D19" t="s">
        <v>75</v>
      </c>
    </row>
    <row r="20" spans="1:4" x14ac:dyDescent="0.25">
      <c r="A20" t="s">
        <v>105</v>
      </c>
      <c r="B20" t="s">
        <v>26</v>
      </c>
      <c r="C20" t="s">
        <v>27</v>
      </c>
      <c r="D20" t="s">
        <v>75</v>
      </c>
    </row>
    <row r="21" spans="1:4" x14ac:dyDescent="0.25">
      <c r="A21" t="s">
        <v>106</v>
      </c>
      <c r="B21" t="s">
        <v>28</v>
      </c>
      <c r="C21" t="s">
        <v>29</v>
      </c>
      <c r="D21" t="s">
        <v>92</v>
      </c>
    </row>
    <row r="22" spans="1:4" x14ac:dyDescent="0.25">
      <c r="A22" t="s">
        <v>107</v>
      </c>
      <c r="B22" t="s">
        <v>30</v>
      </c>
      <c r="C22" t="s">
        <v>8</v>
      </c>
      <c r="D22" t="s">
        <v>92</v>
      </c>
    </row>
    <row r="23" spans="1:4" x14ac:dyDescent="0.25">
      <c r="A23" t="s">
        <v>108</v>
      </c>
      <c r="B23" t="s">
        <v>30</v>
      </c>
      <c r="C23" t="s">
        <v>31</v>
      </c>
      <c r="D23" t="s">
        <v>92</v>
      </c>
    </row>
    <row r="24" spans="1:4" x14ac:dyDescent="0.25">
      <c r="A24" t="s">
        <v>109</v>
      </c>
      <c r="B24" t="s">
        <v>32</v>
      </c>
      <c r="C24" t="s">
        <v>33</v>
      </c>
      <c r="D24" t="s">
        <v>75</v>
      </c>
    </row>
    <row r="25" spans="1:4" x14ac:dyDescent="0.25">
      <c r="A25" t="s">
        <v>122</v>
      </c>
      <c r="B25" t="s">
        <v>32</v>
      </c>
      <c r="C25" t="s">
        <v>34</v>
      </c>
      <c r="D25" t="s">
        <v>92</v>
      </c>
    </row>
    <row r="26" spans="1:4" x14ac:dyDescent="0.25">
      <c r="A26" t="s">
        <v>110</v>
      </c>
      <c r="B26" t="s">
        <v>35</v>
      </c>
      <c r="C26" t="s">
        <v>36</v>
      </c>
      <c r="D26" t="s">
        <v>92</v>
      </c>
    </row>
    <row r="27" spans="1:4" x14ac:dyDescent="0.25">
      <c r="A27" t="s">
        <v>130</v>
      </c>
      <c r="B27" t="s">
        <v>58</v>
      </c>
      <c r="C27" t="s">
        <v>59</v>
      </c>
      <c r="D27" t="s">
        <v>75</v>
      </c>
    </row>
    <row r="28" spans="1:4" x14ac:dyDescent="0.25">
      <c r="A28" t="s">
        <v>111</v>
      </c>
      <c r="B28" t="s">
        <v>37</v>
      </c>
      <c r="C28" t="s">
        <v>38</v>
      </c>
      <c r="D28" t="s">
        <v>75</v>
      </c>
    </row>
    <row r="29" spans="1:4" x14ac:dyDescent="0.25">
      <c r="A29" t="s">
        <v>112</v>
      </c>
      <c r="B29" t="s">
        <v>39</v>
      </c>
      <c r="C29" t="s">
        <v>40</v>
      </c>
      <c r="D29" t="s">
        <v>92</v>
      </c>
    </row>
    <row r="30" spans="1:4" x14ac:dyDescent="0.25">
      <c r="A30" t="s">
        <v>113</v>
      </c>
      <c r="B30" t="s">
        <v>41</v>
      </c>
      <c r="C30" t="s">
        <v>42</v>
      </c>
      <c r="D30" t="s">
        <v>75</v>
      </c>
    </row>
    <row r="31" spans="1:4" x14ac:dyDescent="0.25">
      <c r="A31" t="s">
        <v>114</v>
      </c>
      <c r="B31" t="s">
        <v>43</v>
      </c>
      <c r="C31" t="s">
        <v>44</v>
      </c>
      <c r="D31" t="s">
        <v>75</v>
      </c>
    </row>
    <row r="32" spans="1:4" x14ac:dyDescent="0.25">
      <c r="A32" t="s">
        <v>115</v>
      </c>
      <c r="B32" t="s">
        <v>45</v>
      </c>
      <c r="C32" t="s">
        <v>46</v>
      </c>
      <c r="D32" t="s">
        <v>92</v>
      </c>
    </row>
    <row r="33" spans="1:4" x14ac:dyDescent="0.25">
      <c r="A33" t="s">
        <v>116</v>
      </c>
      <c r="B33" t="s">
        <v>47</v>
      </c>
      <c r="C33" t="s">
        <v>48</v>
      </c>
      <c r="D33" t="s">
        <v>75</v>
      </c>
    </row>
    <row r="34" spans="1:4" x14ac:dyDescent="0.25">
      <c r="A34" t="s">
        <v>117</v>
      </c>
      <c r="B34" t="s">
        <v>49</v>
      </c>
      <c r="C34" t="s">
        <v>50</v>
      </c>
      <c r="D34" t="s">
        <v>92</v>
      </c>
    </row>
    <row r="35" spans="1:4" x14ac:dyDescent="0.25">
      <c r="A35" t="s">
        <v>118</v>
      </c>
      <c r="B35" t="s">
        <v>51</v>
      </c>
      <c r="C35" t="s">
        <v>52</v>
      </c>
      <c r="D35" t="s">
        <v>92</v>
      </c>
    </row>
    <row r="36" spans="1:4" x14ac:dyDescent="0.25">
      <c r="A36" t="s">
        <v>119</v>
      </c>
      <c r="B36" t="s">
        <v>53</v>
      </c>
      <c r="C36" t="s">
        <v>54</v>
      </c>
      <c r="D36" t="s">
        <v>92</v>
      </c>
    </row>
  </sheetData>
  <conditionalFormatting sqref="A1:A1048576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M79"/>
  <sheetViews>
    <sheetView topLeftCell="A40" workbookViewId="0">
      <selection activeCell="E71" sqref="E71"/>
    </sheetView>
  </sheetViews>
  <sheetFormatPr defaultRowHeight="15" x14ac:dyDescent="0.25"/>
  <cols>
    <col min="1" max="1" width="13.140625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</row>
    <row r="5" spans="1:13" x14ac:dyDescent="0.25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 x14ac:dyDescent="0.25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 x14ac:dyDescent="0.25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 x14ac:dyDescent="0.25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 x14ac:dyDescent="0.25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 x14ac:dyDescent="0.25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 x14ac:dyDescent="0.25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 x14ac:dyDescent="0.25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 x14ac:dyDescent="0.25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 x14ac:dyDescent="0.25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 x14ac:dyDescent="0.25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 x14ac:dyDescent="0.25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x14ac:dyDescent="0.25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x14ac:dyDescent="0.25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x14ac:dyDescent="0.25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x14ac:dyDescent="0.25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x14ac:dyDescent="0.25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x14ac:dyDescent="0.25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x14ac:dyDescent="0.25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x14ac:dyDescent="0.25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x14ac:dyDescent="0.25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x14ac:dyDescent="0.25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x14ac:dyDescent="0.25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x14ac:dyDescent="0.25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x14ac:dyDescent="0.25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x14ac:dyDescent="0.25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x14ac:dyDescent="0.25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x14ac:dyDescent="0.25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x14ac:dyDescent="0.25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x14ac:dyDescent="0.25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x14ac:dyDescent="0.25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x14ac:dyDescent="0.25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x14ac:dyDescent="0.25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x14ac:dyDescent="0.25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x14ac:dyDescent="0.25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x14ac:dyDescent="0.25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x14ac:dyDescent="0.25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x14ac:dyDescent="0.25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x14ac:dyDescent="0.25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x14ac:dyDescent="0.25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x14ac:dyDescent="0.25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x14ac:dyDescent="0.25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x14ac:dyDescent="0.25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x14ac:dyDescent="0.25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x14ac:dyDescent="0.25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x14ac:dyDescent="0.25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x14ac:dyDescent="0.25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x14ac:dyDescent="0.25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x14ac:dyDescent="0.25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x14ac:dyDescent="0.25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x14ac:dyDescent="0.25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x14ac:dyDescent="0.25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x14ac:dyDescent="0.25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x14ac:dyDescent="0.25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x14ac:dyDescent="0.25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x14ac:dyDescent="0.25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x14ac:dyDescent="0.25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x14ac:dyDescent="0.25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12" x14ac:dyDescent="0.25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12" x14ac:dyDescent="0.25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12" x14ac:dyDescent="0.25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12" x14ac:dyDescent="0.25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12" x14ac:dyDescent="0.25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12" x14ac:dyDescent="0.25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12" x14ac:dyDescent="0.25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12" x14ac:dyDescent="0.25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12" x14ac:dyDescent="0.25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12" x14ac:dyDescent="0.25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12" x14ac:dyDescent="0.25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</row>
    <row r="76" spans="1:12" x14ac:dyDescent="0.25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12" x14ac:dyDescent="0.25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12" x14ac:dyDescent="0.25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12" x14ac:dyDescent="0.25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323850</xdr:colOff>
                    <xdr:row>7</xdr:row>
                    <xdr:rowOff>19050</xdr:rowOff>
                  </from>
                  <to>
                    <xdr:col>20</xdr:col>
                    <xdr:colOff>238125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684"/>
  <sheetViews>
    <sheetView topLeftCell="A4" workbookViewId="0">
      <selection activeCell="F11" sqref="F11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42436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42443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42450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42457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42436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42443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42450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42457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42436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42443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42450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42457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42436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42443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42450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42457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42436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42443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42450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42457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42436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42443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42450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42457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42436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42443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42450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42457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42436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42443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42450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42457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42436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42443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42450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42457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42436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42443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42450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42457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42436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42443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42450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42457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42436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42443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42450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42457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42436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42443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42450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42457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42436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42443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42450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42457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42436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42443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42450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42457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42436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42443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42450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42457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42436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42443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42450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42457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42436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42443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42450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42457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42436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42443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42450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42457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42436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42443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42450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42457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42436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42443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42450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42457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42436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42443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42450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42457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42436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42443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42450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42457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42436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42443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42450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42457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42436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42443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42450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42457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42436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42443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42450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42457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42436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42443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42450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42457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42436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42443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42450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42457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42436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42443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42450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42457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42464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42471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42478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42485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42464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42471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42478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42485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42464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42471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42478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42485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42464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42471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42478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42485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42464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42471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42478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42485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42464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42471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42478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42485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42464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42471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42478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42485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42464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42471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42478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42485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42464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42471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42478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42485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42464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42471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42478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42485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42464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42471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42478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42485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42464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42471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42478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42485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42464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42471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42478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42485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42464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42471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42478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42485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42464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42471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42478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42485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42464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42471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42478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42485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42464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42471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42478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42485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42464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42471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42478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42485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42464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42471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42478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42485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42464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42471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42478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42485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42464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42471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42478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42485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42464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42471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42478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42485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42464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42471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42478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42485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42464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42471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42478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42485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42464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42471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42478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42485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42464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42471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42478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42485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42464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42471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42478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42485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42464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42471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42478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42485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42464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42471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42478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42485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42464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42471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42478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42485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42464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42471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42478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42485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42464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42471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42478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42485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42492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42499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42506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42513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42520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42492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42499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42506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42513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42520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42492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42499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42506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42513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42520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42492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42499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42506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42513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42520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42492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42499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42506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42513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42520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42492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42499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42506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42513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42520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42492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42499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42506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42513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42520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42492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42499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42506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42513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42520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42492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42499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42506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42513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42520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42492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42499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42506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42513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42520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42492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42499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42506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42513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42520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42492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42499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42506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42513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42520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42492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42499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42506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42513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42520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42492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42499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42506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42513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42520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42492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42499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42506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42513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42520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42492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42499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42506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42513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42520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42492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42499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42506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42513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42520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42492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42499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42506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42513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42520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42492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42499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42506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42513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42520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42492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42499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42506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42513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42520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42492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42499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42506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42513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42520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42492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42499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42506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42513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42520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42492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42499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42506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42513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42520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42492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42499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42506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42513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42520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42492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42499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42506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42513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42520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42492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42499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42506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42513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42520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42492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42499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42506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42513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42520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42492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42499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42506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42513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42520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42492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42499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42506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42513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42520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42492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42499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42506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42513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42520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42492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42499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42506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42513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42520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42492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42499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42506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42513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42520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42527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42534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42541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42548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42527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42534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42541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42548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42527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42534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42541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42548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42527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42534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42541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42548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42527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42534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42541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42548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42527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42534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42541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42548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42527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42534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42541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42548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42527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42534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42541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42548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42527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42534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42541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42548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42527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42534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42541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42548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42527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42534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42541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42548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42527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42534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42541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42548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42527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42534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42541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42527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42534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42541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42548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42527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42534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42541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42548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42527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42534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42541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42548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42527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42534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42541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42548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42527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42534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42541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42548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42527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42534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42541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42548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42527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42534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42541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42548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42527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42534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42541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42548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42527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42534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42541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42548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42527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42534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42541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42548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42527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42534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42541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42548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42527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42534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42541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42548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42527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42534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42541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42548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42527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42534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42541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42548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42527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42534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42541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42548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42527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42534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42541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42548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42527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42534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42541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42548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42527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42534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42541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42548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42527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42534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42541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42548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42548</v>
      </c>
      <c r="H2114">
        <v>26</v>
      </c>
      <c r="I2114">
        <v>2016</v>
      </c>
    </row>
    <row r="2115" spans="1:16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42555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42562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42569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42576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42555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42562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42569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42576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42555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42562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42569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42576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42555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42562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42569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42576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42555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42562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42569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42576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42555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42562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42569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42576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42555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42562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42569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42576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42555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42562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42569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42576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42555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42562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42569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42576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42555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42562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42569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42576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42555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42562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42569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42576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42555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42562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42569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42576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42555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42562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42569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42576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42555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42562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42569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42576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42555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42562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42569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42576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42555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42562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42569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42576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42555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42562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42569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42576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42555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42562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42569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42576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42555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42562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42569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42576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42555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42562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42569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42576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42555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42562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42569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42576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42555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42562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42569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42576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42555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42562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42569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42576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42555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42562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42569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42576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42555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42562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42569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42576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42555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42562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42569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42576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42555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42562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42569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42576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42555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42562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42569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42576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42555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42562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42569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42576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42555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42562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42569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42576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42555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42562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42569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42576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42555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42562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42569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42576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42583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42590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42597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42604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42611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42583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42590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42597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42604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42611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42583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42590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42597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42604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42611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42583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42590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42597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42604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42611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42583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42590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42597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42604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42611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42583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42590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42597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42604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42611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42583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42590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42597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42604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42611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42583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42590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42597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42604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42611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42583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42590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42597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42604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42611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42583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42590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42597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42604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42611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42583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42590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42597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42604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42611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42583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42583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42590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42597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42604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42611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42583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42590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42597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42604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42611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42583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42590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42597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42604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42611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42583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42590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42597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42604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42611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42583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42590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42597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42604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42611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42583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42590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42597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42604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42611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42583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42590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42597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42604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42611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42583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42583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42590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42597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42604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42611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42583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42590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42597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42604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42611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42583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42590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42597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42604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42611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42583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42590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42597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42604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42611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42583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42590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42597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42604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42611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42583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42590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42597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42604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42611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42583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42590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42597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42604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42611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42583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42590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42597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42604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42611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42583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42590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42597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42604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42611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42583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42590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42597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42604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42611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42583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42590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42597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42604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42611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42583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42590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42597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42604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42611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42611</v>
      </c>
      <c r="H2395">
        <v>35</v>
      </c>
      <c r="I2395">
        <v>2016</v>
      </c>
    </row>
    <row r="2396" spans="1:16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42611</v>
      </c>
      <c r="H2396">
        <v>35</v>
      </c>
      <c r="I2396">
        <v>2016</v>
      </c>
      <c r="J2396" t="s">
        <v>132</v>
      </c>
    </row>
    <row r="2397" spans="1:16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42618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42625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42632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42639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42618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42625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42632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42639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42618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42625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42632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42639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42618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42625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42632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42639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42618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42625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42632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42639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42618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42625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42632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42639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42618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42625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42632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42639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42618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42625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42632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42639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42618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42625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42632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42639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42618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42625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42632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42639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42618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42625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42632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42639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42618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42625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42632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42639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42618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42625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42632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42639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42618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42625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42632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42639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42618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42625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42632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42639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42618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42625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42632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42639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42618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42625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42632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42639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42618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42625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42632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42639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42618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42625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42632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42639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42618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42625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42632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42639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42618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42625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42632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42639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42618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42625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42632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42639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42618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42625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42632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42639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42618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42625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42632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42639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42618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42625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42632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42639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42618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42625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42632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42639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42618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42625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42632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42639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42618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42625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42632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42639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42618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42625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42632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42639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42618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42625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42632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42639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42618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42625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42632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42639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42618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42625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42632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42639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42646</v>
      </c>
      <c r="H2525">
        <v>40</v>
      </c>
      <c r="I2525">
        <v>2016</v>
      </c>
      <c r="J2525" t="s">
        <v>73</v>
      </c>
      <c r="K2525" t="s">
        <v>74</v>
      </c>
      <c r="L2525" t="s">
        <v>75</v>
      </c>
      <c r="M2525" t="s">
        <v>75</v>
      </c>
      <c r="N2525" t="s">
        <v>76</v>
      </c>
      <c r="O2525" t="s">
        <v>77</v>
      </c>
      <c r="P2525" t="s">
        <v>73</v>
      </c>
    </row>
    <row r="2526" spans="1:16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42653</v>
      </c>
      <c r="H2526">
        <v>41</v>
      </c>
      <c r="I2526">
        <v>2016</v>
      </c>
      <c r="J2526" t="s">
        <v>74</v>
      </c>
      <c r="K2526" t="s">
        <v>75</v>
      </c>
      <c r="L2526" t="s">
        <v>75</v>
      </c>
      <c r="M2526" t="s">
        <v>75</v>
      </c>
      <c r="N2526" t="s">
        <v>75</v>
      </c>
      <c r="O2526" t="s">
        <v>73</v>
      </c>
      <c r="P2526" t="s">
        <v>75</v>
      </c>
    </row>
    <row r="2527" spans="1:16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42660</v>
      </c>
      <c r="H2527">
        <v>42</v>
      </c>
      <c r="I2527">
        <v>2016</v>
      </c>
      <c r="J2527" t="s">
        <v>74</v>
      </c>
      <c r="K2527" t="s">
        <v>75</v>
      </c>
      <c r="L2527" t="s">
        <v>76</v>
      </c>
      <c r="M2527" t="s">
        <v>77</v>
      </c>
      <c r="N2527" t="s">
        <v>73</v>
      </c>
      <c r="O2527" t="s">
        <v>74</v>
      </c>
      <c r="P2527" t="s">
        <v>75</v>
      </c>
    </row>
    <row r="2528" spans="1:16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42667</v>
      </c>
      <c r="H2528">
        <v>43</v>
      </c>
      <c r="I2528">
        <v>2016</v>
      </c>
      <c r="J2528" t="s">
        <v>75</v>
      </c>
      <c r="K2528" t="s">
        <v>75</v>
      </c>
      <c r="L2528" t="s">
        <v>74</v>
      </c>
      <c r="M2528" t="s">
        <v>73</v>
      </c>
      <c r="N2528" t="s">
        <v>74</v>
      </c>
      <c r="O2528" t="s">
        <v>74</v>
      </c>
      <c r="P2528" t="s">
        <v>75</v>
      </c>
    </row>
    <row r="2529" spans="1:16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1</v>
      </c>
      <c r="G2529" s="1">
        <v>42674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75</v>
      </c>
      <c r="O2529" t="s">
        <v>75</v>
      </c>
      <c r="P2529" t="s">
        <v>76</v>
      </c>
    </row>
    <row r="2530" spans="1:16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42646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42653</v>
      </c>
      <c r="H2531">
        <v>41</v>
      </c>
      <c r="I2531">
        <v>2016</v>
      </c>
      <c r="J2531" t="s">
        <v>74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42660</v>
      </c>
      <c r="H2532">
        <v>42</v>
      </c>
      <c r="I2532">
        <v>2016</v>
      </c>
      <c r="J2532" t="s">
        <v>74</v>
      </c>
      <c r="K2532" t="s">
        <v>75</v>
      </c>
      <c r="L2532" t="s">
        <v>74</v>
      </c>
      <c r="M2532" t="s">
        <v>73</v>
      </c>
      <c r="N2532" t="s">
        <v>74</v>
      </c>
      <c r="O2532" t="s">
        <v>74</v>
      </c>
      <c r="P2532" t="s">
        <v>75</v>
      </c>
    </row>
    <row r="2533" spans="1:16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42667</v>
      </c>
      <c r="H2533">
        <v>43</v>
      </c>
      <c r="I2533">
        <v>2016</v>
      </c>
      <c r="J2533" t="s">
        <v>76</v>
      </c>
      <c r="K2533" t="s">
        <v>77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2</v>
      </c>
      <c r="G2534" s="1">
        <v>42674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42646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74</v>
      </c>
      <c r="O2535" t="s">
        <v>75</v>
      </c>
      <c r="P2535" t="s">
        <v>73</v>
      </c>
    </row>
    <row r="2536" spans="1:16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42653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76</v>
      </c>
      <c r="N2536" t="s">
        <v>77</v>
      </c>
      <c r="O2536" t="s">
        <v>73</v>
      </c>
      <c r="P2536" t="s">
        <v>74</v>
      </c>
    </row>
    <row r="2537" spans="1:16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42660</v>
      </c>
      <c r="H2537">
        <v>42</v>
      </c>
      <c r="I2537">
        <v>2016</v>
      </c>
      <c r="J2537" t="s">
        <v>75</v>
      </c>
      <c r="K2537" t="s">
        <v>74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42667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3</v>
      </c>
      <c r="G2539" s="1">
        <v>42674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42646</v>
      </c>
      <c r="H2540">
        <v>40</v>
      </c>
      <c r="I2540">
        <v>2016</v>
      </c>
      <c r="J2540" t="s">
        <v>75</v>
      </c>
      <c r="K2540" t="s">
        <v>75</v>
      </c>
      <c r="L2540" t="s">
        <v>75</v>
      </c>
      <c r="M2540" t="s">
        <v>76</v>
      </c>
      <c r="N2540" t="s">
        <v>77</v>
      </c>
      <c r="O2540" t="s">
        <v>73</v>
      </c>
      <c r="P2540" t="s">
        <v>74</v>
      </c>
    </row>
    <row r="2541" spans="1:16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42653</v>
      </c>
      <c r="H2541">
        <v>41</v>
      </c>
      <c r="I2541">
        <v>2016</v>
      </c>
      <c r="J2541" t="s">
        <v>75</v>
      </c>
      <c r="K2541" t="s">
        <v>74</v>
      </c>
      <c r="L2541" t="s">
        <v>74</v>
      </c>
      <c r="M2541" t="s">
        <v>75</v>
      </c>
      <c r="N2541" t="s">
        <v>73</v>
      </c>
      <c r="O2541" t="s">
        <v>74</v>
      </c>
      <c r="P2541" t="s">
        <v>74</v>
      </c>
    </row>
    <row r="2542" spans="1:16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42660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42667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4</v>
      </c>
      <c r="G2544" s="1">
        <v>42674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42646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42653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42660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75</v>
      </c>
      <c r="O2547" t="s">
        <v>76</v>
      </c>
      <c r="P2547" t="s">
        <v>77</v>
      </c>
    </row>
    <row r="2548" spans="1:16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42667</v>
      </c>
      <c r="H2548">
        <v>43</v>
      </c>
      <c r="I2548">
        <v>2016</v>
      </c>
      <c r="J2548" t="s">
        <v>73</v>
      </c>
      <c r="K2548" t="s">
        <v>74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5</v>
      </c>
      <c r="G2549" s="1">
        <v>42674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75</v>
      </c>
    </row>
    <row r="2550" spans="1:16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42646</v>
      </c>
      <c r="H2550">
        <v>40</v>
      </c>
      <c r="I2550">
        <v>2016</v>
      </c>
      <c r="J2550" t="s">
        <v>75</v>
      </c>
      <c r="K2550" t="s">
        <v>74</v>
      </c>
      <c r="L2550" t="s">
        <v>75</v>
      </c>
      <c r="M2550" t="s">
        <v>74</v>
      </c>
      <c r="N2550" t="s">
        <v>75</v>
      </c>
      <c r="O2550" t="s">
        <v>73</v>
      </c>
      <c r="P2550" t="s">
        <v>75</v>
      </c>
    </row>
    <row r="2551" spans="1:16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42653</v>
      </c>
      <c r="H2551">
        <v>41</v>
      </c>
      <c r="I2551">
        <v>2016</v>
      </c>
      <c r="J2551" t="s">
        <v>75</v>
      </c>
      <c r="K2551" t="s">
        <v>74</v>
      </c>
      <c r="L2551" t="s">
        <v>75</v>
      </c>
      <c r="M2551" t="s">
        <v>75</v>
      </c>
      <c r="N2551" t="s">
        <v>73</v>
      </c>
      <c r="O2551" t="s">
        <v>74</v>
      </c>
      <c r="P2551" t="s">
        <v>74</v>
      </c>
    </row>
    <row r="2552" spans="1:16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42660</v>
      </c>
      <c r="H2552">
        <v>42</v>
      </c>
      <c r="I2552">
        <v>2016</v>
      </c>
      <c r="J2552" t="s">
        <v>74</v>
      </c>
      <c r="K2552" t="s">
        <v>75</v>
      </c>
      <c r="L2552" t="s">
        <v>74</v>
      </c>
      <c r="M2552" t="s">
        <v>73</v>
      </c>
      <c r="N2552" t="s">
        <v>74</v>
      </c>
      <c r="O2552" t="s">
        <v>75</v>
      </c>
      <c r="P2552" t="s">
        <v>74</v>
      </c>
    </row>
    <row r="2553" spans="1:16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42667</v>
      </c>
      <c r="H2553">
        <v>43</v>
      </c>
      <c r="I2553">
        <v>2016</v>
      </c>
      <c r="J2553" t="s">
        <v>74</v>
      </c>
      <c r="K2553" t="s">
        <v>74</v>
      </c>
      <c r="L2553" t="s">
        <v>73</v>
      </c>
      <c r="M2553" t="s">
        <v>75</v>
      </c>
      <c r="N2553" t="s">
        <v>75</v>
      </c>
      <c r="O2553" t="s">
        <v>74</v>
      </c>
      <c r="P2553" t="s">
        <v>75</v>
      </c>
    </row>
    <row r="2554" spans="1:16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1271</v>
      </c>
      <c r="F2554">
        <v>6</v>
      </c>
      <c r="G2554" s="1">
        <v>42674</v>
      </c>
      <c r="H2554">
        <v>44</v>
      </c>
      <c r="I2554">
        <v>2016</v>
      </c>
      <c r="J2554" t="s">
        <v>75</v>
      </c>
      <c r="K2554" t="s">
        <v>73</v>
      </c>
      <c r="L2554" t="s">
        <v>74</v>
      </c>
      <c r="M2554" t="s">
        <v>75</v>
      </c>
      <c r="N2554" t="s">
        <v>74</v>
      </c>
      <c r="O2554" t="s">
        <v>75</v>
      </c>
      <c r="P2554" t="s">
        <v>75</v>
      </c>
    </row>
    <row r="2555" spans="1:16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42646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42653</v>
      </c>
      <c r="H2556">
        <v>41</v>
      </c>
      <c r="I2556">
        <v>2016</v>
      </c>
      <c r="J2556" t="s">
        <v>75</v>
      </c>
      <c r="K2556" t="s">
        <v>74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42660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42667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1271</v>
      </c>
      <c r="F2559">
        <v>7</v>
      </c>
      <c r="G2559" s="1">
        <v>42674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42646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42653</v>
      </c>
      <c r="H2561">
        <v>41</v>
      </c>
      <c r="I2561">
        <v>2016</v>
      </c>
      <c r="J2561" t="s">
        <v>74</v>
      </c>
      <c r="K2561" t="s">
        <v>75</v>
      </c>
      <c r="L2561" t="s">
        <v>74</v>
      </c>
      <c r="M2561" t="s">
        <v>73</v>
      </c>
      <c r="N2561" t="s">
        <v>74</v>
      </c>
      <c r="O2561" t="s">
        <v>74</v>
      </c>
      <c r="P2561" t="s">
        <v>75</v>
      </c>
    </row>
    <row r="2562" spans="1:16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42660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42667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8</v>
      </c>
      <c r="G2564" s="1">
        <v>42674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74</v>
      </c>
      <c r="O2564" t="s">
        <v>75</v>
      </c>
      <c r="P2564" t="s">
        <v>73</v>
      </c>
    </row>
    <row r="2565" spans="1:16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42646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42653</v>
      </c>
      <c r="H2566">
        <v>41</v>
      </c>
      <c r="I2566">
        <v>2016</v>
      </c>
      <c r="J2566" t="s">
        <v>77</v>
      </c>
      <c r="K2566" t="s">
        <v>73</v>
      </c>
      <c r="L2566" t="s">
        <v>74</v>
      </c>
      <c r="M2566" t="s">
        <v>74</v>
      </c>
      <c r="N2566" t="s">
        <v>75</v>
      </c>
      <c r="O2566" t="s">
        <v>75</v>
      </c>
      <c r="P2566" t="s">
        <v>74</v>
      </c>
    </row>
    <row r="2567" spans="1:16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42660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74</v>
      </c>
      <c r="N2567" t="s">
        <v>74</v>
      </c>
      <c r="O2567" t="s">
        <v>75</v>
      </c>
      <c r="P2567" t="s">
        <v>73</v>
      </c>
    </row>
    <row r="2568" spans="1:16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42667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42674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42646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42653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75</v>
      </c>
      <c r="O2571" t="s">
        <v>75</v>
      </c>
      <c r="P2571" t="s">
        <v>76</v>
      </c>
    </row>
    <row r="2572" spans="1:16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42660</v>
      </c>
      <c r="H2572">
        <v>42</v>
      </c>
      <c r="I2572">
        <v>2016</v>
      </c>
      <c r="J2572" t="s">
        <v>77</v>
      </c>
      <c r="K2572" t="s">
        <v>73</v>
      </c>
      <c r="L2572" t="s">
        <v>74</v>
      </c>
      <c r="M2572" t="s">
        <v>74</v>
      </c>
      <c r="N2572" t="s">
        <v>75</v>
      </c>
      <c r="O2572" t="s">
        <v>75</v>
      </c>
      <c r="P2572" t="s">
        <v>74</v>
      </c>
    </row>
    <row r="2573" spans="1:16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42667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10</v>
      </c>
      <c r="G2574" s="1">
        <v>42674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42646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42653</v>
      </c>
      <c r="H2576">
        <v>41</v>
      </c>
      <c r="I2576">
        <v>2016</v>
      </c>
      <c r="J2576" t="s">
        <v>74</v>
      </c>
      <c r="K2576" t="s">
        <v>74</v>
      </c>
      <c r="L2576" t="s">
        <v>73</v>
      </c>
      <c r="M2576" t="s">
        <v>75</v>
      </c>
      <c r="N2576" t="s">
        <v>75</v>
      </c>
      <c r="O2576" t="s">
        <v>74</v>
      </c>
      <c r="P2576" t="s">
        <v>75</v>
      </c>
    </row>
    <row r="2577" spans="1:16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42660</v>
      </c>
      <c r="H2577">
        <v>42</v>
      </c>
      <c r="I2577">
        <v>2016</v>
      </c>
      <c r="J2577" t="s">
        <v>75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42667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1271</v>
      </c>
      <c r="F2579">
        <v>11</v>
      </c>
      <c r="G2579" s="1">
        <v>42674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74</v>
      </c>
      <c r="N2579" t="s">
        <v>75</v>
      </c>
      <c r="O2579" t="s">
        <v>73</v>
      </c>
      <c r="P2579" t="s">
        <v>75</v>
      </c>
    </row>
    <row r="2580" spans="1:16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42646</v>
      </c>
      <c r="H2580">
        <v>40</v>
      </c>
      <c r="I2580">
        <v>2016</v>
      </c>
      <c r="J2580" t="s">
        <v>74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42653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42660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75</v>
      </c>
      <c r="O2582" t="s">
        <v>75</v>
      </c>
      <c r="P2582" t="s">
        <v>73</v>
      </c>
    </row>
    <row r="2583" spans="1:16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42667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75</v>
      </c>
      <c r="O2583" t="s">
        <v>73</v>
      </c>
      <c r="P2583" t="s">
        <v>75</v>
      </c>
    </row>
    <row r="2584" spans="1:16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1271</v>
      </c>
      <c r="F2584">
        <v>1</v>
      </c>
      <c r="G2584" s="1">
        <v>42674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42646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74</v>
      </c>
      <c r="P2585" t="s">
        <v>75</v>
      </c>
    </row>
    <row r="2586" spans="1:16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42653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42660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75</v>
      </c>
      <c r="O2587" t="s">
        <v>75</v>
      </c>
      <c r="P2587" t="s">
        <v>76</v>
      </c>
    </row>
    <row r="2588" spans="1:16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42667</v>
      </c>
      <c r="H2588">
        <v>43</v>
      </c>
      <c r="I2588">
        <v>2016</v>
      </c>
      <c r="J2588" t="s">
        <v>77</v>
      </c>
      <c r="K2588" t="s">
        <v>73</v>
      </c>
      <c r="L2588" t="s">
        <v>74</v>
      </c>
      <c r="M2588" t="s">
        <v>74</v>
      </c>
      <c r="N2588" t="s">
        <v>75</v>
      </c>
      <c r="O2588" t="s">
        <v>75</v>
      </c>
      <c r="P2588" t="s">
        <v>74</v>
      </c>
    </row>
    <row r="2589" spans="1:16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2</v>
      </c>
      <c r="G2589" s="1">
        <v>42674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74</v>
      </c>
      <c r="N2589" t="s">
        <v>74</v>
      </c>
      <c r="O2589" t="s">
        <v>75</v>
      </c>
      <c r="P2589" t="s">
        <v>73</v>
      </c>
    </row>
    <row r="2590" spans="1:16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42646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42653</v>
      </c>
      <c r="H2591">
        <v>41</v>
      </c>
      <c r="I2591">
        <v>2016</v>
      </c>
      <c r="J2591" t="s">
        <v>73</v>
      </c>
      <c r="K2591" t="s">
        <v>74</v>
      </c>
      <c r="L2591" t="s">
        <v>75</v>
      </c>
      <c r="M2591" t="s">
        <v>74</v>
      </c>
      <c r="N2591" t="s">
        <v>74</v>
      </c>
      <c r="O2591" t="s">
        <v>75</v>
      </c>
      <c r="P2591" t="s">
        <v>73</v>
      </c>
    </row>
    <row r="2592" spans="1:16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42660</v>
      </c>
      <c r="H2592">
        <v>42</v>
      </c>
      <c r="I2592">
        <v>2016</v>
      </c>
      <c r="J2592" t="s">
        <v>75</v>
      </c>
      <c r="K2592" t="s">
        <v>75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42667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74</v>
      </c>
      <c r="P2593" t="s">
        <v>74</v>
      </c>
    </row>
    <row r="2594" spans="1:16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3</v>
      </c>
      <c r="G2594" s="1">
        <v>42674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42646</v>
      </c>
      <c r="H2595">
        <v>40</v>
      </c>
      <c r="I2595">
        <v>2016</v>
      </c>
      <c r="J2595" t="s">
        <v>75</v>
      </c>
      <c r="K2595" t="s">
        <v>74</v>
      </c>
      <c r="L2595" t="s">
        <v>74</v>
      </c>
      <c r="M2595" t="s">
        <v>75</v>
      </c>
      <c r="N2595" t="s">
        <v>73</v>
      </c>
      <c r="O2595" t="s">
        <v>74</v>
      </c>
      <c r="P2595" t="s">
        <v>74</v>
      </c>
    </row>
    <row r="2596" spans="1:16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42653</v>
      </c>
      <c r="H2596">
        <v>41</v>
      </c>
      <c r="I2596">
        <v>2016</v>
      </c>
      <c r="J2596" t="s">
        <v>75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42660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42667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4</v>
      </c>
      <c r="G2599" s="1">
        <v>42674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42646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42653</v>
      </c>
      <c r="H2601">
        <v>41</v>
      </c>
      <c r="I2601">
        <v>2016</v>
      </c>
      <c r="J2601" t="s">
        <v>75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42660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76</v>
      </c>
      <c r="O2602" t="s">
        <v>77</v>
      </c>
      <c r="P2602" t="s">
        <v>73</v>
      </c>
    </row>
    <row r="2603" spans="1:16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42667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5</v>
      </c>
      <c r="G2604" s="1">
        <v>42674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74</v>
      </c>
      <c r="P2604" t="s">
        <v>75</v>
      </c>
    </row>
    <row r="2605" spans="1:16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42646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42653</v>
      </c>
      <c r="H2606">
        <v>41</v>
      </c>
      <c r="I2606">
        <v>2016</v>
      </c>
      <c r="J2606" t="s">
        <v>77</v>
      </c>
      <c r="K2606" t="s">
        <v>73</v>
      </c>
      <c r="L2606" t="s">
        <v>74</v>
      </c>
      <c r="M2606" t="s">
        <v>74</v>
      </c>
      <c r="N2606" t="s">
        <v>75</v>
      </c>
      <c r="O2606" t="s">
        <v>75</v>
      </c>
      <c r="P2606" t="s">
        <v>74</v>
      </c>
    </row>
    <row r="2607" spans="1:16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42660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74</v>
      </c>
      <c r="O2607" t="s">
        <v>75</v>
      </c>
      <c r="P2607" t="s">
        <v>73</v>
      </c>
    </row>
    <row r="2608" spans="1:16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42667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74</v>
      </c>
    </row>
    <row r="2609" spans="1:16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6</v>
      </c>
      <c r="G2609" s="1">
        <v>42674</v>
      </c>
      <c r="H2609">
        <v>44</v>
      </c>
      <c r="I2609">
        <v>2016</v>
      </c>
      <c r="J2609" t="s">
        <v>75</v>
      </c>
      <c r="K2609" t="s">
        <v>74</v>
      </c>
      <c r="L2609" t="s">
        <v>74</v>
      </c>
      <c r="M2609" t="s">
        <v>75</v>
      </c>
      <c r="N2609" t="s">
        <v>73</v>
      </c>
      <c r="O2609" t="s">
        <v>74</v>
      </c>
      <c r="P2609" t="s">
        <v>74</v>
      </c>
    </row>
    <row r="2610" spans="1:16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42646</v>
      </c>
      <c r="H2610">
        <v>40</v>
      </c>
      <c r="I2610">
        <v>2016</v>
      </c>
      <c r="J2610" t="s">
        <v>73</v>
      </c>
      <c r="K2610" t="s">
        <v>75</v>
      </c>
      <c r="L2610" t="s">
        <v>75</v>
      </c>
      <c r="M2610" t="s">
        <v>74</v>
      </c>
      <c r="N2610" t="s">
        <v>75</v>
      </c>
      <c r="O2610" t="s">
        <v>75</v>
      </c>
      <c r="P2610" t="s">
        <v>73</v>
      </c>
    </row>
    <row r="2611" spans="1:16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42653</v>
      </c>
      <c r="H2611">
        <v>41</v>
      </c>
      <c r="I2611">
        <v>2016</v>
      </c>
      <c r="J2611" t="s">
        <v>75</v>
      </c>
      <c r="K2611" t="s">
        <v>74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42660</v>
      </c>
      <c r="H2612">
        <v>42</v>
      </c>
      <c r="I2612">
        <v>2016</v>
      </c>
      <c r="J2612" t="s">
        <v>75</v>
      </c>
      <c r="K2612" t="s">
        <v>74</v>
      </c>
      <c r="L2612" t="s">
        <v>75</v>
      </c>
      <c r="M2612" t="s">
        <v>75</v>
      </c>
      <c r="N2612" t="s">
        <v>73</v>
      </c>
      <c r="O2612" t="s">
        <v>74</v>
      </c>
      <c r="P2612" t="s">
        <v>74</v>
      </c>
    </row>
    <row r="2613" spans="1:16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42667</v>
      </c>
      <c r="H2613">
        <v>43</v>
      </c>
      <c r="I2613">
        <v>2016</v>
      </c>
      <c r="J2613" t="s">
        <v>74</v>
      </c>
      <c r="K2613" t="s">
        <v>75</v>
      </c>
      <c r="L2613" t="s">
        <v>74</v>
      </c>
      <c r="M2613" t="s">
        <v>73</v>
      </c>
      <c r="N2613" t="s">
        <v>74</v>
      </c>
      <c r="O2613" t="s">
        <v>75</v>
      </c>
      <c r="P2613" t="s">
        <v>74</v>
      </c>
    </row>
    <row r="2614" spans="1:16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1271</v>
      </c>
      <c r="F2614">
        <v>7</v>
      </c>
      <c r="G2614" s="1">
        <v>42674</v>
      </c>
      <c r="H2614">
        <v>44</v>
      </c>
      <c r="I2614">
        <v>2016</v>
      </c>
      <c r="J2614" t="s">
        <v>74</v>
      </c>
      <c r="K2614" t="s">
        <v>74</v>
      </c>
      <c r="L2614" t="s">
        <v>73</v>
      </c>
      <c r="M2614" t="s">
        <v>75</v>
      </c>
      <c r="N2614" t="s">
        <v>75</v>
      </c>
      <c r="O2614" t="s">
        <v>74</v>
      </c>
      <c r="P2614" t="s">
        <v>75</v>
      </c>
    </row>
    <row r="2615" spans="1:16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42646</v>
      </c>
      <c r="H2615">
        <v>40</v>
      </c>
      <c r="I2615">
        <v>2016</v>
      </c>
      <c r="J2615" t="s">
        <v>74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42653</v>
      </c>
      <c r="H2616">
        <v>41</v>
      </c>
      <c r="I2616">
        <v>2016</v>
      </c>
      <c r="J2616" t="s">
        <v>74</v>
      </c>
      <c r="K2616" t="s">
        <v>75</v>
      </c>
      <c r="L2616" t="s">
        <v>76</v>
      </c>
      <c r="M2616" t="s">
        <v>77</v>
      </c>
      <c r="N2616" t="s">
        <v>73</v>
      </c>
      <c r="O2616" t="s">
        <v>74</v>
      </c>
      <c r="P2616" t="s">
        <v>75</v>
      </c>
    </row>
    <row r="2617" spans="1:16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42660</v>
      </c>
      <c r="H2617">
        <v>42</v>
      </c>
      <c r="I2617">
        <v>2016</v>
      </c>
      <c r="J2617" t="s">
        <v>74</v>
      </c>
      <c r="K2617" t="s">
        <v>75</v>
      </c>
      <c r="L2617" t="s">
        <v>74</v>
      </c>
      <c r="M2617" t="s">
        <v>73</v>
      </c>
      <c r="N2617" t="s">
        <v>74</v>
      </c>
      <c r="O2617" t="s">
        <v>74</v>
      </c>
      <c r="P2617" t="s">
        <v>75</v>
      </c>
    </row>
    <row r="2618" spans="1:16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42667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74</v>
      </c>
      <c r="N2618" t="s">
        <v>75</v>
      </c>
      <c r="O2618" t="s">
        <v>75</v>
      </c>
      <c r="P2618" t="s">
        <v>76</v>
      </c>
    </row>
    <row r="2619" spans="1:16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8</v>
      </c>
      <c r="G2619" s="1">
        <v>42674</v>
      </c>
      <c r="H2619">
        <v>44</v>
      </c>
      <c r="I2619">
        <v>2016</v>
      </c>
      <c r="J2619" t="s">
        <v>77</v>
      </c>
      <c r="K2619" t="s">
        <v>73</v>
      </c>
      <c r="L2619" t="s">
        <v>74</v>
      </c>
      <c r="M2619" t="s">
        <v>74</v>
      </c>
      <c r="N2619" t="s">
        <v>75</v>
      </c>
      <c r="O2619" t="s">
        <v>75</v>
      </c>
      <c r="P2619" t="s">
        <v>74</v>
      </c>
    </row>
    <row r="2620" spans="1:16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42646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42653</v>
      </c>
      <c r="H2621">
        <v>41</v>
      </c>
      <c r="I2621">
        <v>2016</v>
      </c>
      <c r="J2621" t="s">
        <v>74</v>
      </c>
      <c r="K2621" t="s">
        <v>75</v>
      </c>
      <c r="L2621" t="s">
        <v>74</v>
      </c>
      <c r="M2621" t="s">
        <v>73</v>
      </c>
      <c r="N2621" t="s">
        <v>74</v>
      </c>
      <c r="O2621" t="s">
        <v>75</v>
      </c>
      <c r="P2621" t="s">
        <v>74</v>
      </c>
    </row>
    <row r="2622" spans="1:16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42660</v>
      </c>
      <c r="H2622">
        <v>42</v>
      </c>
      <c r="I2622">
        <v>2016</v>
      </c>
      <c r="J2622" t="s">
        <v>74</v>
      </c>
      <c r="K2622" t="s">
        <v>74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42667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1271</v>
      </c>
      <c r="F2624">
        <v>9</v>
      </c>
      <c r="G2624" s="1">
        <v>42674</v>
      </c>
      <c r="H2624">
        <v>44</v>
      </c>
      <c r="I2624">
        <v>2016</v>
      </c>
      <c r="J2624" t="s">
        <v>73</v>
      </c>
      <c r="K2624" t="s">
        <v>75</v>
      </c>
      <c r="L2624" t="s">
        <v>75</v>
      </c>
      <c r="M2624" t="s">
        <v>74</v>
      </c>
      <c r="N2624" t="s">
        <v>75</v>
      </c>
      <c r="O2624" t="s">
        <v>75</v>
      </c>
      <c r="P2624" t="s">
        <v>73</v>
      </c>
    </row>
    <row r="2625" spans="1:16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42646</v>
      </c>
      <c r="H2625">
        <v>40</v>
      </c>
      <c r="I2625">
        <v>2016</v>
      </c>
      <c r="J2625" t="s">
        <v>75</v>
      </c>
      <c r="K2625" t="s">
        <v>74</v>
      </c>
      <c r="L2625" t="s">
        <v>75</v>
      </c>
      <c r="M2625" t="s">
        <v>74</v>
      </c>
      <c r="N2625" t="s">
        <v>75</v>
      </c>
      <c r="O2625" t="s">
        <v>73</v>
      </c>
      <c r="P2625" t="s">
        <v>75</v>
      </c>
    </row>
    <row r="2626" spans="1:16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42653</v>
      </c>
      <c r="H2626">
        <v>41</v>
      </c>
      <c r="I2626">
        <v>2016</v>
      </c>
      <c r="J2626" t="s">
        <v>75</v>
      </c>
      <c r="K2626" t="s">
        <v>74</v>
      </c>
      <c r="L2626" t="s">
        <v>75</v>
      </c>
      <c r="M2626" t="s">
        <v>75</v>
      </c>
      <c r="N2626" t="s">
        <v>73</v>
      </c>
      <c r="O2626" t="s">
        <v>74</v>
      </c>
      <c r="P2626" t="s">
        <v>74</v>
      </c>
    </row>
    <row r="2627" spans="1:16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42660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75</v>
      </c>
      <c r="O2627" t="s">
        <v>75</v>
      </c>
      <c r="P2627" t="s">
        <v>75</v>
      </c>
    </row>
    <row r="2628" spans="1:16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42667</v>
      </c>
      <c r="H2628">
        <v>43</v>
      </c>
      <c r="I2628">
        <v>2016</v>
      </c>
      <c r="J2628" t="s">
        <v>74</v>
      </c>
      <c r="K2628" t="s">
        <v>74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1271</v>
      </c>
      <c r="F2629">
        <v>10</v>
      </c>
      <c r="G2629" s="1">
        <v>42674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74</v>
      </c>
      <c r="O2629" t="s">
        <v>75</v>
      </c>
      <c r="P2629" t="s">
        <v>75</v>
      </c>
    </row>
    <row r="2630" spans="1:16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42646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42653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42660</v>
      </c>
      <c r="H2632">
        <v>42</v>
      </c>
      <c r="I2632">
        <v>2016</v>
      </c>
      <c r="J2632" t="s">
        <v>75</v>
      </c>
      <c r="K2632" t="s">
        <v>74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42667</v>
      </c>
      <c r="H2633">
        <v>43</v>
      </c>
      <c r="I2633">
        <v>2016</v>
      </c>
      <c r="J2633" t="s">
        <v>75</v>
      </c>
      <c r="K2633" t="s">
        <v>76</v>
      </c>
      <c r="L2633" t="s">
        <v>77</v>
      </c>
      <c r="M2633" t="s">
        <v>73</v>
      </c>
      <c r="N2633" t="s">
        <v>74</v>
      </c>
      <c r="O2633" t="s">
        <v>75</v>
      </c>
      <c r="P2633" t="s">
        <v>75</v>
      </c>
    </row>
    <row r="2634" spans="1:16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42674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75</v>
      </c>
      <c r="N2634" t="s">
        <v>75</v>
      </c>
      <c r="O2634" t="s">
        <v>76</v>
      </c>
      <c r="P2634" t="s">
        <v>77</v>
      </c>
    </row>
    <row r="2635" spans="1:16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42646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74</v>
      </c>
      <c r="N2635" t="s">
        <v>74</v>
      </c>
      <c r="O2635" t="s">
        <v>75</v>
      </c>
      <c r="P2635" t="s">
        <v>73</v>
      </c>
    </row>
    <row r="2636" spans="1:16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42653</v>
      </c>
      <c r="H2636">
        <v>41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42660</v>
      </c>
      <c r="H2637">
        <v>42</v>
      </c>
      <c r="I2637">
        <v>2016</v>
      </c>
      <c r="J2637" t="s">
        <v>75</v>
      </c>
      <c r="K2637" t="s">
        <v>74</v>
      </c>
      <c r="L2637" t="s">
        <v>75</v>
      </c>
      <c r="M2637" t="s">
        <v>75</v>
      </c>
      <c r="N2637" t="s">
        <v>73</v>
      </c>
      <c r="O2637" t="s">
        <v>75</v>
      </c>
      <c r="P2637" t="s">
        <v>74</v>
      </c>
    </row>
    <row r="2638" spans="1:16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42667</v>
      </c>
      <c r="H2638">
        <v>43</v>
      </c>
      <c r="I2638">
        <v>2016</v>
      </c>
      <c r="J2638" t="s">
        <v>74</v>
      </c>
      <c r="K2638" t="s">
        <v>75</v>
      </c>
      <c r="L2638" t="s">
        <v>74</v>
      </c>
      <c r="M2638" t="s">
        <v>73</v>
      </c>
      <c r="N2638" t="s">
        <v>74</v>
      </c>
      <c r="O2638" t="s">
        <v>75</v>
      </c>
      <c r="P2638" t="s">
        <v>74</v>
      </c>
    </row>
    <row r="2639" spans="1:16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1271</v>
      </c>
      <c r="F2639">
        <v>1</v>
      </c>
      <c r="G2639" s="1">
        <v>42674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74</v>
      </c>
      <c r="N2639" t="s">
        <v>75</v>
      </c>
      <c r="O2639" t="s">
        <v>75</v>
      </c>
      <c r="P2639" t="s">
        <v>75</v>
      </c>
    </row>
    <row r="2640" spans="1:16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42646</v>
      </c>
      <c r="H2640">
        <v>40</v>
      </c>
      <c r="I2640">
        <v>2016</v>
      </c>
      <c r="J2640" t="s">
        <v>75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42653</v>
      </c>
      <c r="H2641">
        <v>41</v>
      </c>
      <c r="I2641">
        <v>2016</v>
      </c>
      <c r="J2641" t="s">
        <v>75</v>
      </c>
      <c r="K2641" t="s">
        <v>74</v>
      </c>
      <c r="L2641" t="s">
        <v>74</v>
      </c>
      <c r="M2641" t="s">
        <v>75</v>
      </c>
      <c r="N2641" t="s">
        <v>73</v>
      </c>
      <c r="O2641" t="s">
        <v>75</v>
      </c>
      <c r="P2641" t="s">
        <v>74</v>
      </c>
    </row>
    <row r="2642" spans="1:16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42660</v>
      </c>
      <c r="H2642">
        <v>42</v>
      </c>
      <c r="I2642">
        <v>2016</v>
      </c>
      <c r="J2642" t="s">
        <v>75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42667</v>
      </c>
      <c r="H2643">
        <v>43</v>
      </c>
      <c r="I2643">
        <v>2016</v>
      </c>
      <c r="J2643" t="s">
        <v>75</v>
      </c>
      <c r="K2643" t="s">
        <v>75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2</v>
      </c>
      <c r="G2644" s="1">
        <v>42674</v>
      </c>
      <c r="H2644">
        <v>44</v>
      </c>
      <c r="I2644">
        <v>2016</v>
      </c>
      <c r="J2644" t="s">
        <v>73</v>
      </c>
      <c r="K2644" t="s">
        <v>75</v>
      </c>
      <c r="L2644" t="s">
        <v>75</v>
      </c>
      <c r="M2644" t="s">
        <v>75</v>
      </c>
      <c r="N2644" t="s">
        <v>76</v>
      </c>
      <c r="O2644" t="s">
        <v>77</v>
      </c>
      <c r="P2644" t="s">
        <v>73</v>
      </c>
    </row>
    <row r="2645" spans="1:16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42646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42653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42660</v>
      </c>
      <c r="H2647">
        <v>42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42667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1271</v>
      </c>
      <c r="F2649">
        <v>3</v>
      </c>
      <c r="G2649" s="1">
        <v>42674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74</v>
      </c>
      <c r="P2649" t="s">
        <v>75</v>
      </c>
    </row>
    <row r="2650" spans="1:16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42646</v>
      </c>
      <c r="H2650">
        <v>40</v>
      </c>
      <c r="I2650">
        <v>2016</v>
      </c>
      <c r="J2650" t="s">
        <v>73</v>
      </c>
      <c r="K2650" t="s">
        <v>74</v>
      </c>
      <c r="L2650" t="s">
        <v>75</v>
      </c>
      <c r="M2650" t="s">
        <v>75</v>
      </c>
      <c r="N2650" t="s">
        <v>76</v>
      </c>
      <c r="O2650" t="s">
        <v>77</v>
      </c>
      <c r="P2650" t="s">
        <v>73</v>
      </c>
    </row>
    <row r="2651" spans="1:16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42653</v>
      </c>
      <c r="H2651">
        <v>41</v>
      </c>
      <c r="I2651">
        <v>2016</v>
      </c>
      <c r="J2651" t="s">
        <v>74</v>
      </c>
      <c r="K2651" t="s">
        <v>75</v>
      </c>
      <c r="L2651" t="s">
        <v>75</v>
      </c>
      <c r="M2651" t="s">
        <v>75</v>
      </c>
      <c r="N2651" t="s">
        <v>75</v>
      </c>
      <c r="O2651" t="s">
        <v>73</v>
      </c>
      <c r="P2651" t="s">
        <v>75</v>
      </c>
    </row>
    <row r="2652" spans="1:16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42660</v>
      </c>
      <c r="H2652">
        <v>42</v>
      </c>
      <c r="I2652">
        <v>2016</v>
      </c>
      <c r="J2652" t="s">
        <v>74</v>
      </c>
      <c r="K2652" t="s">
        <v>75</v>
      </c>
      <c r="L2652" t="s">
        <v>76</v>
      </c>
      <c r="M2652" t="s">
        <v>77</v>
      </c>
      <c r="N2652" t="s">
        <v>73</v>
      </c>
      <c r="O2652" t="s">
        <v>74</v>
      </c>
      <c r="P2652" t="s">
        <v>75</v>
      </c>
    </row>
    <row r="2653" spans="1:16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42667</v>
      </c>
      <c r="H2653">
        <v>43</v>
      </c>
      <c r="I2653">
        <v>2016</v>
      </c>
      <c r="J2653" t="s">
        <v>74</v>
      </c>
      <c r="K2653" t="s">
        <v>75</v>
      </c>
      <c r="L2653" t="s">
        <v>74</v>
      </c>
      <c r="M2653" t="s">
        <v>73</v>
      </c>
      <c r="N2653" t="s">
        <v>74</v>
      </c>
      <c r="O2653" t="s">
        <v>74</v>
      </c>
      <c r="P2653" t="s">
        <v>75</v>
      </c>
    </row>
    <row r="2654" spans="1:16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4</v>
      </c>
      <c r="G2654" s="1">
        <v>42674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75</v>
      </c>
      <c r="O2654" t="s">
        <v>75</v>
      </c>
      <c r="P2654" t="s">
        <v>76</v>
      </c>
    </row>
    <row r="2655" spans="1:16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42646</v>
      </c>
      <c r="H2655">
        <v>40</v>
      </c>
      <c r="I2655">
        <v>2016</v>
      </c>
      <c r="J2655" t="s">
        <v>74</v>
      </c>
      <c r="K2655" t="s">
        <v>75</v>
      </c>
      <c r="L2655" t="s">
        <v>74</v>
      </c>
      <c r="M2655" t="s">
        <v>73</v>
      </c>
      <c r="N2655" t="s">
        <v>74</v>
      </c>
      <c r="O2655" t="s">
        <v>74</v>
      </c>
      <c r="P2655" t="s">
        <v>75</v>
      </c>
    </row>
    <row r="2656" spans="1:16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42653</v>
      </c>
      <c r="H2656">
        <v>41</v>
      </c>
      <c r="I2656">
        <v>2016</v>
      </c>
      <c r="J2656" t="s">
        <v>76</v>
      </c>
      <c r="K2656" t="s">
        <v>77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42660</v>
      </c>
      <c r="H2657">
        <v>42</v>
      </c>
      <c r="I2657">
        <v>2016</v>
      </c>
      <c r="J2657" t="s">
        <v>77</v>
      </c>
      <c r="K2657" t="s">
        <v>73</v>
      </c>
      <c r="L2657" t="s">
        <v>74</v>
      </c>
      <c r="M2657" t="s">
        <v>74</v>
      </c>
      <c r="N2657" t="s">
        <v>75</v>
      </c>
      <c r="O2657" t="s">
        <v>75</v>
      </c>
      <c r="P2657" t="s">
        <v>74</v>
      </c>
    </row>
    <row r="2658" spans="1:16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42667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74</v>
      </c>
      <c r="N2658" t="s">
        <v>74</v>
      </c>
      <c r="O2658" t="s">
        <v>75</v>
      </c>
      <c r="P2658" t="s">
        <v>73</v>
      </c>
    </row>
    <row r="2659" spans="1:16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5</v>
      </c>
      <c r="G2659" s="1">
        <v>42674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42646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42653</v>
      </c>
      <c r="H2661">
        <v>41</v>
      </c>
      <c r="I2661">
        <v>2016</v>
      </c>
      <c r="J2661" t="s">
        <v>73</v>
      </c>
      <c r="K2661" t="s">
        <v>74</v>
      </c>
      <c r="L2661" t="s">
        <v>75</v>
      </c>
      <c r="M2661" t="s">
        <v>75</v>
      </c>
      <c r="N2661" t="s">
        <v>76</v>
      </c>
      <c r="O2661" t="s">
        <v>77</v>
      </c>
      <c r="P2661" t="s">
        <v>73</v>
      </c>
    </row>
    <row r="2662" spans="1:16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42660</v>
      </c>
      <c r="H2662">
        <v>42</v>
      </c>
      <c r="I2662">
        <v>2016</v>
      </c>
      <c r="J2662" t="s">
        <v>74</v>
      </c>
      <c r="K2662" t="s">
        <v>75</v>
      </c>
      <c r="L2662" t="s">
        <v>75</v>
      </c>
      <c r="M2662" t="s">
        <v>75</v>
      </c>
      <c r="N2662" t="s">
        <v>75</v>
      </c>
      <c r="O2662" t="s">
        <v>73</v>
      </c>
      <c r="P2662" t="s">
        <v>75</v>
      </c>
    </row>
    <row r="2663" spans="1:16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42667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6</v>
      </c>
      <c r="G2664" s="1">
        <v>42674</v>
      </c>
      <c r="H2664">
        <v>44</v>
      </c>
      <c r="I2664">
        <v>2016</v>
      </c>
      <c r="J2664" t="s">
        <v>74</v>
      </c>
      <c r="K2664" t="s">
        <v>75</v>
      </c>
      <c r="L2664" t="s">
        <v>74</v>
      </c>
      <c r="M2664" t="s">
        <v>73</v>
      </c>
      <c r="N2664" t="s">
        <v>74</v>
      </c>
      <c r="O2664" t="s">
        <v>74</v>
      </c>
      <c r="P2664" t="s">
        <v>75</v>
      </c>
    </row>
    <row r="2665" spans="1:16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42646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42653</v>
      </c>
      <c r="H2666">
        <v>41</v>
      </c>
      <c r="I2666">
        <v>2016</v>
      </c>
      <c r="J2666" t="s">
        <v>73</v>
      </c>
      <c r="K2666" t="s">
        <v>75</v>
      </c>
      <c r="L2666" t="s">
        <v>75</v>
      </c>
      <c r="M2666" t="s">
        <v>74</v>
      </c>
      <c r="N2666" t="s">
        <v>75</v>
      </c>
      <c r="O2666" t="s">
        <v>75</v>
      </c>
      <c r="P2666" t="s">
        <v>73</v>
      </c>
    </row>
    <row r="2667" spans="1:16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42660</v>
      </c>
      <c r="H2667">
        <v>42</v>
      </c>
      <c r="I2667">
        <v>2016</v>
      </c>
      <c r="J2667" t="s">
        <v>75</v>
      </c>
      <c r="K2667" t="s">
        <v>74</v>
      </c>
      <c r="L2667" t="s">
        <v>75</v>
      </c>
      <c r="M2667" t="s">
        <v>74</v>
      </c>
      <c r="N2667" t="s">
        <v>75</v>
      </c>
      <c r="O2667" t="s">
        <v>73</v>
      </c>
      <c r="P2667" t="s">
        <v>75</v>
      </c>
    </row>
    <row r="2668" spans="1:16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42667</v>
      </c>
      <c r="H2668">
        <v>43</v>
      </c>
      <c r="I2668">
        <v>2016</v>
      </c>
      <c r="J2668" t="s">
        <v>75</v>
      </c>
      <c r="K2668" t="s">
        <v>74</v>
      </c>
      <c r="L2668" t="s">
        <v>75</v>
      </c>
      <c r="M2668" t="s">
        <v>75</v>
      </c>
      <c r="N2668" t="s">
        <v>73</v>
      </c>
      <c r="O2668" t="s">
        <v>74</v>
      </c>
      <c r="P2668" t="s">
        <v>74</v>
      </c>
    </row>
    <row r="2669" spans="1:16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7</v>
      </c>
      <c r="G2669" s="1">
        <v>42674</v>
      </c>
      <c r="H2669">
        <v>44</v>
      </c>
      <c r="I2669">
        <v>2016</v>
      </c>
      <c r="J2669" t="s">
        <v>74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42646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75</v>
      </c>
    </row>
    <row r="2671" spans="1:16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42653</v>
      </c>
      <c r="H2671">
        <v>41</v>
      </c>
      <c r="I2671">
        <v>2016</v>
      </c>
      <c r="J2671" t="s">
        <v>75</v>
      </c>
      <c r="K2671" t="s">
        <v>75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42660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42667</v>
      </c>
      <c r="H2673">
        <v>43</v>
      </c>
      <c r="I2673">
        <v>2016</v>
      </c>
      <c r="J2673" t="s">
        <v>74</v>
      </c>
      <c r="K2673" t="s">
        <v>75</v>
      </c>
      <c r="L2673" t="s">
        <v>75</v>
      </c>
      <c r="M2673" t="s">
        <v>75</v>
      </c>
      <c r="N2673" t="s">
        <v>75</v>
      </c>
      <c r="O2673" t="s">
        <v>73</v>
      </c>
      <c r="P2673" t="s">
        <v>75</v>
      </c>
    </row>
    <row r="2674" spans="1:16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8</v>
      </c>
      <c r="G2674" s="1">
        <v>42674</v>
      </c>
      <c r="H2674">
        <v>44</v>
      </c>
      <c r="I2674">
        <v>2016</v>
      </c>
      <c r="J2674" t="s">
        <v>74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42646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42653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74</v>
      </c>
      <c r="N2676" t="s">
        <v>74</v>
      </c>
      <c r="O2676" t="s">
        <v>75</v>
      </c>
      <c r="P2676" t="s">
        <v>73</v>
      </c>
    </row>
    <row r="2677" spans="1:16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42660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42667</v>
      </c>
      <c r="H2678">
        <v>43</v>
      </c>
      <c r="I2678">
        <v>2016</v>
      </c>
      <c r="J2678" t="s">
        <v>75</v>
      </c>
      <c r="K2678" t="s">
        <v>74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9</v>
      </c>
      <c r="G2679" s="1">
        <v>42674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74</v>
      </c>
    </row>
    <row r="2680" spans="1:16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42646</v>
      </c>
      <c r="H2680">
        <v>40</v>
      </c>
      <c r="I2680">
        <v>2016</v>
      </c>
      <c r="J2680" t="s">
        <v>74</v>
      </c>
      <c r="K2680" t="s">
        <v>74</v>
      </c>
      <c r="L2680" t="s">
        <v>73</v>
      </c>
      <c r="M2680" t="s">
        <v>75</v>
      </c>
      <c r="N2680" t="s">
        <v>75</v>
      </c>
      <c r="O2680" t="s">
        <v>74</v>
      </c>
      <c r="P2680" t="s">
        <v>75</v>
      </c>
    </row>
    <row r="2681" spans="1:16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42653</v>
      </c>
      <c r="H2681">
        <v>41</v>
      </c>
      <c r="I2681">
        <v>2016</v>
      </c>
      <c r="J2681" t="s">
        <v>75</v>
      </c>
      <c r="K2681" t="s">
        <v>73</v>
      </c>
      <c r="L2681" t="s">
        <v>74</v>
      </c>
      <c r="M2681" t="s">
        <v>75</v>
      </c>
      <c r="N2681" t="s">
        <v>74</v>
      </c>
      <c r="O2681" t="s">
        <v>75</v>
      </c>
      <c r="P2681" t="s">
        <v>75</v>
      </c>
    </row>
    <row r="2682" spans="1:16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42660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75</v>
      </c>
      <c r="O2682" t="s">
        <v>75</v>
      </c>
      <c r="P2682" t="s">
        <v>73</v>
      </c>
    </row>
    <row r="2683" spans="1:16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42667</v>
      </c>
      <c r="H2683">
        <v>43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1271</v>
      </c>
      <c r="F2684">
        <v>10</v>
      </c>
      <c r="G2684" s="1">
        <v>42674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</sheetData>
  <conditionalFormatting sqref="A1:A1048576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F35"/>
  <sheetViews>
    <sheetView tabSelected="1" workbookViewId="0">
      <selection activeCell="X5" sqref="X5"/>
    </sheetView>
  </sheetViews>
  <sheetFormatPr defaultRowHeight="15" x14ac:dyDescent="0.25"/>
  <cols>
    <col min="1" max="1" width="9.42578125" bestFit="1" customWidth="1"/>
    <col min="2" max="2" width="11.140625" bestFit="1" customWidth="1"/>
    <col min="3" max="3" width="13.85546875" bestFit="1" customWidth="1"/>
    <col min="4" max="4" width="10.85546875" bestFit="1" customWidth="1"/>
    <col min="5" max="5" width="13.7109375" bestFit="1" customWidth="1"/>
    <col min="6" max="6" width="10.7109375" style="1" bestFit="1" customWidth="1"/>
    <col min="7" max="7" width="5.85546875" bestFit="1" customWidth="1"/>
    <col min="8" max="8" width="5.42578125" bestFit="1" customWidth="1"/>
    <col min="9" max="9" width="3.85546875" bestFit="1" customWidth="1"/>
    <col min="10" max="10" width="4.42578125" bestFit="1" customWidth="1"/>
    <col min="11" max="11" width="4.5703125" bestFit="1" customWidth="1"/>
    <col min="12" max="12" width="3.7109375" bestFit="1" customWidth="1"/>
    <col min="13" max="13" width="4.28515625" bestFit="1" customWidth="1"/>
    <col min="14" max="14" width="4" bestFit="1" customWidth="1"/>
    <col min="15" max="15" width="5" bestFit="1" customWidth="1"/>
    <col min="16" max="17" width="10.7109375" bestFit="1" customWidth="1"/>
    <col min="18" max="22" width="9.7109375" bestFit="1" customWidth="1"/>
    <col min="23" max="23" width="3" bestFit="1" customWidth="1"/>
    <col min="25" max="28" width="9.7109375" bestFit="1" customWidth="1"/>
    <col min="29" max="31" width="10.7109375" bestFit="1" customWidth="1"/>
    <col min="32" max="32" width="3" bestFit="1" customWidth="1"/>
  </cols>
  <sheetData>
    <row r="1" spans="1:32" x14ac:dyDescent="0.25">
      <c r="A1">
        <v>45</v>
      </c>
      <c r="P1" s="1">
        <v>42673</v>
      </c>
      <c r="Q1" s="1">
        <v>42674</v>
      </c>
      <c r="R1" s="1">
        <v>42675</v>
      </c>
      <c r="S1" s="1">
        <v>42676</v>
      </c>
      <c r="T1" s="1">
        <v>42677</v>
      </c>
      <c r="U1" s="1">
        <v>42678</v>
      </c>
      <c r="V1" s="1">
        <v>42679</v>
      </c>
      <c r="W1">
        <v>45</v>
      </c>
      <c r="Y1" s="1">
        <v>42680</v>
      </c>
      <c r="Z1" s="1">
        <v>42681</v>
      </c>
      <c r="AA1" s="1">
        <v>42682</v>
      </c>
      <c r="AB1" s="1">
        <v>42683</v>
      </c>
      <c r="AC1" s="1">
        <v>42684</v>
      </c>
      <c r="AD1" s="1">
        <v>42685</v>
      </c>
      <c r="AE1" s="1">
        <v>42686</v>
      </c>
      <c r="AF1">
        <v>46</v>
      </c>
    </row>
    <row r="2" spans="1:32" x14ac:dyDescent="0.25">
      <c r="A2">
        <v>46</v>
      </c>
      <c r="P2" t="s">
        <v>1256</v>
      </c>
      <c r="Q2" t="s">
        <v>1257</v>
      </c>
      <c r="R2" t="s">
        <v>1258</v>
      </c>
      <c r="S2" t="s">
        <v>1259</v>
      </c>
      <c r="T2" t="s">
        <v>1260</v>
      </c>
      <c r="U2" t="s">
        <v>1261</v>
      </c>
      <c r="V2" t="s">
        <v>1262</v>
      </c>
      <c r="Y2" t="s">
        <v>1256</v>
      </c>
      <c r="Z2" t="s">
        <v>1257</v>
      </c>
      <c r="AA2" t="s">
        <v>1258</v>
      </c>
      <c r="AB2" t="s">
        <v>1259</v>
      </c>
      <c r="AC2" t="s">
        <v>1260</v>
      </c>
      <c r="AD2" t="s">
        <v>1261</v>
      </c>
      <c r="AE2" t="s">
        <v>1262</v>
      </c>
    </row>
    <row r="3" spans="1:32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  <c r="P3" t="s">
        <v>1279</v>
      </c>
      <c r="Q3" t="s">
        <v>1280</v>
      </c>
      <c r="R3" t="s">
        <v>1281</v>
      </c>
      <c r="S3" t="s">
        <v>1282</v>
      </c>
      <c r="T3" t="s">
        <v>1283</v>
      </c>
      <c r="U3" t="s">
        <v>1284</v>
      </c>
      <c r="V3" t="s">
        <v>1285</v>
      </c>
      <c r="W3" t="s">
        <v>1286</v>
      </c>
      <c r="X3" t="s">
        <v>1287</v>
      </c>
    </row>
    <row r="4" spans="1:32" x14ac:dyDescent="0.25">
      <c r="A4" t="s">
        <v>90</v>
      </c>
      <c r="B4" t="s">
        <v>3</v>
      </c>
      <c r="C4" t="s">
        <v>4</v>
      </c>
      <c r="D4" t="s">
        <v>1271</v>
      </c>
      <c r="E4">
        <v>1</v>
      </c>
      <c r="F4" s="1">
        <v>42674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75</v>
      </c>
      <c r="N4" t="s">
        <v>75</v>
      </c>
      <c r="O4" t="s">
        <v>76</v>
      </c>
      <c r="P4" t="s">
        <v>74</v>
      </c>
      <c r="Q4" t="s">
        <v>75</v>
      </c>
      <c r="R4" t="s">
        <v>75</v>
      </c>
      <c r="S4" t="s">
        <v>75</v>
      </c>
      <c r="T4" t="s">
        <v>75</v>
      </c>
      <c r="U4" t="s">
        <v>73</v>
      </c>
      <c r="V4" t="s">
        <v>75</v>
      </c>
      <c r="W4" t="s">
        <v>1288</v>
      </c>
      <c r="X4" t="e">
        <f>min_hour(IF(164=P,420,3))</f>
        <v>#VALUE!</v>
      </c>
    </row>
    <row r="5" spans="1:32" x14ac:dyDescent="0.25">
      <c r="A5" t="s">
        <v>93</v>
      </c>
      <c r="B5" t="s">
        <v>5</v>
      </c>
      <c r="C5" t="s">
        <v>6</v>
      </c>
      <c r="D5" t="s">
        <v>1271</v>
      </c>
      <c r="E5">
        <v>2</v>
      </c>
      <c r="F5" s="1">
        <v>42674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X5" t="e">
        <f>min_hour(IF(164=P,420,3))</f>
        <v>#VALUE!</v>
      </c>
    </row>
    <row r="6" spans="1:32" x14ac:dyDescent="0.25">
      <c r="A6" t="s">
        <v>94</v>
      </c>
      <c r="B6" t="s">
        <v>7</v>
      </c>
      <c r="C6" t="s">
        <v>8</v>
      </c>
      <c r="D6" t="s">
        <v>1271</v>
      </c>
      <c r="E6">
        <v>3</v>
      </c>
      <c r="F6" s="1">
        <v>42674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X6" t="e">
        <f>min_hour(IF(164=P,420,3))</f>
        <v>#VALUE!</v>
      </c>
    </row>
    <row r="7" spans="1:32" x14ac:dyDescent="0.25">
      <c r="A7" t="s">
        <v>96</v>
      </c>
      <c r="B7" t="s">
        <v>9</v>
      </c>
      <c r="C7" t="s">
        <v>10</v>
      </c>
      <c r="D7" t="s">
        <v>1271</v>
      </c>
      <c r="E7">
        <v>4</v>
      </c>
      <c r="F7" s="1">
        <v>42674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X7" t="e">
        <f>min_hour(IF(164=P,420,3))</f>
        <v>#VALUE!</v>
      </c>
    </row>
    <row r="8" spans="1:32" x14ac:dyDescent="0.25">
      <c r="A8" t="s">
        <v>97</v>
      </c>
      <c r="B8" t="s">
        <v>11</v>
      </c>
      <c r="C8" t="s">
        <v>12</v>
      </c>
      <c r="D8" t="s">
        <v>1271</v>
      </c>
      <c r="E8">
        <v>5</v>
      </c>
      <c r="F8" s="1">
        <v>42674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75</v>
      </c>
      <c r="X8" t="e">
        <f>min_hour(IF(164=P,420,3))</f>
        <v>#VALUE!</v>
      </c>
    </row>
    <row r="9" spans="1:32" x14ac:dyDescent="0.25">
      <c r="A9" t="s">
        <v>120</v>
      </c>
      <c r="B9" t="s">
        <v>13</v>
      </c>
      <c r="C9" t="s">
        <v>14</v>
      </c>
      <c r="D9" t="s">
        <v>1271</v>
      </c>
      <c r="E9">
        <v>6</v>
      </c>
      <c r="F9" s="1">
        <v>42674</v>
      </c>
      <c r="G9">
        <v>44</v>
      </c>
      <c r="H9">
        <v>2016</v>
      </c>
      <c r="I9" t="s">
        <v>75</v>
      </c>
      <c r="J9" t="s">
        <v>73</v>
      </c>
      <c r="K9" t="s">
        <v>74</v>
      </c>
      <c r="L9" t="s">
        <v>75</v>
      </c>
      <c r="M9" t="s">
        <v>74</v>
      </c>
      <c r="N9" t="s">
        <v>75</v>
      </c>
      <c r="O9" t="s">
        <v>75</v>
      </c>
      <c r="X9" t="e">
        <f>min_hour(IF(164=P,420,3))</f>
        <v>#VALUE!</v>
      </c>
    </row>
    <row r="10" spans="1:32" x14ac:dyDescent="0.25">
      <c r="A10" t="s">
        <v>98</v>
      </c>
      <c r="B10" t="s">
        <v>13</v>
      </c>
      <c r="C10" t="s">
        <v>15</v>
      </c>
      <c r="D10" t="s">
        <v>1271</v>
      </c>
      <c r="E10">
        <v>7</v>
      </c>
      <c r="F10" s="1">
        <v>42674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X10" t="e">
        <f>min_hour(IF(164=P,420,3))</f>
        <v>#VALUE!</v>
      </c>
    </row>
    <row r="11" spans="1:32" x14ac:dyDescent="0.25">
      <c r="A11" t="s">
        <v>99</v>
      </c>
      <c r="B11" t="s">
        <v>16</v>
      </c>
      <c r="C11" t="s">
        <v>17</v>
      </c>
      <c r="D11" t="s">
        <v>1271</v>
      </c>
      <c r="E11">
        <v>8</v>
      </c>
      <c r="F11" s="1">
        <v>42674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74</v>
      </c>
      <c r="N11" t="s">
        <v>75</v>
      </c>
      <c r="O11" t="s">
        <v>73</v>
      </c>
      <c r="X11" t="e">
        <f>min_hour(IF(164=P,420,3))</f>
        <v>#VALUE!</v>
      </c>
    </row>
    <row r="12" spans="1:32" x14ac:dyDescent="0.25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">
        <v>42674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X12" t="e">
        <f>min_hour(IF(164=P,420,3))</f>
        <v>#VALUE!</v>
      </c>
    </row>
    <row r="13" spans="1:32" x14ac:dyDescent="0.25">
      <c r="A13" t="s">
        <v>101</v>
      </c>
      <c r="B13" t="s">
        <v>20</v>
      </c>
      <c r="C13" t="s">
        <v>21</v>
      </c>
      <c r="D13" t="s">
        <v>1271</v>
      </c>
      <c r="E13">
        <v>10</v>
      </c>
      <c r="F13" s="1">
        <v>42674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X13" t="e">
        <f>min_hour(IF(164=P,420,3))</f>
        <v>#VALUE!</v>
      </c>
    </row>
    <row r="14" spans="1:32" x14ac:dyDescent="0.25">
      <c r="A14" t="s">
        <v>102</v>
      </c>
      <c r="B14" t="s">
        <v>22</v>
      </c>
      <c r="C14" t="s">
        <v>17</v>
      </c>
      <c r="D14" t="s">
        <v>1271</v>
      </c>
      <c r="E14">
        <v>11</v>
      </c>
      <c r="F14" s="1">
        <v>42674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74</v>
      </c>
      <c r="M14" t="s">
        <v>75</v>
      </c>
      <c r="N14" t="s">
        <v>73</v>
      </c>
      <c r="O14" t="s">
        <v>75</v>
      </c>
      <c r="X14" t="e">
        <f>min_hour(IF(164=P,420,3))</f>
        <v>#VALUE!</v>
      </c>
    </row>
    <row r="15" spans="1:32" x14ac:dyDescent="0.25">
      <c r="A15" t="s">
        <v>103</v>
      </c>
      <c r="B15" t="s">
        <v>23</v>
      </c>
      <c r="C15" t="s">
        <v>24</v>
      </c>
      <c r="D15" t="s">
        <v>1271</v>
      </c>
      <c r="E15">
        <v>1</v>
      </c>
      <c r="F15" s="1">
        <v>42674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X15" t="e">
        <f>min_hour(IF(164=P,420,3))</f>
        <v>#VALUE!</v>
      </c>
    </row>
    <row r="16" spans="1:32" x14ac:dyDescent="0.25">
      <c r="A16" t="s">
        <v>127</v>
      </c>
      <c r="B16" t="s">
        <v>23</v>
      </c>
      <c r="C16" t="s">
        <v>55</v>
      </c>
      <c r="D16" t="s">
        <v>1271</v>
      </c>
      <c r="E16">
        <v>2</v>
      </c>
      <c r="F16" s="1">
        <v>42674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74</v>
      </c>
      <c r="M16" t="s">
        <v>74</v>
      </c>
      <c r="N16" t="s">
        <v>75</v>
      </c>
      <c r="O16" t="s">
        <v>73</v>
      </c>
      <c r="X16" t="e">
        <f>min_hour(IF(164=P,420,3))</f>
        <v>#VALUE!</v>
      </c>
    </row>
    <row r="17" spans="1:24" x14ac:dyDescent="0.25">
      <c r="A17" t="s">
        <v>104</v>
      </c>
      <c r="B17" t="s">
        <v>25</v>
      </c>
      <c r="C17" t="s">
        <v>132</v>
      </c>
      <c r="D17" t="s">
        <v>1271</v>
      </c>
      <c r="E17">
        <v>3</v>
      </c>
      <c r="F17" s="1">
        <v>42674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X17" t="e">
        <f>min_hour(IF(164=P,420,3))</f>
        <v>#VALUE!</v>
      </c>
    </row>
    <row r="18" spans="1:24" x14ac:dyDescent="0.25">
      <c r="A18" t="s">
        <v>129</v>
      </c>
      <c r="B18" t="s">
        <v>56</v>
      </c>
      <c r="C18" t="s">
        <v>57</v>
      </c>
      <c r="D18" t="s">
        <v>1271</v>
      </c>
      <c r="E18">
        <v>4</v>
      </c>
      <c r="F18" s="1">
        <v>42674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X18" t="e">
        <f>min_hour(IF(164=P,420,3))</f>
        <v>#VALUE!</v>
      </c>
    </row>
    <row r="19" spans="1:24" x14ac:dyDescent="0.25">
      <c r="A19" t="s">
        <v>105</v>
      </c>
      <c r="B19" t="s">
        <v>26</v>
      </c>
      <c r="C19" t="s">
        <v>27</v>
      </c>
      <c r="D19" t="s">
        <v>1271</v>
      </c>
      <c r="E19">
        <v>5</v>
      </c>
      <c r="F19" s="1">
        <v>42674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74</v>
      </c>
      <c r="O19" t="s">
        <v>75</v>
      </c>
      <c r="X19" t="e">
        <f>min_hour(IF(164=P,420,3))</f>
        <v>#VALUE!</v>
      </c>
    </row>
    <row r="20" spans="1:24" x14ac:dyDescent="0.25">
      <c r="A20" t="s">
        <v>106</v>
      </c>
      <c r="B20" t="s">
        <v>28</v>
      </c>
      <c r="C20" t="s">
        <v>29</v>
      </c>
      <c r="D20" t="s">
        <v>1271</v>
      </c>
      <c r="E20">
        <v>6</v>
      </c>
      <c r="F20" s="1">
        <v>42674</v>
      </c>
      <c r="G20">
        <v>44</v>
      </c>
      <c r="H20">
        <v>2016</v>
      </c>
      <c r="I20" t="s">
        <v>75</v>
      </c>
      <c r="J20" t="s">
        <v>74</v>
      </c>
      <c r="K20" t="s">
        <v>74</v>
      </c>
      <c r="L20" t="s">
        <v>75</v>
      </c>
      <c r="M20" t="s">
        <v>73</v>
      </c>
      <c r="N20" t="s">
        <v>74</v>
      </c>
      <c r="O20" t="s">
        <v>74</v>
      </c>
      <c r="X20" t="e">
        <f>min_hour(IF(164=P,420,3))</f>
        <v>#VALUE!</v>
      </c>
    </row>
    <row r="21" spans="1:24" x14ac:dyDescent="0.25">
      <c r="A21" t="s">
        <v>107</v>
      </c>
      <c r="B21" t="s">
        <v>30</v>
      </c>
      <c r="C21" t="s">
        <v>8</v>
      </c>
      <c r="D21" t="s">
        <v>1271</v>
      </c>
      <c r="E21">
        <v>7</v>
      </c>
      <c r="F21" s="1">
        <v>42674</v>
      </c>
      <c r="G21">
        <v>44</v>
      </c>
      <c r="H21">
        <v>2016</v>
      </c>
      <c r="I21" t="s">
        <v>74</v>
      </c>
      <c r="J21" t="s">
        <v>74</v>
      </c>
      <c r="K21" t="s">
        <v>73</v>
      </c>
      <c r="L21" t="s">
        <v>75</v>
      </c>
      <c r="M21" t="s">
        <v>75</v>
      </c>
      <c r="N21" t="s">
        <v>74</v>
      </c>
      <c r="O21" t="s">
        <v>75</v>
      </c>
      <c r="X21" t="e">
        <f>min_hour(IF(164=P,420,3))</f>
        <v>#VALUE!</v>
      </c>
    </row>
    <row r="22" spans="1:24" x14ac:dyDescent="0.25">
      <c r="A22" t="s">
        <v>108</v>
      </c>
      <c r="B22" t="s">
        <v>30</v>
      </c>
      <c r="C22" t="s">
        <v>31</v>
      </c>
      <c r="D22" t="s">
        <v>1271</v>
      </c>
      <c r="E22">
        <v>8</v>
      </c>
      <c r="F22" s="1">
        <v>42674</v>
      </c>
      <c r="G22">
        <v>44</v>
      </c>
      <c r="H22">
        <v>2016</v>
      </c>
      <c r="I22" t="s">
        <v>77</v>
      </c>
      <c r="J22" t="s">
        <v>73</v>
      </c>
      <c r="K22" t="s">
        <v>74</v>
      </c>
      <c r="L22" t="s">
        <v>74</v>
      </c>
      <c r="M22" t="s">
        <v>75</v>
      </c>
      <c r="N22" t="s">
        <v>75</v>
      </c>
      <c r="O22" t="s">
        <v>74</v>
      </c>
      <c r="X22" t="e">
        <f>min_hour(IF(164=P,420,3))</f>
        <v>#VALUE!</v>
      </c>
    </row>
    <row r="23" spans="1:24" x14ac:dyDescent="0.25">
      <c r="A23" t="s">
        <v>109</v>
      </c>
      <c r="B23" t="s">
        <v>32</v>
      </c>
      <c r="C23" t="s">
        <v>33</v>
      </c>
      <c r="D23" t="s">
        <v>1271</v>
      </c>
      <c r="E23">
        <v>9</v>
      </c>
      <c r="F23" s="1">
        <v>42674</v>
      </c>
      <c r="G23">
        <v>44</v>
      </c>
      <c r="H23">
        <v>2016</v>
      </c>
      <c r="I23" t="s">
        <v>73</v>
      </c>
      <c r="J23" t="s">
        <v>75</v>
      </c>
      <c r="K23" t="s">
        <v>75</v>
      </c>
      <c r="L23" t="s">
        <v>74</v>
      </c>
      <c r="M23" t="s">
        <v>75</v>
      </c>
      <c r="N23" t="s">
        <v>75</v>
      </c>
      <c r="O23" t="s">
        <v>73</v>
      </c>
      <c r="X23" t="e">
        <f>min_hour(IF(164=P,420,3))</f>
        <v>#VALUE!</v>
      </c>
    </row>
    <row r="24" spans="1:24" x14ac:dyDescent="0.25">
      <c r="A24" t="s">
        <v>122</v>
      </c>
      <c r="B24" t="s">
        <v>32</v>
      </c>
      <c r="C24" t="s">
        <v>34</v>
      </c>
      <c r="D24" t="s">
        <v>1271</v>
      </c>
      <c r="E24">
        <v>10</v>
      </c>
      <c r="F24" s="1">
        <v>42674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74</v>
      </c>
      <c r="N24" t="s">
        <v>75</v>
      </c>
      <c r="O24" t="s">
        <v>75</v>
      </c>
      <c r="X24" t="e">
        <f>min_hour(IF(164=P,420,3))</f>
        <v>#VALUE!</v>
      </c>
    </row>
    <row r="25" spans="1:24" x14ac:dyDescent="0.25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">
        <v>42674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75</v>
      </c>
      <c r="M25" t="s">
        <v>75</v>
      </c>
      <c r="N25" t="s">
        <v>76</v>
      </c>
      <c r="O25" t="s">
        <v>77</v>
      </c>
      <c r="X25" t="e">
        <f>min_hour(IF(164=P,420,3))</f>
        <v>#VALUE!</v>
      </c>
    </row>
    <row r="26" spans="1:24" x14ac:dyDescent="0.25">
      <c r="A26" t="s">
        <v>130</v>
      </c>
      <c r="B26" t="s">
        <v>58</v>
      </c>
      <c r="C26" t="s">
        <v>59</v>
      </c>
      <c r="D26" t="s">
        <v>1271</v>
      </c>
      <c r="E26">
        <v>1</v>
      </c>
      <c r="F26" s="1">
        <v>42674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74</v>
      </c>
      <c r="M26" t="s">
        <v>75</v>
      </c>
      <c r="N26" t="s">
        <v>75</v>
      </c>
      <c r="O26" t="s">
        <v>75</v>
      </c>
      <c r="X26" t="e">
        <f>min_hour(IF(164=P,420,3))</f>
        <v>#VALUE!</v>
      </c>
    </row>
    <row r="27" spans="1:24" x14ac:dyDescent="0.25">
      <c r="A27" t="s">
        <v>111</v>
      </c>
      <c r="B27" t="s">
        <v>37</v>
      </c>
      <c r="C27" t="s">
        <v>38</v>
      </c>
      <c r="D27" t="s">
        <v>1271</v>
      </c>
      <c r="E27">
        <v>2</v>
      </c>
      <c r="F27" s="1">
        <v>42674</v>
      </c>
      <c r="G27">
        <v>44</v>
      </c>
      <c r="H27">
        <v>2016</v>
      </c>
      <c r="I27" t="s">
        <v>73</v>
      </c>
      <c r="J27" t="s">
        <v>75</v>
      </c>
      <c r="K27" t="s">
        <v>75</v>
      </c>
      <c r="L27" t="s">
        <v>75</v>
      </c>
      <c r="M27" t="s">
        <v>76</v>
      </c>
      <c r="N27" t="s">
        <v>77</v>
      </c>
      <c r="O27" t="s">
        <v>73</v>
      </c>
      <c r="X27" t="e">
        <f>min_hour(IF(164=P,420,3))</f>
        <v>#VALUE!</v>
      </c>
    </row>
    <row r="28" spans="1:24" x14ac:dyDescent="0.25">
      <c r="A28" t="s">
        <v>112</v>
      </c>
      <c r="B28" t="s">
        <v>39</v>
      </c>
      <c r="C28" t="s">
        <v>40</v>
      </c>
      <c r="D28" t="s">
        <v>1271</v>
      </c>
      <c r="E28">
        <v>3</v>
      </c>
      <c r="F28" s="1">
        <v>42674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74</v>
      </c>
      <c r="O28" t="s">
        <v>75</v>
      </c>
      <c r="X28" t="e">
        <f>min_hour(IF(164=P,420,3))</f>
        <v>#VALUE!</v>
      </c>
    </row>
    <row r="29" spans="1:24" x14ac:dyDescent="0.25">
      <c r="A29" t="s">
        <v>113</v>
      </c>
      <c r="B29" t="s">
        <v>41</v>
      </c>
      <c r="C29" t="s">
        <v>42</v>
      </c>
      <c r="D29" t="s">
        <v>1271</v>
      </c>
      <c r="E29">
        <v>4</v>
      </c>
      <c r="F29" s="1">
        <v>42674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75</v>
      </c>
      <c r="N29" t="s">
        <v>75</v>
      </c>
      <c r="O29" t="s">
        <v>76</v>
      </c>
      <c r="X29" t="e">
        <f>min_hour(IF(164=P,420,3))</f>
        <v>#VALUE!</v>
      </c>
    </row>
    <row r="30" spans="1:24" x14ac:dyDescent="0.25">
      <c r="A30" t="s">
        <v>114</v>
      </c>
      <c r="B30" t="s">
        <v>43</v>
      </c>
      <c r="C30" t="s">
        <v>44</v>
      </c>
      <c r="D30" t="s">
        <v>1271</v>
      </c>
      <c r="E30">
        <v>5</v>
      </c>
      <c r="F30" s="1">
        <v>42674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X30" t="e">
        <f>min_hour(IF(164=P,420,3))</f>
        <v>#VALUE!</v>
      </c>
    </row>
    <row r="31" spans="1:24" x14ac:dyDescent="0.25">
      <c r="A31" t="s">
        <v>115</v>
      </c>
      <c r="B31" t="s">
        <v>45</v>
      </c>
      <c r="C31" t="s">
        <v>46</v>
      </c>
      <c r="D31" t="s">
        <v>1271</v>
      </c>
      <c r="E31">
        <v>6</v>
      </c>
      <c r="F31" s="1">
        <v>42674</v>
      </c>
      <c r="G31">
        <v>44</v>
      </c>
      <c r="H31">
        <v>2016</v>
      </c>
      <c r="I31" t="s">
        <v>74</v>
      </c>
      <c r="J31" t="s">
        <v>75</v>
      </c>
      <c r="K31" t="s">
        <v>74</v>
      </c>
      <c r="L31" t="s">
        <v>73</v>
      </c>
      <c r="M31" t="s">
        <v>74</v>
      </c>
      <c r="N31" t="s">
        <v>74</v>
      </c>
      <c r="O31" t="s">
        <v>75</v>
      </c>
      <c r="X31" t="e">
        <f>min_hour(IF(164=P,420,3))</f>
        <v>#VALUE!</v>
      </c>
    </row>
    <row r="32" spans="1:24" x14ac:dyDescent="0.25">
      <c r="A32" t="s">
        <v>116</v>
      </c>
      <c r="B32" t="s">
        <v>47</v>
      </c>
      <c r="C32" t="s">
        <v>48</v>
      </c>
      <c r="D32" t="s">
        <v>1271</v>
      </c>
      <c r="E32">
        <v>7</v>
      </c>
      <c r="F32" s="1">
        <v>42674</v>
      </c>
      <c r="G32">
        <v>44</v>
      </c>
      <c r="H32">
        <v>2016</v>
      </c>
      <c r="I32" t="s">
        <v>74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X32" t="e">
        <f>min_hour(IF(164=P,420,3))</f>
        <v>#VALUE!</v>
      </c>
    </row>
    <row r="33" spans="1:24" x14ac:dyDescent="0.25">
      <c r="A33" t="s">
        <v>117</v>
      </c>
      <c r="B33" t="s">
        <v>49</v>
      </c>
      <c r="C33" t="s">
        <v>50</v>
      </c>
      <c r="D33" t="s">
        <v>1271</v>
      </c>
      <c r="E33">
        <v>8</v>
      </c>
      <c r="F33" s="1">
        <v>42674</v>
      </c>
      <c r="G33">
        <v>44</v>
      </c>
      <c r="H33">
        <v>2016</v>
      </c>
      <c r="I33" t="s">
        <v>74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X33" t="e">
        <f>min_hour(IF(164=P,420,3))</f>
        <v>#VALUE!</v>
      </c>
    </row>
    <row r="34" spans="1:24" x14ac:dyDescent="0.25">
      <c r="A34" t="s">
        <v>118</v>
      </c>
      <c r="B34" t="s">
        <v>51</v>
      </c>
      <c r="C34" t="s">
        <v>52</v>
      </c>
      <c r="D34" t="s">
        <v>1271</v>
      </c>
      <c r="E34">
        <v>9</v>
      </c>
      <c r="F34" s="1">
        <v>42674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74</v>
      </c>
      <c r="X34" t="e">
        <f>min_hour(IF(164=P,420,3))</f>
        <v>#VALUE!</v>
      </c>
    </row>
    <row r="35" spans="1:24" x14ac:dyDescent="0.25">
      <c r="A35" t="s">
        <v>119</v>
      </c>
      <c r="B35" t="s">
        <v>53</v>
      </c>
      <c r="C35" t="s">
        <v>54</v>
      </c>
      <c r="D35" t="s">
        <v>1271</v>
      </c>
      <c r="E35">
        <v>10</v>
      </c>
      <c r="F35" s="1">
        <v>42674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74</v>
      </c>
      <c r="X35" t="e">
        <f>min_hour(IF(164=P,420,3))</f>
        <v>#VALUE!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Sheet1</vt:lpstr>
      <vt:lpstr>COMANDI</vt:lpstr>
      <vt:lpstr>ANAGRAFICA</vt:lpstr>
      <vt:lpstr>MATRICETURNI</vt:lpstr>
      <vt:lpstr>TURNAZIONE_OPERATORE</vt:lpstr>
      <vt:lpstr>2016_45_46</vt:lpstr>
      <vt:lpstr>Classified as UnClassified</vt:lpstr>
      <vt:lpstr>location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2016-10-13T16:32:50Z</dcterms:modified>
</cp:coreProperties>
</file>