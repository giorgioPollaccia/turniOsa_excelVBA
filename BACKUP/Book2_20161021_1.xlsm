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7395" windowWidth="24495" windowHeight="12480" tabRatio="662" firstSheet="1" activeTab="1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45_52_" sheetId="251" r:id="rId7"/>
    <sheet name="Classified as UnClassified" sheetId="6" state="hidden" r:id="rId8"/>
    <sheet name="xl_DCF_History" sheetId="5" state="veryHidden" r:id="rId9"/>
  </sheets>
  <functionGroups builtInGroupCount="18"/>
  <definedNames>
    <definedName name="anagrafica">#REF!</definedName>
    <definedName name="ExternalData_1" localSheetId="6" hidden="1">'2016_45_52_'!$A$3:$O$39</definedName>
    <definedName name="location">COMANDI!$B$2</definedName>
    <definedName name="Query_da_SQLite3_Datasource" localSheetId="2" hidden="1">ANAGRAFICA!$A$4:$D$40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5" hidden="1">TURNAZIONE_OPERATORE!$A$4:$P$2848</definedName>
  </definedNames>
  <calcPr calcId="152511"/>
</workbook>
</file>

<file path=xl/calcChain.xml><?xml version="1.0" encoding="utf-8"?>
<calcChain xmlns="http://schemas.openxmlformats.org/spreadsheetml/2006/main">
  <c r="D37" i="100" l="1"/>
  <c r="D38" i="100"/>
  <c r="D39" i="100"/>
  <c r="D40" i="100"/>
  <c r="D41" i="100"/>
  <c r="D42" i="100"/>
  <c r="D43" i="100"/>
  <c r="D44" i="100"/>
  <c r="D45" i="100"/>
  <c r="C38" i="100"/>
  <c r="C39" i="100"/>
  <c r="C40" i="100"/>
  <c r="C41" i="100"/>
  <c r="C42" i="100"/>
  <c r="C43" i="100"/>
  <c r="C44" i="100"/>
  <c r="C45" i="100"/>
  <c r="C37" i="100"/>
  <c r="CO47" i="251" l="1"/>
  <c r="CO46" i="251"/>
  <c r="CO45" i="251"/>
  <c r="CO44" i="251"/>
  <c r="CO43" i="251"/>
  <c r="CO42" i="251"/>
  <c r="CO41" i="251"/>
  <c r="CO40" i="251"/>
  <c r="CO39" i="251"/>
  <c r="CN47" i="251"/>
  <c r="CN46" i="251"/>
  <c r="CN45" i="251"/>
  <c r="CN44" i="251"/>
  <c r="CN43" i="251"/>
  <c r="CN42" i="251"/>
  <c r="CN41" i="251"/>
  <c r="CN40" i="251"/>
  <c r="CN39" i="251"/>
  <c r="CM47" i="251"/>
  <c r="CM46" i="251"/>
  <c r="CM45" i="251"/>
  <c r="CM44" i="251"/>
  <c r="CM43" i="251"/>
  <c r="CM42" i="251"/>
  <c r="CM41" i="251"/>
  <c r="CM40" i="251"/>
  <c r="CM39" i="251"/>
  <c r="CL47" i="251"/>
  <c r="CL46" i="251"/>
  <c r="CL45" i="251"/>
  <c r="CL44" i="251"/>
  <c r="CL43" i="251"/>
  <c r="CL42" i="251"/>
  <c r="CL41" i="251"/>
  <c r="CL40" i="251"/>
  <c r="CL39" i="251"/>
  <c r="CK47" i="251"/>
  <c r="CK46" i="251"/>
  <c r="CK45" i="251"/>
  <c r="CK44" i="251"/>
  <c r="CK43" i="251"/>
  <c r="CK42" i="251"/>
  <c r="CK41" i="251"/>
  <c r="CK40" i="251"/>
  <c r="CK39" i="251"/>
  <c r="CJ47" i="251"/>
  <c r="CJ46" i="251"/>
  <c r="CJ45" i="251"/>
  <c r="CJ44" i="251"/>
  <c r="CJ43" i="251"/>
  <c r="CJ42" i="251"/>
  <c r="CJ41" i="251"/>
  <c r="CJ40" i="251"/>
  <c r="CJ39" i="251"/>
  <c r="CI47" i="251"/>
  <c r="CI46" i="251"/>
  <c r="CI45" i="251"/>
  <c r="CI44" i="251"/>
  <c r="CI43" i="251"/>
  <c r="CI42" i="251"/>
  <c r="CI41" i="251"/>
  <c r="CI40" i="251"/>
  <c r="CI39" i="251"/>
  <c r="CE47" i="251"/>
  <c r="CE46" i="251"/>
  <c r="CE45" i="251"/>
  <c r="CE44" i="251"/>
  <c r="CE43" i="251"/>
  <c r="CE42" i="251"/>
  <c r="CE41" i="251"/>
  <c r="CE40" i="251"/>
  <c r="CE39" i="251"/>
  <c r="CD47" i="251"/>
  <c r="CD46" i="251"/>
  <c r="CD45" i="251"/>
  <c r="CD44" i="251"/>
  <c r="CD43" i="251"/>
  <c r="CD42" i="251"/>
  <c r="CD41" i="251"/>
  <c r="CD40" i="251"/>
  <c r="CD39" i="251"/>
  <c r="CC47" i="251"/>
  <c r="CC46" i="251"/>
  <c r="CC45" i="251"/>
  <c r="CC44" i="251"/>
  <c r="CC43" i="251"/>
  <c r="CC42" i="251"/>
  <c r="CC41" i="251"/>
  <c r="CC40" i="251"/>
  <c r="CC39" i="251"/>
  <c r="CB47" i="251"/>
  <c r="CB46" i="251"/>
  <c r="CB45" i="251"/>
  <c r="CB44" i="251"/>
  <c r="CB43" i="251"/>
  <c r="CB42" i="251"/>
  <c r="CB41" i="251"/>
  <c r="CB40" i="251"/>
  <c r="CB39" i="251"/>
  <c r="CA47" i="251"/>
  <c r="CA46" i="251"/>
  <c r="CA45" i="251"/>
  <c r="CA44" i="251"/>
  <c r="CA43" i="251"/>
  <c r="CA42" i="251"/>
  <c r="CA41" i="251"/>
  <c r="CA40" i="251"/>
  <c r="CA39" i="251"/>
  <c r="BZ47" i="251"/>
  <c r="BZ46" i="251"/>
  <c r="BZ45" i="251"/>
  <c r="BZ44" i="251"/>
  <c r="BZ43" i="251"/>
  <c r="BZ42" i="251"/>
  <c r="BZ41" i="251"/>
  <c r="BZ40" i="251"/>
  <c r="BZ39" i="251"/>
  <c r="BY47" i="251"/>
  <c r="BY46" i="251"/>
  <c r="BY45" i="251"/>
  <c r="BY44" i="251"/>
  <c r="BY43" i="251"/>
  <c r="BY42" i="251"/>
  <c r="BY41" i="251"/>
  <c r="BY40" i="251"/>
  <c r="BY39" i="251"/>
  <c r="BU47" i="251"/>
  <c r="BU46" i="251"/>
  <c r="BU45" i="251"/>
  <c r="BU44" i="251"/>
  <c r="BU43" i="251"/>
  <c r="BU42" i="251"/>
  <c r="BU41" i="251"/>
  <c r="BU40" i="251"/>
  <c r="BU39" i="251"/>
  <c r="BT47" i="251"/>
  <c r="BT46" i="251"/>
  <c r="BT45" i="251"/>
  <c r="BT44" i="251"/>
  <c r="BT43" i="251"/>
  <c r="BT42" i="251"/>
  <c r="BT41" i="251"/>
  <c r="BT40" i="251"/>
  <c r="BT39" i="251"/>
  <c r="BS47" i="251"/>
  <c r="BS46" i="251"/>
  <c r="BS45" i="251"/>
  <c r="BS44" i="251"/>
  <c r="BS43" i="251"/>
  <c r="BS42" i="251"/>
  <c r="BS41" i="251"/>
  <c r="BS40" i="251"/>
  <c r="BS39" i="251"/>
  <c r="BR47" i="251"/>
  <c r="BR46" i="251"/>
  <c r="BR45" i="251"/>
  <c r="BR44" i="251"/>
  <c r="BR43" i="251"/>
  <c r="BR42" i="251"/>
  <c r="BR41" i="251"/>
  <c r="BR40" i="251"/>
  <c r="BR39" i="251"/>
  <c r="BQ47" i="251"/>
  <c r="BQ46" i="251"/>
  <c r="BQ45" i="251"/>
  <c r="BQ44" i="251"/>
  <c r="BQ43" i="251"/>
  <c r="BQ42" i="251"/>
  <c r="BQ41" i="251"/>
  <c r="BQ40" i="251"/>
  <c r="BQ39" i="251"/>
  <c r="BP47" i="251"/>
  <c r="BP46" i="251"/>
  <c r="BP45" i="251"/>
  <c r="BP44" i="251"/>
  <c r="BP43" i="251"/>
  <c r="BP42" i="251"/>
  <c r="BP41" i="251"/>
  <c r="BP40" i="251"/>
  <c r="BP39" i="251"/>
  <c r="BO47" i="251"/>
  <c r="BO46" i="251"/>
  <c r="BO45" i="251"/>
  <c r="BO44" i="251"/>
  <c r="BO43" i="251"/>
  <c r="BO42" i="251"/>
  <c r="BO41" i="251"/>
  <c r="BO40" i="251"/>
  <c r="BO39" i="251"/>
  <c r="BK47" i="251"/>
  <c r="BK46" i="251"/>
  <c r="BK45" i="251"/>
  <c r="BK44" i="251"/>
  <c r="BK43" i="251"/>
  <c r="BK42" i="251"/>
  <c r="BK41" i="251"/>
  <c r="BK40" i="251"/>
  <c r="BK39" i="251"/>
  <c r="BJ47" i="251"/>
  <c r="BJ46" i="251"/>
  <c r="BJ45" i="251"/>
  <c r="BJ44" i="251"/>
  <c r="BJ43" i="251"/>
  <c r="BJ42" i="251"/>
  <c r="BJ41" i="251"/>
  <c r="BJ40" i="251"/>
  <c r="BJ39" i="251"/>
  <c r="BI47" i="251"/>
  <c r="BI46" i="251"/>
  <c r="BI45" i="251"/>
  <c r="BI44" i="251"/>
  <c r="BI43" i="251"/>
  <c r="BI42" i="251"/>
  <c r="BI41" i="251"/>
  <c r="BI40" i="251"/>
  <c r="BI39" i="251"/>
  <c r="BH47" i="251"/>
  <c r="BH46" i="251"/>
  <c r="BH45" i="251"/>
  <c r="BH44" i="251"/>
  <c r="BH43" i="251"/>
  <c r="BH42" i="251"/>
  <c r="BH41" i="251"/>
  <c r="BH40" i="251"/>
  <c r="BH39" i="251"/>
  <c r="BG47" i="251"/>
  <c r="BG46" i="251"/>
  <c r="BG45" i="251"/>
  <c r="BG44" i="251"/>
  <c r="BG43" i="251"/>
  <c r="BG42" i="251"/>
  <c r="BG41" i="251"/>
  <c r="BG40" i="251"/>
  <c r="BG39" i="251"/>
  <c r="BF47" i="251"/>
  <c r="BF46" i="251"/>
  <c r="BF45" i="251"/>
  <c r="BF44" i="251"/>
  <c r="BF43" i="251"/>
  <c r="BF42" i="251"/>
  <c r="BF41" i="251"/>
  <c r="BF40" i="251"/>
  <c r="BF39" i="251"/>
  <c r="BE47" i="251"/>
  <c r="BE46" i="251"/>
  <c r="BE45" i="251"/>
  <c r="BE44" i="251"/>
  <c r="BE43" i="251"/>
  <c r="BE42" i="251"/>
  <c r="BE41" i="251"/>
  <c r="BE40" i="251"/>
  <c r="BE39" i="251"/>
  <c r="BA47" i="251"/>
  <c r="BA46" i="251"/>
  <c r="BA45" i="251"/>
  <c r="BA44" i="251"/>
  <c r="BA43" i="251"/>
  <c r="BA42" i="251"/>
  <c r="BA41" i="251"/>
  <c r="BA40" i="251"/>
  <c r="BA39" i="251"/>
  <c r="AZ47" i="251"/>
  <c r="AZ46" i="251"/>
  <c r="AZ45" i="251"/>
  <c r="AZ44" i="251"/>
  <c r="AZ43" i="251"/>
  <c r="AZ42" i="251"/>
  <c r="AZ41" i="251"/>
  <c r="AZ40" i="251"/>
  <c r="AZ39" i="251"/>
  <c r="AY47" i="251"/>
  <c r="AY46" i="251"/>
  <c r="AY45" i="251"/>
  <c r="AY44" i="251"/>
  <c r="AY43" i="251"/>
  <c r="AY42" i="251"/>
  <c r="AY41" i="251"/>
  <c r="AY40" i="251"/>
  <c r="AY39" i="251"/>
  <c r="AX47" i="251"/>
  <c r="AX46" i="251"/>
  <c r="AX45" i="251"/>
  <c r="AX44" i="251"/>
  <c r="AX43" i="251"/>
  <c r="AX42" i="251"/>
  <c r="AX41" i="251"/>
  <c r="AX40" i="251"/>
  <c r="AX39" i="251"/>
  <c r="AW47" i="251"/>
  <c r="AW46" i="251"/>
  <c r="AW45" i="251"/>
  <c r="AW44" i="251"/>
  <c r="AW43" i="251"/>
  <c r="AW42" i="251"/>
  <c r="AW41" i="251"/>
  <c r="AW40" i="251"/>
  <c r="AW39" i="251"/>
  <c r="AV47" i="251"/>
  <c r="AV46" i="251"/>
  <c r="AV45" i="251"/>
  <c r="AV44" i="251"/>
  <c r="AV43" i="251"/>
  <c r="AV42" i="251"/>
  <c r="AV41" i="251"/>
  <c r="AV40" i="251"/>
  <c r="AV39" i="251"/>
  <c r="AU47" i="251"/>
  <c r="AU46" i="251"/>
  <c r="AU45" i="251"/>
  <c r="AU44" i="251"/>
  <c r="AU43" i="251"/>
  <c r="AU42" i="251"/>
  <c r="AU41" i="251"/>
  <c r="AU40" i="251"/>
  <c r="AU39" i="251"/>
  <c r="AQ47" i="251"/>
  <c r="AQ46" i="251"/>
  <c r="AQ45" i="251"/>
  <c r="AQ44" i="251"/>
  <c r="AQ43" i="251"/>
  <c r="AQ42" i="251"/>
  <c r="AQ41" i="251"/>
  <c r="AQ40" i="251"/>
  <c r="AQ39" i="251"/>
  <c r="AP47" i="251"/>
  <c r="AP46" i="251"/>
  <c r="AP45" i="251"/>
  <c r="AP44" i="251"/>
  <c r="AP43" i="251"/>
  <c r="AP42" i="251"/>
  <c r="AP41" i="251"/>
  <c r="AP40" i="251"/>
  <c r="AP39" i="251"/>
  <c r="AO47" i="251"/>
  <c r="AO46" i="251"/>
  <c r="AO45" i="251"/>
  <c r="AO44" i="251"/>
  <c r="AO43" i="251"/>
  <c r="AO42" i="251"/>
  <c r="AO41" i="251"/>
  <c r="AO40" i="251"/>
  <c r="AO39" i="251"/>
  <c r="AN47" i="251"/>
  <c r="AN46" i="251"/>
  <c r="AN45" i="251"/>
  <c r="AN44" i="251"/>
  <c r="AN43" i="251"/>
  <c r="AN42" i="251"/>
  <c r="AN41" i="251"/>
  <c r="AN40" i="251"/>
  <c r="AN39" i="251"/>
  <c r="AM47" i="251"/>
  <c r="AM46" i="251"/>
  <c r="AM45" i="251"/>
  <c r="AM44" i="251"/>
  <c r="AM43" i="251"/>
  <c r="AM42" i="251"/>
  <c r="AM41" i="251"/>
  <c r="AM40" i="251"/>
  <c r="AM39" i="251"/>
  <c r="AL47" i="251"/>
  <c r="AL46" i="251"/>
  <c r="AL45" i="251"/>
  <c r="AL44" i="251"/>
  <c r="AL43" i="251"/>
  <c r="AL42" i="251"/>
  <c r="AL41" i="251"/>
  <c r="AL40" i="251"/>
  <c r="AL39" i="251"/>
  <c r="AK47" i="251"/>
  <c r="AK46" i="251"/>
  <c r="AK45" i="251"/>
  <c r="AK44" i="251"/>
  <c r="AK43" i="251"/>
  <c r="AK42" i="251"/>
  <c r="AK41" i="251"/>
  <c r="AK40" i="251"/>
  <c r="AK39" i="251"/>
  <c r="AG47" i="251"/>
  <c r="AG46" i="251"/>
  <c r="AG45" i="251"/>
  <c r="AG44" i="251"/>
  <c r="AG43" i="251"/>
  <c r="AG42" i="251"/>
  <c r="AG41" i="251"/>
  <c r="AG40" i="251"/>
  <c r="AG39" i="251"/>
  <c r="AF47" i="251"/>
  <c r="AF46" i="251"/>
  <c r="AF45" i="251"/>
  <c r="AF44" i="251"/>
  <c r="AF43" i="251"/>
  <c r="AF42" i="251"/>
  <c r="AF41" i="251"/>
  <c r="AF40" i="251"/>
  <c r="AF39" i="251"/>
  <c r="AE47" i="251"/>
  <c r="AE46" i="251"/>
  <c r="AE45" i="251"/>
  <c r="AE44" i="251"/>
  <c r="AE43" i="251"/>
  <c r="AE42" i="251"/>
  <c r="AE41" i="251"/>
  <c r="AE40" i="251"/>
  <c r="AE39" i="251"/>
  <c r="AD47" i="251"/>
  <c r="AD46" i="251"/>
  <c r="AD45" i="251"/>
  <c r="AD44" i="251"/>
  <c r="AD43" i="251"/>
  <c r="AD42" i="251"/>
  <c r="AD41" i="251"/>
  <c r="AD40" i="251"/>
  <c r="AD39" i="251"/>
  <c r="AC47" i="251"/>
  <c r="AC46" i="251"/>
  <c r="AC45" i="251"/>
  <c r="AC44" i="251"/>
  <c r="AC43" i="251"/>
  <c r="AC42" i="251"/>
  <c r="AC41" i="251"/>
  <c r="AC40" i="251"/>
  <c r="AC39" i="251"/>
  <c r="AB47" i="251"/>
  <c r="AB46" i="251"/>
  <c r="AB45" i="251"/>
  <c r="AB44" i="251"/>
  <c r="AB43" i="251"/>
  <c r="AB42" i="251"/>
  <c r="AB41" i="251"/>
  <c r="AB40" i="251"/>
  <c r="AB39" i="251"/>
  <c r="AA47" i="251"/>
  <c r="AA46" i="251"/>
  <c r="AA45" i="251"/>
  <c r="AA44" i="251"/>
  <c r="AA43" i="251"/>
  <c r="AA42" i="251"/>
  <c r="AA41" i="251"/>
  <c r="AA40" i="251"/>
  <c r="AA39" i="251"/>
  <c r="W47" i="251"/>
  <c r="W46" i="251"/>
  <c r="W45" i="251"/>
  <c r="W44" i="251"/>
  <c r="W43" i="251"/>
  <c r="W42" i="251"/>
  <c r="W41" i="251"/>
  <c r="W40" i="251"/>
  <c r="W39" i="251"/>
  <c r="V47" i="251"/>
  <c r="V46" i="251"/>
  <c r="V45" i="251"/>
  <c r="V44" i="251"/>
  <c r="V43" i="251"/>
  <c r="V42" i="251"/>
  <c r="V41" i="251"/>
  <c r="V40" i="251"/>
  <c r="V39" i="251"/>
  <c r="U47" i="251"/>
  <c r="U46" i="251"/>
  <c r="U45" i="251"/>
  <c r="U44" i="251"/>
  <c r="U43" i="251"/>
  <c r="U42" i="251"/>
  <c r="U41" i="251"/>
  <c r="U40" i="251"/>
  <c r="U39" i="251"/>
  <c r="T47" i="251"/>
  <c r="T46" i="251"/>
  <c r="T45" i="251"/>
  <c r="T44" i="251"/>
  <c r="T43" i="251"/>
  <c r="T42" i="251"/>
  <c r="T41" i="251"/>
  <c r="T40" i="251"/>
  <c r="T39" i="251"/>
  <c r="S47" i="251"/>
  <c r="S46" i="251"/>
  <c r="S45" i="251"/>
  <c r="S44" i="251"/>
  <c r="S43" i="251"/>
  <c r="S42" i="251"/>
  <c r="S41" i="251"/>
  <c r="S40" i="251"/>
  <c r="S39" i="251"/>
  <c r="R47" i="251"/>
  <c r="R46" i="251"/>
  <c r="R45" i="251"/>
  <c r="R44" i="251"/>
  <c r="R43" i="251"/>
  <c r="R42" i="251"/>
  <c r="R41" i="251"/>
  <c r="R40" i="251"/>
  <c r="R39" i="251"/>
  <c r="Q47" i="251"/>
  <c r="Q46" i="251"/>
  <c r="Q45" i="251"/>
  <c r="Q44" i="251"/>
  <c r="Q43" i="251"/>
  <c r="Q42" i="251"/>
  <c r="Q41" i="251"/>
  <c r="Q40" i="251"/>
  <c r="Q39" i="251"/>
  <c r="CQ38" i="251"/>
  <c r="CQ27" i="251"/>
  <c r="Y8" i="251"/>
  <c r="BW21" i="251"/>
  <c r="CG33" i="251"/>
  <c r="CG19" i="251"/>
  <c r="BW32" i="251"/>
  <c r="AI5" i="251"/>
  <c r="BW15" i="251"/>
  <c r="BC26" i="251"/>
  <c r="Y21" i="251"/>
  <c r="CG11" i="251"/>
  <c r="AI11" i="251"/>
  <c r="BW5" i="251"/>
  <c r="BM18" i="251"/>
  <c r="BC38" i="251"/>
  <c r="BC13" i="251"/>
  <c r="CG4" i="251"/>
  <c r="AS30" i="251"/>
  <c r="CG17" i="251"/>
  <c r="BM22" i="251"/>
  <c r="BM27" i="251"/>
  <c r="CQ12" i="251"/>
  <c r="AS16" i="251"/>
  <c r="AI26" i="251"/>
  <c r="CQ22" i="251"/>
  <c r="CQ11" i="251"/>
  <c r="BC9" i="251"/>
  <c r="Y29" i="251"/>
  <c r="BW17" i="251"/>
  <c r="BW22" i="251"/>
  <c r="Y35" i="251"/>
  <c r="BW34" i="251"/>
  <c r="Y32" i="251"/>
  <c r="AI12" i="251"/>
  <c r="AI18" i="251"/>
  <c r="CQ16" i="251"/>
  <c r="CQ13" i="251"/>
  <c r="BM35" i="251"/>
  <c r="Y26" i="251"/>
  <c r="AI32" i="251"/>
  <c r="BW14" i="251"/>
  <c r="AI16" i="251"/>
  <c r="BW29" i="251"/>
  <c r="CG7" i="251"/>
  <c r="BW20" i="251"/>
  <c r="BC20" i="251"/>
  <c r="BM14" i="251"/>
  <c r="CQ28" i="251"/>
  <c r="CQ17" i="251"/>
  <c r="BC21" i="251"/>
  <c r="BC24" i="251"/>
  <c r="BM19" i="251"/>
  <c r="AS8" i="251"/>
  <c r="Z26" i="251"/>
  <c r="CQ21" i="251"/>
  <c r="Y13" i="251"/>
  <c r="BM31" i="251"/>
  <c r="CG12" i="251"/>
  <c r="CG9" i="251"/>
  <c r="CQ29" i="251"/>
  <c r="AS32" i="251"/>
  <c r="BC33" i="251"/>
  <c r="BM9" i="251"/>
  <c r="BM36" i="251"/>
  <c r="BC22" i="251"/>
  <c r="AS21" i="251"/>
  <c r="BM34" i="251"/>
  <c r="AS11" i="251"/>
  <c r="BC6" i="251"/>
  <c r="Y24" i="251"/>
  <c r="AI36" i="251"/>
  <c r="CQ6" i="251"/>
  <c r="AS4" i="251"/>
  <c r="BM37" i="251"/>
  <c r="BC7" i="251"/>
  <c r="Y23" i="251"/>
  <c r="Z23" i="251" s="1"/>
  <c r="AS38" i="251"/>
  <c r="AS27" i="251"/>
  <c r="Y22" i="251"/>
  <c r="BW27" i="251"/>
  <c r="CQ20" i="251"/>
  <c r="CQ9" i="251"/>
  <c r="BC5" i="251"/>
  <c r="AS31" i="251"/>
  <c r="BM8" i="251"/>
  <c r="CG15" i="251"/>
  <c r="BC14" i="251"/>
  <c r="AI33" i="251"/>
  <c r="CG28" i="251"/>
  <c r="Y20" i="251"/>
  <c r="Z20" i="251" s="1"/>
  <c r="BM29" i="251"/>
  <c r="AI27" i="251"/>
  <c r="AI10" i="251"/>
  <c r="CQ30" i="251"/>
  <c r="CQ19" i="251"/>
  <c r="BC25" i="251"/>
  <c r="BM15" i="251"/>
  <c r="CG14" i="251"/>
  <c r="BW38" i="251"/>
  <c r="BW16" i="251"/>
  <c r="AS26" i="251"/>
  <c r="AS22" i="251"/>
  <c r="BW36" i="251"/>
  <c r="BC36" i="251"/>
  <c r="Y10" i="251"/>
  <c r="CQ4" i="251"/>
  <c r="AI35" i="251"/>
  <c r="CG36" i="251"/>
  <c r="BW12" i="251"/>
  <c r="AS19" i="251"/>
  <c r="CQ34" i="251"/>
  <c r="Y38" i="251"/>
  <c r="CQ24" i="251"/>
  <c r="BC29" i="251"/>
  <c r="BW11" i="251"/>
  <c r="AI31" i="251"/>
  <c r="CG6" i="251"/>
  <c r="BM28" i="251"/>
  <c r="CG27" i="251"/>
  <c r="CQ14" i="251"/>
  <c r="AS20" i="251"/>
  <c r="AI34" i="251"/>
  <c r="BC23" i="251"/>
  <c r="BM7" i="251"/>
  <c r="AS28" i="251"/>
  <c r="CG13" i="251"/>
  <c r="AI37" i="251"/>
  <c r="CG25" i="251"/>
  <c r="AI17" i="251"/>
  <c r="CG10" i="251"/>
  <c r="BW37" i="251"/>
  <c r="Z8" i="251"/>
  <c r="BW13" i="251"/>
  <c r="Y12" i="251"/>
  <c r="Z12" i="251" s="1"/>
  <c r="CQ32" i="251"/>
  <c r="Y7" i="251"/>
  <c r="Z7" i="251" s="1"/>
  <c r="BW9" i="251"/>
  <c r="AI28" i="251"/>
  <c r="BW19" i="251"/>
  <c r="CG37" i="251"/>
  <c r="BW7" i="251"/>
  <c r="AI38" i="251"/>
  <c r="Y11" i="251"/>
  <c r="CG32" i="251"/>
  <c r="AS37" i="251"/>
  <c r="Y27" i="251"/>
  <c r="AI22" i="251"/>
  <c r="BC10" i="251"/>
  <c r="Z24" i="251"/>
  <c r="AJ12" i="251"/>
  <c r="BW26" i="251"/>
  <c r="BW4" i="251"/>
  <c r="BC4" i="251"/>
  <c r="BC34" i="251"/>
  <c r="Y33" i="251"/>
  <c r="Z33" i="251" s="1"/>
  <c r="AS13" i="251"/>
  <c r="BC15" i="251"/>
  <c r="BM4" i="251"/>
  <c r="BW18" i="251"/>
  <c r="BW35" i="251"/>
  <c r="BW10" i="251"/>
  <c r="AI24" i="251"/>
  <c r="AI9" i="251"/>
  <c r="CQ26" i="251"/>
  <c r="AI7" i="251"/>
  <c r="CG38" i="251"/>
  <c r="CQ25" i="251"/>
  <c r="AS12" i="251"/>
  <c r="Y16" i="251"/>
  <c r="Z16" i="251" s="1"/>
  <c r="AJ16" i="251" s="1"/>
  <c r="AT16" i="251" s="1"/>
  <c r="CQ5" i="251"/>
  <c r="BC19" i="251"/>
  <c r="CG8" i="251"/>
  <c r="BW33" i="251"/>
  <c r="CQ35" i="251"/>
  <c r="CG18" i="251"/>
  <c r="AS6" i="251"/>
  <c r="CG20" i="251"/>
  <c r="Z29" i="251"/>
  <c r="AS23" i="251"/>
  <c r="AI15" i="251"/>
  <c r="AS5" i="251"/>
  <c r="AI8" i="251"/>
  <c r="AJ8" i="251" s="1"/>
  <c r="AT8" i="251" s="1"/>
  <c r="AS29" i="251"/>
  <c r="CG29" i="251"/>
  <c r="Z32" i="251"/>
  <c r="AJ32" i="251" s="1"/>
  <c r="AT32" i="251" s="1"/>
  <c r="BC31" i="251"/>
  <c r="CG16" i="251"/>
  <c r="Z13" i="251"/>
  <c r="AI25" i="251"/>
  <c r="BW23" i="251"/>
  <c r="CG26" i="251"/>
  <c r="Y4" i="251"/>
  <c r="Z4" i="251" s="1"/>
  <c r="BC16" i="251"/>
  <c r="BD16" i="251" s="1"/>
  <c r="BC35" i="251"/>
  <c r="BM11" i="251"/>
  <c r="AI23" i="251"/>
  <c r="AI30" i="251"/>
  <c r="CQ33" i="251"/>
  <c r="CQ15" i="251"/>
  <c r="Y18" i="251"/>
  <c r="Z18" i="251" s="1"/>
  <c r="AS17" i="251"/>
  <c r="AS25" i="251"/>
  <c r="AS15" i="251"/>
  <c r="CQ7" i="251"/>
  <c r="AS24" i="251"/>
  <c r="AS9" i="251"/>
  <c r="Z21" i="251"/>
  <c r="BM23" i="251"/>
  <c r="AS35" i="251"/>
  <c r="CG22" i="251"/>
  <c r="BW6" i="251"/>
  <c r="BM20" i="251"/>
  <c r="CQ8" i="251"/>
  <c r="Y6" i="251"/>
  <c r="Y28" i="251"/>
  <c r="BC11" i="251"/>
  <c r="BC32" i="251"/>
  <c r="BM16" i="251"/>
  <c r="Y14" i="251"/>
  <c r="Z14" i="251" s="1"/>
  <c r="BW8" i="251"/>
  <c r="BM12" i="251"/>
  <c r="CQ23" i="251"/>
  <c r="Z27" i="251"/>
  <c r="AJ27" i="251" s="1"/>
  <c r="Z11" i="251"/>
  <c r="AJ24" i="251"/>
  <c r="AT24" i="251" s="1"/>
  <c r="AJ33" i="251"/>
  <c r="Z10" i="251"/>
  <c r="BD24" i="251"/>
  <c r="AJ11" i="251"/>
  <c r="BM17" i="251"/>
  <c r="CQ31" i="251"/>
  <c r="BW25" i="251"/>
  <c r="BW24" i="251"/>
  <c r="AI6" i="251"/>
  <c r="AS14" i="251"/>
  <c r="Y15" i="251"/>
  <c r="Z15" i="251" s="1"/>
  <c r="AJ15" i="251" s="1"/>
  <c r="BM13" i="251"/>
  <c r="BC18" i="251"/>
  <c r="AS33" i="251"/>
  <c r="AI29" i="251"/>
  <c r="BW31" i="251"/>
  <c r="CQ36" i="251"/>
  <c r="BC37" i="251"/>
  <c r="CG23" i="251"/>
  <c r="CG31" i="251"/>
  <c r="CG5" i="251"/>
  <c r="AS18" i="251"/>
  <c r="BM21" i="251"/>
  <c r="BM30" i="251"/>
  <c r="Y9" i="251"/>
  <c r="Z9" i="251" s="1"/>
  <c r="AI20" i="251"/>
  <c r="AI19" i="251"/>
  <c r="AI14" i="251"/>
  <c r="AJ14" i="251" s="1"/>
  <c r="AT14" i="251" s="1"/>
  <c r="AS7" i="251"/>
  <c r="CG30" i="251"/>
  <c r="BW30" i="251"/>
  <c r="BC27" i="251"/>
  <c r="BC30" i="251"/>
  <c r="BC12" i="251"/>
  <c r="CQ18" i="251"/>
  <c r="BC28" i="251"/>
  <c r="AS34" i="251"/>
  <c r="Y25" i="251"/>
  <c r="Z25" i="251" s="1"/>
  <c r="BC8" i="251"/>
  <c r="BD8" i="251" s="1"/>
  <c r="Z6" i="251"/>
  <c r="AJ26" i="251"/>
  <c r="AT26" i="251" s="1"/>
  <c r="AJ7" i="251"/>
  <c r="AT7" i="251" s="1"/>
  <c r="AT15" i="251"/>
  <c r="BD15" i="251" s="1"/>
  <c r="BN15" i="251" s="1"/>
  <c r="BX15" i="251" s="1"/>
  <c r="CH15" i="251" s="1"/>
  <c r="CR15" i="251" s="1"/>
  <c r="BN16" i="251"/>
  <c r="BX16" i="251" s="1"/>
  <c r="CH16" i="251" s="1"/>
  <c r="CR16" i="251" s="1"/>
  <c r="BD26" i="251"/>
  <c r="AJ6" i="251"/>
  <c r="Z28" i="251"/>
  <c r="AJ9" i="251"/>
  <c r="AT9" i="251" s="1"/>
  <c r="BM38" i="251"/>
  <c r="BM10" i="251"/>
  <c r="BW28" i="251"/>
  <c r="BM33" i="251"/>
  <c r="CG21" i="251"/>
  <c r="BM32" i="251"/>
  <c r="AS10" i="251"/>
  <c r="CG24" i="251"/>
  <c r="Y19" i="251"/>
  <c r="Z19" i="251" s="1"/>
  <c r="AJ19" i="251" s="1"/>
  <c r="AT19" i="251" s="1"/>
  <c r="BD19" i="251" s="1"/>
  <c r="BN19" i="251" s="1"/>
  <c r="BX19" i="251" s="1"/>
  <c r="CH19" i="251" s="1"/>
  <c r="CR19" i="251" s="1"/>
  <c r="BM26" i="251"/>
  <c r="BM25" i="251"/>
  <c r="CG35" i="251"/>
  <c r="AS36" i="251"/>
  <c r="CQ10" i="251"/>
  <c r="BM24" i="251"/>
  <c r="Y36" i="251"/>
  <c r="Z36" i="251" s="1"/>
  <c r="AJ36" i="251" s="1"/>
  <c r="Y31" i="251"/>
  <c r="Z31" i="251" s="1"/>
  <c r="BC17" i="251"/>
  <c r="BM6" i="251"/>
  <c r="AI13" i="251"/>
  <c r="AJ13" i="251" s="1"/>
  <c r="AT13" i="251" s="1"/>
  <c r="Y34" i="251"/>
  <c r="Z34" i="251"/>
  <c r="AJ34" i="251" s="1"/>
  <c r="BM5" i="251"/>
  <c r="AI21" i="251"/>
  <c r="AJ21" i="251" s="1"/>
  <c r="Y30" i="251"/>
  <c r="Z30" i="251" s="1"/>
  <c r="Z38" i="251"/>
  <c r="AJ38" i="251" s="1"/>
  <c r="AT38" i="251" s="1"/>
  <c r="BD38" i="251" s="1"/>
  <c r="AI4" i="251"/>
  <c r="AJ4" i="251" s="1"/>
  <c r="AT4" i="251" s="1"/>
  <c r="CG34" i="251"/>
  <c r="Y37" i="251"/>
  <c r="Z37" i="251" s="1"/>
  <c r="AJ37" i="251" s="1"/>
  <c r="CQ37" i="251"/>
  <c r="Z22" i="251"/>
  <c r="AJ22" i="251" s="1"/>
  <c r="AT22" i="251" s="1"/>
  <c r="BD22" i="251" s="1"/>
  <c r="BN22" i="251" s="1"/>
  <c r="BX22" i="251" s="1"/>
  <c r="CH22" i="251" s="1"/>
  <c r="CR22" i="251" s="1"/>
  <c r="Y5" i="251"/>
  <c r="Z5" i="251" s="1"/>
  <c r="AJ5" i="251" s="1"/>
  <c r="Z35" i="251"/>
  <c r="AJ35" i="251" s="1"/>
  <c r="Y17" i="251"/>
  <c r="Z17" i="251" s="1"/>
  <c r="AJ17" i="251" s="1"/>
  <c r="AT17" i="251" s="1"/>
  <c r="BD17" i="251" s="1"/>
  <c r="AJ23" i="251"/>
  <c r="AT23" i="251" s="1"/>
  <c r="BD23" i="251" s="1"/>
  <c r="BN23" i="251" s="1"/>
  <c r="BX23" i="251" s="1"/>
  <c r="CH23" i="251" s="1"/>
  <c r="CR23" i="251" s="1"/>
  <c r="AJ31" i="251"/>
  <c r="AT31" i="251" s="1"/>
  <c r="AJ20" i="251"/>
  <c r="AT20" i="251" s="1"/>
  <c r="AT11" i="251"/>
  <c r="BD11" i="251" s="1"/>
  <c r="BN11" i="251" s="1"/>
  <c r="BD4" i="251"/>
  <c r="AJ29" i="251"/>
  <c r="AT29" i="251"/>
  <c r="BD31" i="251"/>
  <c r="AT37" i="251"/>
  <c r="AT34" i="251"/>
  <c r="AJ28" i="251"/>
  <c r="BN8" i="251"/>
  <c r="AJ10" i="251"/>
  <c r="BD32" i="251"/>
  <c r="BN4" i="251"/>
  <c r="BN17" i="251"/>
  <c r="BN38" i="251"/>
  <c r="BD13" i="251"/>
  <c r="AJ25" i="251"/>
  <c r="AT33" i="251"/>
  <c r="BX11" i="251"/>
  <c r="AT35" i="251"/>
  <c r="AJ30" i="251"/>
  <c r="AT36" i="251"/>
  <c r="BN26" i="251"/>
  <c r="BD14" i="251"/>
  <c r="AT27" i="251"/>
  <c r="AT12" i="251"/>
  <c r="BD20" i="251"/>
  <c r="AT5" i="251"/>
  <c r="AT21" i="251"/>
  <c r="BD9" i="251"/>
  <c r="BD7" i="251"/>
  <c r="BN24" i="251"/>
  <c r="AJ18" i="251"/>
  <c r="AT6" i="251"/>
  <c r="BD21" i="251"/>
  <c r="BX8" i="251"/>
  <c r="BD5" i="251"/>
  <c r="BD12" i="251"/>
  <c r="BD35" i="251"/>
  <c r="BN13" i="251"/>
  <c r="AT28" i="251"/>
  <c r="BD6" i="251"/>
  <c r="BN7" i="251"/>
  <c r="BN20" i="251"/>
  <c r="BX26" i="251"/>
  <c r="CH11" i="251"/>
  <c r="BX38" i="251"/>
  <c r="CH38" i="251" s="1"/>
  <c r="CR38" i="251" s="1"/>
  <c r="BN32" i="251"/>
  <c r="BX32" i="251" s="1"/>
  <c r="BD34" i="251"/>
  <c r="BN9" i="251"/>
  <c r="BD36" i="251"/>
  <c r="BD33" i="251"/>
  <c r="BX17" i="251"/>
  <c r="AT10" i="251"/>
  <c r="BD37" i="251"/>
  <c r="AT18" i="251"/>
  <c r="BD27" i="251"/>
  <c r="AT30" i="251"/>
  <c r="AT25" i="251"/>
  <c r="BX4" i="251"/>
  <c r="BN31" i="251"/>
  <c r="BX24" i="251"/>
  <c r="BN14" i="251"/>
  <c r="BD29" i="251"/>
  <c r="BN6" i="251"/>
  <c r="CH24" i="251"/>
  <c r="BD30" i="251"/>
  <c r="BN30" i="251" s="1"/>
  <c r="BD10" i="251"/>
  <c r="BN10" i="251" s="1"/>
  <c r="BX10" i="251" s="1"/>
  <c r="CH10" i="251" s="1"/>
  <c r="CR10" i="251" s="1"/>
  <c r="BX9" i="251"/>
  <c r="CH26" i="251"/>
  <c r="BD28" i="251"/>
  <c r="BN28" i="251" s="1"/>
  <c r="BX28" i="251" s="1"/>
  <c r="BN5" i="251"/>
  <c r="BX31" i="251"/>
  <c r="BN27" i="251"/>
  <c r="CH17" i="251"/>
  <c r="BN34" i="251"/>
  <c r="BX20" i="251"/>
  <c r="BX13" i="251"/>
  <c r="CH8" i="251"/>
  <c r="BN29" i="251"/>
  <c r="CH4" i="251"/>
  <c r="BD18" i="251"/>
  <c r="BN33" i="251"/>
  <c r="CH32" i="251"/>
  <c r="BX7" i="251"/>
  <c r="BN35" i="251"/>
  <c r="BN21" i="251"/>
  <c r="BX14" i="251"/>
  <c r="BD25" i="251"/>
  <c r="BN37" i="251"/>
  <c r="BX37" i="251" s="1"/>
  <c r="CH37" i="251" s="1"/>
  <c r="BN36" i="251"/>
  <c r="CR11" i="251"/>
  <c r="BN12" i="251"/>
  <c r="CR37" i="251"/>
  <c r="BX35" i="251"/>
  <c r="BN18" i="251"/>
  <c r="CH13" i="251"/>
  <c r="BX27" i="251"/>
  <c r="CR26" i="251"/>
  <c r="BX6" i="251"/>
  <c r="BN25" i="251"/>
  <c r="CH7" i="251"/>
  <c r="CR4" i="251"/>
  <c r="CH20" i="251"/>
  <c r="CH31" i="251"/>
  <c r="CR31" i="251" s="1"/>
  <c r="CH9" i="251"/>
  <c r="BX12" i="251"/>
  <c r="CH14" i="251"/>
  <c r="CR32" i="251"/>
  <c r="BX29" i="251"/>
  <c r="BX34" i="251"/>
  <c r="BX5" i="251"/>
  <c r="BX30" i="251"/>
  <c r="BX36" i="251"/>
  <c r="BX21" i="251"/>
  <c r="BX33" i="251"/>
  <c r="CH33" i="251" s="1"/>
  <c r="CR33" i="251" s="1"/>
  <c r="CR8" i="251"/>
  <c r="CR17" i="251"/>
  <c r="CH28" i="251"/>
  <c r="CR24" i="251"/>
  <c r="CH21" i="251"/>
  <c r="CH34" i="251"/>
  <c r="CR9" i="251"/>
  <c r="CH6" i="251"/>
  <c r="CH35" i="251"/>
  <c r="CH36" i="251"/>
  <c r="CH29" i="251"/>
  <c r="CR20" i="251"/>
  <c r="CH27" i="251"/>
  <c r="CH30" i="251"/>
  <c r="CR14" i="251"/>
  <c r="CR7" i="251"/>
  <c r="CR13" i="251"/>
  <c r="CR28" i="251"/>
  <c r="CH5" i="251"/>
  <c r="CR5" i="251" s="1"/>
  <c r="CH12" i="251"/>
  <c r="BX25" i="251"/>
  <c r="BX18" i="251"/>
  <c r="CH25" i="251"/>
  <c r="CR29" i="251"/>
  <c r="CR34" i="251"/>
  <c r="CR12" i="251"/>
  <c r="CR36" i="251"/>
  <c r="CR21" i="251"/>
  <c r="CR30" i="251"/>
  <c r="CR35" i="251"/>
  <c r="CH18" i="251"/>
  <c r="CR27" i="251"/>
  <c r="CR6" i="251"/>
  <c r="CR25" i="251"/>
  <c r="CR18" i="251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4" name="Query from SQLite3 Datasourc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5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<sst xmlns="http://schemas.openxmlformats.org/spreadsheetml/2006/main" count="36656" uniqueCount="1524">
  <si>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</si>
  <si>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</si>
  <si>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</si>
  <si>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</si>
  <si>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</si>
  <si>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</si>
  <si>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</si>
  <si>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</si>
  <si>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</si>
  <si>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</si>
  <si>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</si>
  <si>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</si>
  <si>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</si>
  <si>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</si>
  <si>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</si>
  <si>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</si>
  <si>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</si>
  <si>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</si>
  <si>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</si>
  <si>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</si>
  <si>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</si>
  <si>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</si>
  <si>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</si>
  <si>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</si>
  <si>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</si>
  <si>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</si>
  <si>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</si>
  <si>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</si>
  <si>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</si>
  <si>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</si>
  <si>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</si>
  <si>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</si>
  <si>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</si>
  <si>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</si>
  <si>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</si>
  <si>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</si>
  <si>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</si>
  <si>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</si>
  <si>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</si>
  <si>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</si>
  <si>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</si>
  <si>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</si>
  <si>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</si>
  <si>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</si>
  <si>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</si>
  <si>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</si>
  <si>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</si>
  <si>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</si>
  <si>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</si>
  <si>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</si>
  <si>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</si>
  <si>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</si>
  <si>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</si>
  <si>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</si>
  <si>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</si>
  <si>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</si>
  <si>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</si>
  <si>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</si>
  <si>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</si>
  <si>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</si>
  <si>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</si>
  <si>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</si>
  <si>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</si>
  <si>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</si>
  <si>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</si>
  <si>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</si>
  <si>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</si>
  <si>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</si>
  <si>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</si>
  <si>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</si>
  <si>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</si>
  <si>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</si>
  <si>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</si>
  <si>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</si>
  <si>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</si>
  <si>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</si>
  <si>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</si>
  <si>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</si>
  <si>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</si>
  <si>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</si>
  <si>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</si>
  <si>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</si>
  <si>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</si>
  <si>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</si>
  <si>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</si>
  <si>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</si>
  <si>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</si>
  <si>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</si>
  <si>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</si>
  <si>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</si>
  <si>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</si>
  <si>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</si>
  <si>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</si>
  <si>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</si>
  <si>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</si>
  <si>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</si>
  <si>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</si>
  <si>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</si>
  <si>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</si>
  <si>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</si>
  <si>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</si>
  <si>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</si>
  <si>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</si>
  <si>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</si>
  <si>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</si>
  <si>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</si>
  <si>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</si>
  <si>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</si>
  <si>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</si>
  <si>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</si>
  <si>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</si>
  <si>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</si>
  <si>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</si>
  <si>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</si>
  <si>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</si>
  <si>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</si>
  <si>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</si>
  <si>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</si>
  <si>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</si>
  <si>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</si>
  <si>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</si>
  <si>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</si>
  <si>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</si>
  <si>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</si>
  <si>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</si>
  <si>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</si>
  <si>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</si>
  <si>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</si>
  <si>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</si>
  <si>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</si>
  <si>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</si>
  <si>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</si>
  <si>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</si>
  <si>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</si>
  <si>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</si>
  <si>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</si>
  <si>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</si>
  <si>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</si>
  <si>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</si>
  <si>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</si>
  <si>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</si>
  <si>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</si>
  <si>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</si>
  <si>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</si>
  <si>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</si>
  <si>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</si>
  <si>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</si>
  <si>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</si>
  <si>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</si>
  <si>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</si>
  <si>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</si>
  <si>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</si>
  <si>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</si>
  <si>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</si>
  <si>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</si>
  <si>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</si>
  <si>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</si>
  <si>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</si>
  <si>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</si>
  <si>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</si>
  <si>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</si>
  <si>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</si>
  <si>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</si>
  <si>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</si>
  <si>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</si>
  <si>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</si>
  <si>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</si>
  <si>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</si>
  <si>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</si>
  <si>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</si>
  <si>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</si>
  <si>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</si>
  <si>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</si>
  <si>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</si>
  <si>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</si>
  <si>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</si>
  <si>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</si>
  <si>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</si>
  <si>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</si>
  <si>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</si>
  <si>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</si>
  <si>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</si>
  <si>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</si>
  <si>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</si>
  <si>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</si>
  <si>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</si>
  <si>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</si>
  <si>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</si>
  <si>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</si>
  <si>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</si>
  <si>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</si>
  <si>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</si>
  <si>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</si>
  <si>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</si>
  <si>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</si>
  <si>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</si>
  <si>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</si>
  <si>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</si>
  <si>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</si>
  <si>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</si>
  <si>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</si>
  <si>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</si>
  <si>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</si>
  <si>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</si>
  <si>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</si>
  <si>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</si>
  <si>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</si>
  <si>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</si>
  <si>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</si>
  <si>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</si>
  <si>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</si>
  <si>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</si>
  <si>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</si>
  <si>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</si>
  <si>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</si>
  <si>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</si>
  <si>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</si>
  <si>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</si>
  <si>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</si>
  <si>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</si>
  <si>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</si>
  <si>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</si>
  <si>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</si>
  <si>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</si>
  <si>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</si>
  <si>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</si>
  <si>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</si>
  <si>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</si>
  <si>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</si>
  <si>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</si>
  <si>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</si>
  <si>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</si>
  <si>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</si>
  <si>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</si>
  <si>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</si>
  <si>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</si>
  <si>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</si>
  <si>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</si>
  <si>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</si>
  <si>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</si>
  <si>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</si>
  <si>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</si>
  <si>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</si>
  <si>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</si>
  <si>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</si>
  <si>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</si>
  <si>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</si>
  <si>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</si>
  <si>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</si>
  <si>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</si>
  <si>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</si>
  <si>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</si>
  <si>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</si>
  <si>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</si>
  <si>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</si>
  <si>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</si>
  <si>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</si>
  <si>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</si>
  <si>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</si>
  <si>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</si>
  <si>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</si>
  <si>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</si>
  <si>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</si>
  <si>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</si>
  <si>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</si>
  <si>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</si>
  <si>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</si>
  <si>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</si>
  <si>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</si>
  <si>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</si>
  <si>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</si>
  <si>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</si>
  <si>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</si>
  <si>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</si>
  <si>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</si>
  <si>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</si>
  <si>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</si>
  <si>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</si>
  <si>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</si>
  <si>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</si>
  <si>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</si>
  <si>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</si>
  <si>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</si>
  <si>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</si>
  <si>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</si>
  <si>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</si>
  <si>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</si>
  <si>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</si>
  <si>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</si>
  <si>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</si>
  <si>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</si>
  <si>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</si>
  <si>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</si>
  <si>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</si>
  <si>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</si>
  <si>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</si>
  <si>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</si>
  <si>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</si>
  <si>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</si>
  <si>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</si>
  <si>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</si>
  <si>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</si>
  <si>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</si>
  <si>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</si>
  <si>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</si>
  <si>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</si>
  <si>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</si>
  <si>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</si>
  <si>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</si>
  <si>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</si>
  <si>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</si>
  <si>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</si>
  <si>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</si>
  <si>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</si>
  <si>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</si>
  <si>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</si>
  <si>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</si>
  <si>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</si>
  <si>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</si>
  <si>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</si>
  <si>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</si>
  <si>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</si>
  <si>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</si>
  <si>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</si>
  <si>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</si>
  <si>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</si>
  <si>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</si>
  <si>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</si>
  <si>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</si>
  <si>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</si>
  <si>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</si>
  <si>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</si>
  <si>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</si>
  <si>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</si>
  <si>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</si>
  <si>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</si>
  <si>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</si>
  <si>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</si>
  <si>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</si>
  <si>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</si>
  <si>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</si>
  <si>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</si>
  <si>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</si>
  <si>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</si>
  <si>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</si>
  <si>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</si>
  <si>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</si>
  <si>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</si>
  <si>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</si>
  <si>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</si>
  <si>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</si>
  <si>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</si>
  <si>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</si>
  <si>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</si>
  <si>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</si>
  <si>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</si>
  <si>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</si>
  <si>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</si>
  <si>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</si>
  <si>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</si>
  <si>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</si>
  <si>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</si>
  <si>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</si>
  <si>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</si>
  <si>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</si>
  <si>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</si>
  <si>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</si>
  <si>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</si>
  <si>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</si>
  <si>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</si>
  <si>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</si>
  <si>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</si>
  <si>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</si>
  <si>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</si>
  <si>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</si>
  <si>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</si>
  <si>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</si>
  <si>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</si>
  <si>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</si>
  <si>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</si>
  <si>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</si>
  <si>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</si>
  <si>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</si>
  <si>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</si>
  <si>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</si>
  <si>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</si>
  <si>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</si>
  <si>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</si>
  <si>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</si>
  <si>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</si>
  <si>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</si>
  <si>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</si>
  <si>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</si>
  <si>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</si>
  <si>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</si>
  <si>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</si>
  <si>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</si>
  <si>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</si>
  <si>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</si>
  <si>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</si>
  <si>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</si>
  <si>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</si>
  <si>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</si>
  <si>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</si>
  <si>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</si>
  <si>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</si>
  <si>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</si>
  <si>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</si>
  <si>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</si>
  <si>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</si>
  <si>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</si>
  <si>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</si>
  <si>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</si>
  <si>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</si>
  <si>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</si>
  <si>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</si>
  <si>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</si>
  <si>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</si>
  <si>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</si>
  <si>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</si>
  <si>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</si>
  <si>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</si>
  <si>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</si>
  <si>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</si>
  <si>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</si>
  <si>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</si>
  <si>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</si>
  <si>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</si>
  <si>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</si>
  <si>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</si>
  <si>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</si>
  <si>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</si>
  <si>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</si>
  <si>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</si>
  <si>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</si>
  <si>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</si>
  <si>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</si>
  <si>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</si>
  <si>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</si>
  <si>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</si>
  <si>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</si>
  <si>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</si>
  <si>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</si>
  <si>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</si>
  <si>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</si>
  <si>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</si>
  <si>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</si>
  <si>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</si>
  <si>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</si>
  <si>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</si>
  <si>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</si>
  <si>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</si>
  <si>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</si>
  <si>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</si>
  <si>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</si>
  <si>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</si>
  <si>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</si>
  <si>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</si>
  <si>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</si>
  <si>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</si>
  <si>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</si>
  <si>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</si>
  <si>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</si>
  <si>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</si>
  <si>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</si>
  <si>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</si>
  <si>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</si>
  <si>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</si>
  <si>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</si>
  <si>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</si>
  <si>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</si>
  <si>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</si>
  <si>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</si>
  <si>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</si>
  <si>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</si>
  <si>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</si>
  <si>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</si>
  <si>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</si>
  <si>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</si>
  <si>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</si>
  <si>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</si>
  <si>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</si>
  <si>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</si>
  <si>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</si>
  <si>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</si>
  <si>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</si>
  <si>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</si>
  <si>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</si>
  <si>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</si>
  <si>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</si>
  <si>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</si>
  <si>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</si>
  <si>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</si>
  <si>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</si>
  <si>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</si>
  <si>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</si>
  <si>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</si>
  <si>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</si>
  <si>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</si>
  <si>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</si>
  <si>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</si>
  <si>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</si>
  <si>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</si>
  <si>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</si>
  <si>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</si>
  <si>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</si>
  <si>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</si>
  <si>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</si>
  <si>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</si>
  <si>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</si>
  <si>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</si>
  <si>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</si>
  <si>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</si>
  <si>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</si>
  <si>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</si>
  <si>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</si>
  <si>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</si>
  <si>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</si>
  <si>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</si>
  <si>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</si>
  <si>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</si>
  <si>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</si>
  <si>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</si>
  <si>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</si>
  <si>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</si>
  <si>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</si>
  <si>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</si>
  <si>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</si>
  <si>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</si>
  <si>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</si>
  <si>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</si>
  <si>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</si>
  <si>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</si>
  <si>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</si>
  <si>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</si>
  <si>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</si>
  <si>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</si>
  <si>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</si>
  <si>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</si>
  <si>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</si>
  <si>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</si>
  <si>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</si>
  <si>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</si>
  <si>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</si>
  <si>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</si>
  <si>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</si>
  <si>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</si>
  <si>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</si>
  <si>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</si>
  <si>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</si>
  <si>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</si>
  <si>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</si>
  <si>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</si>
  <si>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</si>
  <si>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</si>
  <si>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</si>
  <si>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</si>
  <si>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</si>
  <si>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</si>
  <si>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</si>
  <si>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</si>
  <si>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</si>
  <si>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</si>
  <si>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</si>
  <si>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</si>
  <si>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</si>
  <si>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</si>
  <si>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</si>
  <si>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</si>
  <si>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</si>
  <si>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</si>
  <si>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</si>
  <si>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</si>
  <si>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</si>
  <si>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</si>
  <si>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</si>
  <si>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</si>
  <si>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</si>
  <si>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</si>
  <si>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</si>
  <si>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</si>
  <si>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</si>
  <si>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</si>
  <si>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</si>
  <si>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</si>
  <si>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</si>
  <si>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</si>
  <si>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</si>
  <si>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</si>
  <si>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</si>
  <si>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</si>
  <si>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</si>
  <si>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</si>
  <si>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</si>
  <si>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</si>
  <si>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</si>
  <si>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</si>
  <si>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</si>
  <si>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</si>
  <si>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</si>
  <si>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</si>
  <si>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</si>
  <si>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</si>
  <si>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</si>
  <si>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</si>
  <si>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</si>
  <si>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</si>
  <si>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</si>
  <si>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</si>
  <si>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</si>
  <si>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</si>
  <si>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</si>
  <si>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</si>
  <si>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</si>
  <si>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</si>
  <si>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</si>
  <si>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</si>
  <si>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</si>
  <si>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</si>
  <si>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</si>
  <si>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</si>
  <si>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</si>
  <si>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</si>
  <si>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</si>
  <si>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</si>
  <si>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</si>
  <si>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</si>
  <si>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</si>
  <si>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</si>
  <si>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</si>
  <si>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</si>
  <si>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</si>
  <si>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</si>
  <si>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</si>
  <si>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</si>
  <si>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</si>
  <si>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</si>
  <si>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</si>
  <si>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</si>
  <si>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</si>
  <si>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</si>
  <si>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</si>
  <si>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</si>
  <si>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</si>
  <si>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</si>
  <si>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</si>
  <si>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</si>
  <si>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</si>
  <si>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</si>
  <si>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</si>
  <si>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</si>
  <si>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</si>
  <si>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</si>
  <si>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</si>
  <si>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</si>
  <si>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</si>
  <si>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</si>
  <si>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</si>
  <si>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</si>
  <si>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</si>
  <si>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</si>
  <si>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</si>
  <si>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</si>
  <si>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</si>
  <si>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</si>
  <si>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</si>
  <si>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</si>
  <si>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</si>
  <si>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</si>
  <si>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</si>
  <si>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</si>
  <si>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</si>
  <si>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</si>
  <si>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</si>
  <si>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</si>
  <si>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</si>
  <si>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</si>
  <si>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</si>
  <si>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</si>
  <si>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</si>
  <si>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</si>
  <si>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</si>
  <si>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</si>
  <si>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</si>
  <si>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</si>
  <si>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</si>
  <si>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</si>
  <si>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</si>
  <si>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</si>
  <si>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</si>
  <si>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</si>
  <si>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</si>
  <si>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</si>
  <si>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</si>
  <si>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</si>
  <si>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</si>
  <si>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</si>
  <si>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</si>
  <si>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</si>
  <si>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</si>
  <si>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</si>
  <si>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</si>
  <si>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</si>
  <si>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</si>
  <si>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</si>
  <si>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</si>
  <si>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</si>
  <si>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</si>
  <si>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</si>
  <si>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</si>
  <si>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</si>
  <si>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</si>
  <si>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</si>
  <si>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</si>
  <si>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</si>
  <si>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</si>
  <si>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</si>
  <si>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</si>
  <si>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</si>
  <si>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</si>
  <si>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</si>
  <si>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</si>
  <si>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</si>
  <si>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</si>
  <si>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</si>
  <si>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</si>
  <si>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</si>
  <si>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</si>
  <si>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</si>
  <si>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</si>
  <si>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</si>
  <si>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</si>
  <si>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</si>
  <si>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</si>
  <si>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</si>
  <si>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</si>
  <si>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</si>
  <si>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</si>
  <si>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</si>
  <si>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</si>
  <si>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</si>
  <si>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</si>
  <si>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</si>
  <si>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</si>
  <si>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</si>
  <si>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</si>
  <si>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</si>
  <si>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</si>
  <si>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</si>
  <si>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</si>
  <si>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</si>
  <si>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</si>
  <si>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</si>
  <si>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</si>
  <si>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</si>
  <si>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</si>
  <si>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</si>
  <si>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</si>
  <si>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</si>
  <si>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</si>
  <si>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</si>
  <si>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</si>
  <si>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</si>
  <si>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</si>
  <si>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</si>
  <si>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</si>
  <si>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</si>
  <si>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</si>
  <si>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</si>
  <si>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</si>
  <si>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</si>
  <si>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</si>
  <si>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</si>
  <si>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</si>
  <si>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</si>
  <si>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</si>
  <si>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</si>
  <si>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</si>
  <si>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</si>
  <si>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</si>
  <si>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</si>
  <si>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</si>
  <si>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</si>
  <si>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</si>
  <si>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</si>
  <si>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</si>
  <si>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</si>
  <si>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</si>
  <si>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</si>
  <si>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</si>
  <si>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</si>
  <si>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</si>
  <si>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</si>
  <si>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</si>
  <si>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</si>
  <si>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</si>
  <si>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</si>
  <si>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</si>
  <si>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</si>
  <si>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</si>
  <si>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</si>
  <si>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</si>
  <si>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</si>
  <si>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</si>
  <si>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</si>
  <si>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</si>
  <si>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</si>
  <si>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</si>
  <si>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</si>
  <si>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</si>
  <si>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</si>
  <si>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</si>
  <si>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</si>
  <si>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</si>
  <si>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</si>
  <si>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</si>
  <si>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</si>
  <si>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</si>
  <si>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</si>
  <si>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</si>
  <si>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</si>
  <si>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</si>
  <si>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</si>
  <si>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</si>
  <si>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</si>
  <si>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</si>
  <si>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</si>
  <si>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</si>
  <si>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</si>
  <si>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</si>
  <si>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</si>
  <si>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</si>
  <si>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</si>
  <si>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</si>
  <si>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</si>
  <si>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</si>
  <si>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</si>
  <si>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</si>
  <si>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</si>
  <si>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</si>
  <si>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</si>
  <si>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</si>
  <si>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</si>
  <si>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</si>
  <si>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</si>
  <si>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</si>
  <si>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</si>
  <si>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</si>
  <si>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</si>
  <si>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</si>
  <si>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</si>
  <si>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</si>
  <si>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</si>
  <si>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</si>
  <si>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</si>
  <si>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</si>
  <si>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</si>
  <si>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</si>
  <si>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</si>
  <si>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</si>
  <si>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</si>
  <si>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</si>
  <si>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</si>
  <si>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</si>
  <si>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</si>
  <si>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</si>
  <si>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</si>
  <si>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</si>
  <si>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</si>
  <si>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</si>
  <si>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</si>
  <si>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</si>
  <si>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</si>
  <si>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</si>
  <si>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</si>
  <si>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</si>
  <si>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</si>
  <si>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</si>
  <si>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</si>
  <si>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</si>
  <si>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</si>
  <si>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</si>
  <si>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</si>
  <si>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</si>
  <si>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</si>
  <si>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</si>
  <si>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</si>
  <si>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</si>
  <si>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</si>
  <si>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</si>
  <si>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</si>
  <si>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</si>
  <si>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</si>
  <si>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</si>
  <si>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</si>
  <si>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</si>
  <si>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</si>
  <si>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</si>
  <si>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</si>
  <si>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</si>
  <si>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</si>
  <si>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</si>
  <si>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</si>
  <si>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</si>
  <si>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</si>
  <si>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</si>
  <si>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</si>
  <si>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</si>
  <si>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</si>
  <si>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</si>
  <si>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</si>
  <si>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</si>
  <si>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</si>
  <si>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</si>
  <si>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</si>
  <si>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</si>
  <si>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</si>
  <si>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</si>
  <si>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</si>
  <si>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</si>
  <si>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</si>
  <si>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</si>
  <si>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</si>
  <si>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</si>
  <si>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</si>
  <si>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</si>
  <si>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</si>
  <si>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</si>
  <si>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</si>
  <si>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</si>
  <si>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</si>
  <si>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</si>
  <si>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</si>
  <si>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</si>
  <si>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</si>
  <si>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</si>
  <si>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</si>
  <si>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</si>
  <si>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</si>
  <si>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</si>
  <si>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</si>
  <si>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</si>
  <si>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</si>
  <si>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</si>
  <si>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</si>
  <si>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</si>
  <si>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</si>
  <si>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</si>
  <si>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</si>
  <si>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</si>
  <si>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</si>
  <si>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</si>
  <si>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</si>
  <si>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</si>
  <si>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</si>
  <si>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</si>
  <si>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</si>
  <si>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</si>
  <si>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</si>
  <si>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</si>
  <si>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</si>
  <si>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</si>
  <si>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</si>
  <si>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</si>
  <si>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</si>
  <si>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</si>
  <si>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</si>
  <si>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</si>
  <si>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</si>
  <si>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</si>
  <si>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</si>
  <si>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</si>
  <si>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</si>
  <si>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</si>
  <si>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</si>
  <si>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</si>
  <si>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</si>
  <si>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</si>
  <si>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</si>
  <si>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</si>
  <si>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</si>
  <si>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</si>
  <si>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</si>
  <si>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</si>
  <si>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</si>
  <si>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</si>
  <si>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</si>
  <si>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</si>
  <si>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</si>
  <si>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</si>
  <si>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</si>
  <si>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</si>
  <si>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</si>
  <si>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</si>
  <si>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</si>
  <si>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</si>
  <si>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</si>
  <si>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</si>
  <si>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</si>
  <si>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</si>
  <si>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</si>
  <si>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</si>
  <si>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</si>
  <si>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</si>
  <si>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</si>
  <si>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</si>
  <si>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</si>
  <si>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</si>
  <si>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</si>
  <si>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</si>
  <si>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</si>
  <si>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</si>
  <si>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</si>
  <si>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</si>
  <si>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</si>
  <si>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</si>
  <si>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</si>
  <si>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</si>
  <si>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</si>
  <si>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</si>
  <si>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</si>
  <si>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</si>
  <si>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</si>
  <si>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</si>
  <si>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</si>
  <si>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</si>
  <si>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</si>
  <si>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</si>
  <si>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</si>
  <si>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</si>
  <si>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</si>
  <si>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</si>
  <si>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</si>
  <si>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</si>
  <si>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</si>
  <si>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</si>
  <si>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</si>
  <si>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</si>
  <si>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</si>
  <si>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</si>
  <si>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</si>
  <si>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</si>
  <si>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</si>
  <si>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</si>
  <si>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</si>
  <si>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</si>
  <si>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</si>
  <si>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</si>
  <si>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</si>
  <si>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</si>
  <si>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</si>
  <si>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</si>
  <si>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</si>
  <si>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</si>
  <si>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</si>
  <si>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</si>
  <si>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</si>
  <si>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</si>
  <si>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</si>
  <si>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</si>
  <si>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</si>
  <si>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</si>
  <si>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</si>
  <si>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</si>
  <si>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</si>
  <si>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</si>
  <si>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</si>
  <si>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</si>
  <si>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</si>
  <si>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</si>
  <si>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</si>
  <si>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</si>
  <si>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</si>
  <si>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</si>
  <si>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</si>
  <si>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</si>
  <si>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</si>
  <si>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</si>
  <si>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</si>
  <si>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</si>
  <si>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</si>
  <si>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</si>
  <si>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</si>
  <si>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</si>
  <si>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</si>
  <si>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</si>
  <si>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</si>
  <si>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</si>
  <si>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</si>
  <si>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</si>
  <si>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</si>
  <si>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</si>
  <si>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</si>
  <si>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</si>
  <si>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</si>
  <si>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</si>
  <si>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</si>
  <si>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</si>
  <si>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</si>
  <si>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</si>
  <si>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</si>
  <si>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</si>
  <si>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</si>
  <si>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</si>
  <si>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</si>
  <si>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</si>
  <si>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</si>
  <si>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</si>
  <si>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</si>
  <si>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</si>
  <si>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</si>
  <si>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</si>
  <si>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</si>
  <si>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</si>
  <si>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</si>
  <si>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</si>
  <si>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</si>
  <si>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</si>
  <si>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</si>
  <si>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</si>
  <si>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</si>
  <si>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</si>
  <si>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</si>
  <si>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</si>
  <si>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</si>
  <si>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</si>
  <si>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</si>
  <si>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</si>
  <si>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</si>
  <si>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</si>
  <si>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</si>
  <si>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</si>
  <si>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</si>
  <si>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</si>
  <si>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</si>
  <si>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</si>
  <si>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</si>
  <si>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</si>
  <si>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</si>
  <si>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</si>
  <si>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</si>
  <si>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</si>
  <si>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</si>
  <si>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</si>
  <si>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</si>
  <si>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</si>
  <si>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</si>
  <si>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</si>
  <si>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</si>
  <si>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</si>
  <si>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</si>
  <si>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</si>
  <si>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</si>
  <si>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</si>
  <si>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</si>
  <si>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</si>
  <si>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</si>
  <si>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</si>
  <si>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</si>
  <si>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</si>
  <si>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</si>
  <si>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</si>
  <si>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</si>
  <si>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</si>
  <si>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</si>
  <si>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</si>
  <si>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</si>
  <si>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</si>
  <si>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</si>
  <si>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</si>
  <si>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</si>
  <si>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</si>
  <si>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</si>
  <si>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</si>
  <si>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</si>
  <si>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</si>
  <si>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</si>
  <si>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</si>
  <si>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</si>
  <si>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</si>
  <si>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</si>
  <si>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</si>
  <si>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</si>
  <si>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</si>
  <si>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</si>
  <si>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</si>
  <si>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</si>
  <si>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</si>
  <si>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</si>
  <si>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</si>
  <si>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</si>
  <si>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</si>
  <si>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</si>
  <si>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</si>
  <si>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</si>
  <si>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</si>
  <si>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</si>
  <si>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</si>
  <si>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</si>
  <si>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</si>
  <si>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</si>
  <si>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</si>
  <si>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</si>
  <si>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</si>
  <si>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</si>
  <si>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</si>
  <si>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</si>
  <si>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</si>
  <si>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</si>
  <si>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</si>
  <si>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</si>
  <si>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</si>
  <si>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</si>
  <si>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</si>
  <si>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</si>
  <si>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</si>
  <si>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</si>
  <si>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</si>
  <si>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</si>
  <si>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</si>
  <si>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</si>
  <si>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</si>
  <si>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</si>
  <si>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</si>
  <si>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</si>
  <si>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</si>
  <si>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</si>
  <si>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</si>
  <si>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</si>
  <si>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</si>
  <si>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</si>
  <si>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</si>
  <si>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</si>
  <si>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</si>
  <si>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</si>
  <si>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</si>
  <si>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</si>
  <si>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</si>
  <si>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</si>
  <si>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</si>
  <si>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</si>
  <si>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</si>
  <si>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</si>
  <si>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</si>
  <si>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</si>
  <si>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</si>
  <si>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</si>
  <si>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</si>
  <si>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</si>
  <si>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</si>
  <si>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</si>
  <si>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</si>
  <si>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</si>
  <si>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</si>
  <si>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</si>
  <si>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</si>
  <si>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</si>
  <si>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</si>
  <si>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</si>
  <si>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</si>
  <si>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</si>
  <si>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</si>
  <si>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</si>
  <si>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</si>
  <si>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</si>
  <si>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</si>
  <si>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</si>
  <si>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</si>
  <si>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</si>
  <si>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</si>
  <si>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</si>
  <si>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</si>
  <si>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</si>
  <si>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</si>
  <si>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</si>
  <si>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</si>
  <si>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</si>
  <si>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</si>
  <si>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</si>
  <si>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</si>
  <si>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</si>
  <si>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</si>
  <si>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</si>
  <si>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</si>
  <si>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</si>
  <si>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</si>
  <si>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</si>
  <si>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</si>
  <si>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</si>
  <si>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</si>
  <si>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</si>
  <si>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</si>
  <si>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</si>
  <si>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</si>
  <si>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</si>
  <si>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</si>
  <si>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</si>
  <si>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</si>
  <si>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</si>
  <si>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</si>
  <si>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</si>
  <si>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</si>
  <si>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</si>
  <si>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</si>
  <si>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</si>
  <si>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</si>
  <si>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</si>
  <si>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</si>
  <si>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</si>
  <si>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</si>
  <si>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</si>
  <si>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</si>
  <si>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</si>
  <si>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</si>
  <si>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</si>
  <si>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</si>
  <si>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</si>
  <si>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</si>
  <si>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</si>
  <si>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</si>
  <si>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</si>
  <si>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Tnuovo</t>
  </si>
  <si>
    <t>OG;4</t>
  </si>
  <si>
    <t>OG;5</t>
  </si>
  <si>
    <t>OG;6</t>
  </si>
  <si>
    <t>OG;1</t>
  </si>
  <si>
    <t>OG;2</t>
  </si>
  <si>
    <t>OG;3</t>
  </si>
  <si>
    <t>M_ore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</si>
  <si>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</si>
  <si>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</si>
  <si>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</si>
  <si>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</si>
  <si>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</si>
  <si>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</si>
  <si>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</si>
  <si>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</si>
  <si>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</si>
  <si>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</si>
  <si>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</si>
  <si>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</si>
  <si>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</si>
  <si>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</si>
  <si>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</si>
  <si>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</si>
  <si>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</si>
  <si>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</si>
  <si>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</si>
  <si>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</si>
  <si>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</si>
  <si>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</si>
  <si>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</si>
  <si>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</si>
  <si>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</si>
  <si>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</si>
  <si>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</si>
  <si>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</si>
  <si>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</si>
  <si>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</si>
  <si>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</si>
  <si>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</si>
  <si>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</si>
  <si>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</si>
  <si>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</si>
  <si>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</si>
  <si>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</si>
  <si>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</si>
  <si>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</si>
  <si>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</si>
  <si>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</si>
  <si>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</si>
  <si>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</si>
  <si>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</si>
  <si>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</si>
  <si>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</si>
  <si>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</si>
  <si>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</si>
  <si>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</si>
  <si>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</si>
  <si>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</si>
  <si>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</si>
  <si>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</si>
  <si>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</si>
  <si>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</si>
  <si>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</si>
  <si>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</si>
  <si>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</si>
  <si>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</si>
  <si>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</si>
  <si>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</si>
  <si>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</si>
  <si>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</si>
  <si>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</si>
  <si>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</si>
  <si>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</si>
  <si>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</si>
  <si>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</si>
  <si>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</si>
  <si>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</si>
  <si>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</si>
  <si>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</si>
  <si>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</si>
  <si>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</si>
  <si>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</si>
  <si>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</si>
  <si>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</si>
  <si>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</si>
  <si>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</si>
  <si>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</si>
  <si>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</si>
  <si>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</si>
  <si>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</si>
  <si>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</si>
  <si>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35_2016-11-07</t>
  </si>
  <si>
    <t>36_2016-11-07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</si>
  <si>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</si>
  <si>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</si>
  <si>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</si>
  <si>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</si>
  <si>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</si>
  <si>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</si>
  <si>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</si>
  <si>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</si>
  <si>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</si>
  <si>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</si>
  <si>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</si>
  <si>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</si>
  <si>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</si>
  <si>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</si>
  <si>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</si>
  <si>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</si>
  <si>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</si>
  <si>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</si>
  <si>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</si>
  <si>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</si>
  <si>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</si>
  <si>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</si>
  <si>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</si>
  <si>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</si>
  <si>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</si>
  <si>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</si>
  <si>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</si>
  <si>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</si>
  <si>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</si>
  <si>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</si>
  <si>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</si>
  <si>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</si>
  <si>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</si>
  <si>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</si>
  <si>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35_2016-11-14</t>
  </si>
  <si>
    <t>36_2016-11-14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</si>
  <si>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</si>
  <si>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</si>
  <si>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</si>
  <si>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</si>
  <si>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</si>
  <si>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</si>
  <si>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</si>
  <si>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</si>
  <si>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</si>
  <si>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</si>
  <si>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</si>
  <si>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</si>
  <si>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</si>
  <si>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</si>
  <si>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</si>
  <si>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</si>
  <si>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</si>
  <si>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</si>
  <si>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</si>
  <si>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</si>
  <si>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</si>
  <si>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</si>
  <si>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</si>
  <si>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</si>
  <si>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</si>
  <si>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</si>
  <si>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</si>
  <si>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</si>
  <si>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</si>
  <si>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</si>
  <si>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</si>
  <si>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</si>
  <si>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</si>
  <si>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</si>
  <si>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35_2016-11-21</t>
  </si>
  <si>
    <t>36_2016-11-21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</si>
  <si>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</si>
  <si>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</si>
  <si>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</si>
  <si>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</si>
  <si>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</si>
  <si>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</si>
  <si>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</si>
  <si>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</si>
  <si>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</si>
  <si>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</si>
  <si>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</si>
  <si>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</si>
  <si>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</si>
  <si>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</si>
  <si>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</si>
  <si>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</si>
  <si>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</si>
  <si>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</si>
  <si>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</si>
  <si>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</si>
  <si>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</si>
  <si>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</si>
  <si>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</si>
  <si>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</si>
  <si>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</si>
  <si>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</si>
  <si>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</si>
  <si>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</si>
  <si>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</si>
  <si>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</si>
  <si>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</si>
  <si>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</si>
  <si>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</si>
  <si>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</si>
  <si>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35_2016-11-28</t>
  </si>
  <si>
    <t>36_2016-11-28</t>
  </si>
  <si>
    <t>d:\EXCEL_TURNI_VBA_SQLITE\rsa.sqlite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</si>
</sst>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5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8">
    <dxf>
      <numFmt numFmtId="19" formatCode="dd/mm/yy"/>
    </dxf>
    <dxf>
      <numFmt numFmtId="19" formatCode="dd/mm/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2708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2033" name="BtnGeneraTemplate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from SQLite3 Datasource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4.xml><?xml version="1.0" encoding="utf-8"?>
<queryTable xmlns="http://schemas.openxmlformats.org/spreadsheetml/2006/main" name="turnazione_operatore" connectionId="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e_turnazione_operatore" displayName="Table_turnazione_operatore" ref="A4:P2848" tableType="queryTable" totalsRowShown="0">
  <autoFilter ref="A4:P2848">
    <filterColumn colId="7">
      <filters>
        <filter val="45"/>
      </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1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tab_2016_45_52" displayName="tab_2016_45_52" ref="A3:O39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45"/>
  <sheetViews>
    <sheetView zoomScale="70" zoomScaleNormal="70" workbookViewId="0">
      <selection activeCell="D38" sqref="D38"/>
    </sheetView>
  </sheetViews>
  <sheetFormatPr defaultRowHeight="15" x14ac:dyDescent="0.2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 x14ac:dyDescent="0.25">
      <c r="N2" t="s">
        <v>1330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1330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1329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 x14ac:dyDescent="0.25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 x14ac:dyDescent="0.25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 x14ac:dyDescent="0.25">
      <c r="B39" s="1">
        <v>41186</v>
      </c>
      <c r="C39">
        <f t="shared" si="0"/>
        <v>40</v>
      </c>
      <c r="D39" s="9">
        <f t="shared" si="1"/>
        <v>41184</v>
      </c>
    </row>
    <row r="40" spans="2:4" x14ac:dyDescent="0.25">
      <c r="B40" s="1">
        <v>41187</v>
      </c>
      <c r="C40">
        <f t="shared" si="0"/>
        <v>40</v>
      </c>
      <c r="D40" s="9">
        <f t="shared" si="1"/>
        <v>41184</v>
      </c>
    </row>
    <row r="41" spans="2:4" x14ac:dyDescent="0.25">
      <c r="B41" s="1">
        <v>41188</v>
      </c>
      <c r="C41">
        <f t="shared" si="0"/>
        <v>40</v>
      </c>
      <c r="D41" s="9">
        <f t="shared" si="1"/>
        <v>41184</v>
      </c>
    </row>
    <row r="42" spans="2:4" x14ac:dyDescent="0.25">
      <c r="B42" s="1">
        <v>41189</v>
      </c>
      <c r="C42">
        <f t="shared" si="0"/>
        <v>40</v>
      </c>
      <c r="D42" s="9">
        <f t="shared" si="1"/>
        <v>41184</v>
      </c>
    </row>
    <row r="43" spans="2:4" x14ac:dyDescent="0.25">
      <c r="B43" s="1">
        <v>41190</v>
      </c>
      <c r="C43">
        <f t="shared" si="0"/>
        <v>40</v>
      </c>
      <c r="D43" s="9">
        <f t="shared" si="1"/>
        <v>41191</v>
      </c>
    </row>
    <row r="44" spans="2:4" x14ac:dyDescent="0.25">
      <c r="B44" s="1">
        <v>41191</v>
      </c>
      <c r="C44">
        <f t="shared" si="0"/>
        <v>41</v>
      </c>
      <c r="D44" s="9">
        <f t="shared" si="1"/>
        <v>41191</v>
      </c>
    </row>
    <row r="45" spans="2:4" x14ac:dyDescent="0.25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I27" sqref="I27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1523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N39" sqref="N39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C68" sqref="C68:I68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hidden="1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1298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M36" sqref="M36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1331</v>
      </c>
      <c r="E4" t="s">
        <v>1332</v>
      </c>
    </row>
    <row r="5" spans="1:5" x14ac:dyDescent="0.25">
      <c r="A5" t="s">
        <v>90</v>
      </c>
      <c r="B5" t="s">
        <v>3</v>
      </c>
      <c r="C5" t="s">
        <v>4</v>
      </c>
      <c r="D5" t="s">
        <v>1333</v>
      </c>
      <c r="E5" t="s">
        <v>1334</v>
      </c>
    </row>
    <row r="6" spans="1:5" x14ac:dyDescent="0.25">
      <c r="A6" t="s">
        <v>90</v>
      </c>
      <c r="B6" t="s">
        <v>3</v>
      </c>
      <c r="C6" t="s">
        <v>4</v>
      </c>
      <c r="D6" t="s">
        <v>1335</v>
      </c>
      <c r="E6" t="s">
        <v>1334</v>
      </c>
    </row>
    <row r="7" spans="1:5" x14ac:dyDescent="0.25">
      <c r="A7" t="s">
        <v>90</v>
      </c>
      <c r="B7" t="s">
        <v>3</v>
      </c>
      <c r="C7" t="s">
        <v>4</v>
      </c>
      <c r="D7" t="s">
        <v>1336</v>
      </c>
      <c r="E7" t="s">
        <v>1334</v>
      </c>
    </row>
    <row r="8" spans="1:5" x14ac:dyDescent="0.25">
      <c r="A8" t="s">
        <v>90</v>
      </c>
      <c r="B8" t="s">
        <v>3</v>
      </c>
      <c r="C8" t="s">
        <v>4</v>
      </c>
      <c r="D8" t="s">
        <v>1337</v>
      </c>
      <c r="E8" t="s">
        <v>1334</v>
      </c>
    </row>
    <row r="9" spans="1:5" x14ac:dyDescent="0.25">
      <c r="A9" t="s">
        <v>90</v>
      </c>
      <c r="B9" t="s">
        <v>3</v>
      </c>
      <c r="C9" t="s">
        <v>4</v>
      </c>
      <c r="D9" t="s">
        <v>1338</v>
      </c>
      <c r="E9" t="s">
        <v>1334</v>
      </c>
    </row>
    <row r="10" spans="1:5" x14ac:dyDescent="0.25">
      <c r="A10" t="s">
        <v>90</v>
      </c>
      <c r="B10" t="s">
        <v>3</v>
      </c>
      <c r="C10" t="s">
        <v>4</v>
      </c>
      <c r="D10" t="s">
        <v>1339</v>
      </c>
      <c r="E10" t="s">
        <v>1334</v>
      </c>
    </row>
    <row r="11" spans="1:5" x14ac:dyDescent="0.25">
      <c r="A11" t="s">
        <v>90</v>
      </c>
      <c r="B11" t="s">
        <v>3</v>
      </c>
      <c r="C11" t="s">
        <v>4</v>
      </c>
      <c r="D11" t="s">
        <v>1340</v>
      </c>
      <c r="E11" t="s">
        <v>1334</v>
      </c>
    </row>
    <row r="12" spans="1:5" x14ac:dyDescent="0.25">
      <c r="A12" t="s">
        <v>90</v>
      </c>
      <c r="B12" t="s">
        <v>3</v>
      </c>
      <c r="C12" t="s">
        <v>4</v>
      </c>
      <c r="D12" t="s">
        <v>1341</v>
      </c>
      <c r="E12" t="s">
        <v>1334</v>
      </c>
    </row>
    <row r="13" spans="1:5" x14ac:dyDescent="0.25">
      <c r="A13" t="s">
        <v>90</v>
      </c>
      <c r="B13" t="s">
        <v>3</v>
      </c>
      <c r="C13" t="s">
        <v>4</v>
      </c>
      <c r="D13" t="s">
        <v>1342</v>
      </c>
      <c r="E13" t="s">
        <v>1334</v>
      </c>
    </row>
    <row r="14" spans="1:5" x14ac:dyDescent="0.25">
      <c r="A14" t="s">
        <v>90</v>
      </c>
      <c r="B14" t="s">
        <v>3</v>
      </c>
      <c r="C14" t="s">
        <v>4</v>
      </c>
      <c r="D14" t="s">
        <v>1343</v>
      </c>
      <c r="E14" t="s">
        <v>1334</v>
      </c>
    </row>
    <row r="15" spans="1:5" x14ac:dyDescent="0.25">
      <c r="A15" t="s">
        <v>90</v>
      </c>
      <c r="B15" t="s">
        <v>3</v>
      </c>
      <c r="C15" t="s">
        <v>4</v>
      </c>
      <c r="D15" t="s">
        <v>1344</v>
      </c>
      <c r="E15" t="s">
        <v>1334</v>
      </c>
    </row>
    <row r="16" spans="1:5" x14ac:dyDescent="0.25">
      <c r="A16" t="s">
        <v>90</v>
      </c>
      <c r="B16" t="s">
        <v>3</v>
      </c>
      <c r="C16" t="s">
        <v>4</v>
      </c>
      <c r="D16" t="s">
        <v>1345</v>
      </c>
      <c r="E16" t="s">
        <v>1334</v>
      </c>
    </row>
    <row r="17" spans="1:5" x14ac:dyDescent="0.25">
      <c r="A17" t="s">
        <v>90</v>
      </c>
      <c r="B17" t="s">
        <v>3</v>
      </c>
      <c r="C17" t="s">
        <v>4</v>
      </c>
      <c r="D17" t="s">
        <v>1346</v>
      </c>
      <c r="E17" t="s">
        <v>1334</v>
      </c>
    </row>
    <row r="18" spans="1:5" x14ac:dyDescent="0.25">
      <c r="A18" t="s">
        <v>90</v>
      </c>
      <c r="B18" t="s">
        <v>3</v>
      </c>
      <c r="C18" t="s">
        <v>4</v>
      </c>
      <c r="D18" t="s">
        <v>1347</v>
      </c>
      <c r="E18" t="s">
        <v>1334</v>
      </c>
    </row>
    <row r="19" spans="1:5" x14ac:dyDescent="0.25">
      <c r="A19" t="s">
        <v>90</v>
      </c>
      <c r="B19" t="s">
        <v>3</v>
      </c>
      <c r="C19" t="s">
        <v>4</v>
      </c>
      <c r="D19" t="s">
        <v>1348</v>
      </c>
      <c r="E19" t="s">
        <v>1334</v>
      </c>
    </row>
    <row r="20" spans="1:5" x14ac:dyDescent="0.25">
      <c r="A20" t="s">
        <v>90</v>
      </c>
      <c r="B20" t="s">
        <v>3</v>
      </c>
      <c r="C20" t="s">
        <v>4</v>
      </c>
      <c r="D20" t="s">
        <v>1349</v>
      </c>
      <c r="E20" t="s">
        <v>1334</v>
      </c>
    </row>
    <row r="21" spans="1:5" x14ac:dyDescent="0.25">
      <c r="A21" t="s">
        <v>90</v>
      </c>
      <c r="B21" t="s">
        <v>3</v>
      </c>
      <c r="C21" t="s">
        <v>4</v>
      </c>
      <c r="D21" t="s">
        <v>1350</v>
      </c>
      <c r="E21" t="s">
        <v>1334</v>
      </c>
    </row>
    <row r="22" spans="1:5" x14ac:dyDescent="0.25">
      <c r="A22" t="s">
        <v>90</v>
      </c>
      <c r="B22" t="s">
        <v>3</v>
      </c>
      <c r="C22" t="s">
        <v>4</v>
      </c>
      <c r="D22" t="s">
        <v>1351</v>
      </c>
      <c r="E22" t="s">
        <v>1334</v>
      </c>
    </row>
    <row r="23" spans="1:5" x14ac:dyDescent="0.25">
      <c r="A23" t="s">
        <v>90</v>
      </c>
      <c r="B23" t="s">
        <v>3</v>
      </c>
      <c r="C23" t="s">
        <v>4</v>
      </c>
      <c r="D23" t="s">
        <v>1352</v>
      </c>
      <c r="E23" t="s">
        <v>1334</v>
      </c>
    </row>
    <row r="24" spans="1:5" x14ac:dyDescent="0.25">
      <c r="A24" t="s">
        <v>93</v>
      </c>
      <c r="B24" t="s">
        <v>5</v>
      </c>
      <c r="C24" t="s">
        <v>6</v>
      </c>
      <c r="D24" t="s">
        <v>1346</v>
      </c>
      <c r="E24" t="s">
        <v>1334</v>
      </c>
    </row>
    <row r="25" spans="1:5" x14ac:dyDescent="0.25">
      <c r="A25" t="s">
        <v>93</v>
      </c>
      <c r="B25" t="s">
        <v>5</v>
      </c>
      <c r="C25" t="s">
        <v>6</v>
      </c>
      <c r="D25" t="s">
        <v>1347</v>
      </c>
      <c r="E25" t="s">
        <v>1334</v>
      </c>
    </row>
    <row r="26" spans="1:5" x14ac:dyDescent="0.25">
      <c r="A26" t="s">
        <v>93</v>
      </c>
      <c r="B26" t="s">
        <v>5</v>
      </c>
      <c r="C26" t="s">
        <v>6</v>
      </c>
      <c r="D26" t="s">
        <v>1348</v>
      </c>
      <c r="E26" t="s">
        <v>1334</v>
      </c>
    </row>
    <row r="27" spans="1:5" x14ac:dyDescent="0.25">
      <c r="A27" t="s">
        <v>93</v>
      </c>
      <c r="B27" t="s">
        <v>5</v>
      </c>
      <c r="C27" t="s">
        <v>6</v>
      </c>
      <c r="D27" t="s">
        <v>1349</v>
      </c>
      <c r="E27" t="s">
        <v>1334</v>
      </c>
    </row>
    <row r="28" spans="1:5" x14ac:dyDescent="0.25">
      <c r="A28" t="s">
        <v>93</v>
      </c>
      <c r="B28" t="s">
        <v>5</v>
      </c>
      <c r="C28" t="s">
        <v>6</v>
      </c>
      <c r="D28" t="s">
        <v>1350</v>
      </c>
      <c r="E28" t="s">
        <v>1334</v>
      </c>
    </row>
    <row r="29" spans="1:5" x14ac:dyDescent="0.25">
      <c r="A29" t="s">
        <v>93</v>
      </c>
      <c r="B29" t="s">
        <v>5</v>
      </c>
      <c r="C29" t="s">
        <v>6</v>
      </c>
      <c r="D29" t="s">
        <v>1351</v>
      </c>
      <c r="E29" t="s">
        <v>1334</v>
      </c>
    </row>
    <row r="30" spans="1:5" x14ac:dyDescent="0.25">
      <c r="A30" t="s">
        <v>93</v>
      </c>
      <c r="B30" t="s">
        <v>5</v>
      </c>
      <c r="C30" t="s">
        <v>6</v>
      </c>
      <c r="D30" t="s">
        <v>1352</v>
      </c>
      <c r="E30" t="s">
        <v>1334</v>
      </c>
    </row>
    <row r="31" spans="1:5" x14ac:dyDescent="0.25">
      <c r="A31" t="s">
        <v>93</v>
      </c>
      <c r="B31" t="s">
        <v>5</v>
      </c>
      <c r="C31" t="s">
        <v>6</v>
      </c>
      <c r="D31" t="s">
        <v>1353</v>
      </c>
      <c r="E31" t="s">
        <v>1334</v>
      </c>
    </row>
    <row r="32" spans="1:5" x14ac:dyDescent="0.25">
      <c r="A32" t="s">
        <v>93</v>
      </c>
      <c r="B32" t="s">
        <v>5</v>
      </c>
      <c r="C32" t="s">
        <v>6</v>
      </c>
      <c r="D32" t="s">
        <v>1354</v>
      </c>
      <c r="E32" t="s">
        <v>1334</v>
      </c>
    </row>
    <row r="33" spans="1:5" x14ac:dyDescent="0.25">
      <c r="A33" t="s">
        <v>93</v>
      </c>
      <c r="B33" t="s">
        <v>5</v>
      </c>
      <c r="C33" t="s">
        <v>6</v>
      </c>
      <c r="D33" t="s">
        <v>1355</v>
      </c>
      <c r="E33" t="s">
        <v>1334</v>
      </c>
    </row>
    <row r="34" spans="1:5" x14ac:dyDescent="0.25">
      <c r="A34" t="s">
        <v>93</v>
      </c>
      <c r="B34" t="s">
        <v>5</v>
      </c>
      <c r="C34" t="s">
        <v>6</v>
      </c>
      <c r="D34" t="s">
        <v>1356</v>
      </c>
      <c r="E34" t="s">
        <v>1334</v>
      </c>
    </row>
    <row r="35" spans="1:5" x14ac:dyDescent="0.25">
      <c r="A35" t="s">
        <v>93</v>
      </c>
      <c r="B35" t="s">
        <v>5</v>
      </c>
      <c r="C35" t="s">
        <v>6</v>
      </c>
      <c r="D35" t="s">
        <v>1357</v>
      </c>
      <c r="E35" t="s">
        <v>1334</v>
      </c>
    </row>
    <row r="36" spans="1:5" x14ac:dyDescent="0.25">
      <c r="A36" t="s">
        <v>93</v>
      </c>
      <c r="B36" t="s">
        <v>5</v>
      </c>
      <c r="C36" t="s">
        <v>6</v>
      </c>
      <c r="D36" t="s">
        <v>1358</v>
      </c>
      <c r="E36" t="s">
        <v>1334</v>
      </c>
    </row>
    <row r="37" spans="1:5" x14ac:dyDescent="0.25">
      <c r="A37" t="s">
        <v>93</v>
      </c>
      <c r="B37" t="s">
        <v>5</v>
      </c>
      <c r="C37" t="s">
        <v>6</v>
      </c>
      <c r="D37" t="s">
        <v>1359</v>
      </c>
      <c r="E37" t="s">
        <v>1334</v>
      </c>
    </row>
    <row r="38" spans="1:5" x14ac:dyDescent="0.25">
      <c r="A38" t="s">
        <v>94</v>
      </c>
      <c r="B38" t="s">
        <v>7</v>
      </c>
      <c r="C38" t="s">
        <v>8</v>
      </c>
      <c r="D38" t="s">
        <v>1360</v>
      </c>
      <c r="E38" t="s">
        <v>1334</v>
      </c>
    </row>
    <row r="39" spans="1:5" x14ac:dyDescent="0.25">
      <c r="A39" t="s">
        <v>94</v>
      </c>
      <c r="B39" t="s">
        <v>7</v>
      </c>
      <c r="C39" t="s">
        <v>8</v>
      </c>
      <c r="D39" t="s">
        <v>1361</v>
      </c>
      <c r="E39" t="s">
        <v>1334</v>
      </c>
    </row>
    <row r="40" spans="1:5" x14ac:dyDescent="0.25">
      <c r="A40" t="s">
        <v>94</v>
      </c>
      <c r="B40" t="s">
        <v>7</v>
      </c>
      <c r="C40" t="s">
        <v>8</v>
      </c>
      <c r="D40" t="s">
        <v>1362</v>
      </c>
      <c r="E40" t="s">
        <v>1334</v>
      </c>
    </row>
    <row r="41" spans="1:5" x14ac:dyDescent="0.25">
      <c r="A41" t="s">
        <v>94</v>
      </c>
      <c r="B41" t="s">
        <v>7</v>
      </c>
      <c r="C41" t="s">
        <v>8</v>
      </c>
      <c r="D41" t="s">
        <v>1363</v>
      </c>
      <c r="E41" t="s">
        <v>1334</v>
      </c>
    </row>
    <row r="42" spans="1:5" x14ac:dyDescent="0.25">
      <c r="A42" t="s">
        <v>94</v>
      </c>
      <c r="B42" t="s">
        <v>7</v>
      </c>
      <c r="C42" t="s">
        <v>8</v>
      </c>
      <c r="D42" t="s">
        <v>1364</v>
      </c>
      <c r="E42" t="s">
        <v>1334</v>
      </c>
    </row>
    <row r="43" spans="1:5" x14ac:dyDescent="0.25">
      <c r="A43" t="s">
        <v>94</v>
      </c>
      <c r="B43" t="s">
        <v>7</v>
      </c>
      <c r="C43" t="s">
        <v>8</v>
      </c>
      <c r="D43" t="s">
        <v>1365</v>
      </c>
      <c r="E43" t="s">
        <v>1334</v>
      </c>
    </row>
    <row r="44" spans="1:5" x14ac:dyDescent="0.25">
      <c r="A44" t="s">
        <v>94</v>
      </c>
      <c r="B44" t="s">
        <v>7</v>
      </c>
      <c r="C44" t="s">
        <v>8</v>
      </c>
      <c r="D44" t="s">
        <v>1366</v>
      </c>
      <c r="E44" t="s">
        <v>1334</v>
      </c>
    </row>
    <row r="45" spans="1:5" x14ac:dyDescent="0.25">
      <c r="A45" t="s">
        <v>94</v>
      </c>
      <c r="B45" t="s">
        <v>7</v>
      </c>
      <c r="C45" t="s">
        <v>8</v>
      </c>
      <c r="D45" t="s">
        <v>1367</v>
      </c>
      <c r="E45" t="s">
        <v>1334</v>
      </c>
    </row>
    <row r="46" spans="1:5" x14ac:dyDescent="0.25">
      <c r="A46" t="s">
        <v>94</v>
      </c>
      <c r="B46" t="s">
        <v>7</v>
      </c>
      <c r="C46" t="s">
        <v>8</v>
      </c>
      <c r="D46" t="s">
        <v>1368</v>
      </c>
      <c r="E46" t="s">
        <v>1334</v>
      </c>
    </row>
    <row r="47" spans="1:5" x14ac:dyDescent="0.25">
      <c r="A47" t="s">
        <v>94</v>
      </c>
      <c r="B47" t="s">
        <v>7</v>
      </c>
      <c r="C47" t="s">
        <v>8</v>
      </c>
      <c r="D47" t="s">
        <v>1369</v>
      </c>
      <c r="E47" t="s">
        <v>1334</v>
      </c>
    </row>
    <row r="48" spans="1:5" x14ac:dyDescent="0.25">
      <c r="A48" t="s">
        <v>94</v>
      </c>
      <c r="B48" t="s">
        <v>7</v>
      </c>
      <c r="C48" t="s">
        <v>8</v>
      </c>
      <c r="D48" t="s">
        <v>1370</v>
      </c>
      <c r="E48" t="s">
        <v>1334</v>
      </c>
    </row>
    <row r="49" spans="1:5" x14ac:dyDescent="0.25">
      <c r="A49" t="s">
        <v>94</v>
      </c>
      <c r="B49" t="s">
        <v>7</v>
      </c>
      <c r="C49" t="s">
        <v>8</v>
      </c>
      <c r="D49" t="s">
        <v>1371</v>
      </c>
      <c r="E49" t="s">
        <v>1334</v>
      </c>
    </row>
    <row r="50" spans="1:5" x14ac:dyDescent="0.25">
      <c r="A50" t="s">
        <v>94</v>
      </c>
      <c r="B50" t="s">
        <v>7</v>
      </c>
      <c r="C50" t="s">
        <v>8</v>
      </c>
      <c r="D50" t="s">
        <v>1372</v>
      </c>
      <c r="E50" t="s">
        <v>1334</v>
      </c>
    </row>
    <row r="51" spans="1:5" x14ac:dyDescent="0.25">
      <c r="A51" t="s">
        <v>94</v>
      </c>
      <c r="B51" t="s">
        <v>7</v>
      </c>
      <c r="C51" t="s">
        <v>8</v>
      </c>
      <c r="D51" t="s">
        <v>1373</v>
      </c>
      <c r="E51" t="s">
        <v>1334</v>
      </c>
    </row>
    <row r="52" spans="1:5" x14ac:dyDescent="0.25">
      <c r="A52" t="s">
        <v>94</v>
      </c>
      <c r="B52" t="s">
        <v>7</v>
      </c>
      <c r="C52" t="s">
        <v>8</v>
      </c>
      <c r="D52" t="s">
        <v>1374</v>
      </c>
      <c r="E52" t="s">
        <v>1334</v>
      </c>
    </row>
    <row r="53" spans="1:5" x14ac:dyDescent="0.25">
      <c r="A53" t="s">
        <v>94</v>
      </c>
      <c r="B53" t="s">
        <v>7</v>
      </c>
      <c r="C53" t="s">
        <v>8</v>
      </c>
      <c r="D53" t="s">
        <v>1375</v>
      </c>
      <c r="E53" t="s">
        <v>1334</v>
      </c>
    </row>
    <row r="54" spans="1:5" x14ac:dyDescent="0.25">
      <c r="A54" t="s">
        <v>94</v>
      </c>
      <c r="B54" t="s">
        <v>7</v>
      </c>
      <c r="C54" t="s">
        <v>8</v>
      </c>
      <c r="D54" t="s">
        <v>1376</v>
      </c>
      <c r="E54" t="s">
        <v>1334</v>
      </c>
    </row>
    <row r="55" spans="1:5" x14ac:dyDescent="0.25">
      <c r="A55" t="s">
        <v>90</v>
      </c>
      <c r="B55" t="s">
        <v>3</v>
      </c>
      <c r="C55" t="s">
        <v>4</v>
      </c>
      <c r="D55" t="s">
        <v>1377</v>
      </c>
      <c r="E55" t="s">
        <v>1334</v>
      </c>
    </row>
    <row r="56" spans="1:5" x14ac:dyDescent="0.25">
      <c r="A56" t="s">
        <v>90</v>
      </c>
      <c r="B56" t="s">
        <v>3</v>
      </c>
      <c r="C56" t="s">
        <v>4</v>
      </c>
      <c r="D56" t="s">
        <v>1378</v>
      </c>
      <c r="E56" t="s">
        <v>1334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848"/>
  <sheetViews>
    <sheetView topLeftCell="A2849" workbookViewId="0">
      <selection activeCell="R2824" sqref="R282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 x14ac:dyDescent="0.25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x14ac:dyDescent="0.25">
      <c r="A2705" t="s">
        <v>1379</v>
      </c>
      <c r="B2705" t="s">
        <v>3</v>
      </c>
      <c r="C2705" t="s">
        <v>4</v>
      </c>
      <c r="D2705" t="s">
        <v>90</v>
      </c>
      <c r="E2705" t="s">
        <v>1271</v>
      </c>
      <c r="F2705">
        <v>6</v>
      </c>
      <c r="G2705" s="10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x14ac:dyDescent="0.25">
      <c r="A2706" t="s">
        <v>1380</v>
      </c>
      <c r="B2706" t="s">
        <v>5</v>
      </c>
      <c r="C2706" t="s">
        <v>6</v>
      </c>
      <c r="D2706" t="s">
        <v>93</v>
      </c>
      <c r="E2706" t="s">
        <v>1271</v>
      </c>
      <c r="F2706">
        <v>7</v>
      </c>
      <c r="G2706" s="10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74</v>
      </c>
      <c r="O2706" t="s">
        <v>75</v>
      </c>
      <c r="P2706" t="s">
        <v>73</v>
      </c>
    </row>
    <row r="2707" spans="1:16" x14ac:dyDescent="0.25">
      <c r="A2707" t="s">
        <v>1381</v>
      </c>
      <c r="B2707" t="s">
        <v>7</v>
      </c>
      <c r="C2707" t="s">
        <v>8</v>
      </c>
      <c r="D2707" t="s">
        <v>94</v>
      </c>
      <c r="E2707" t="s">
        <v>1271</v>
      </c>
      <c r="F2707">
        <v>1</v>
      </c>
      <c r="G2707" s="10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x14ac:dyDescent="0.25">
      <c r="A2708" t="s">
        <v>1382</v>
      </c>
      <c r="B2708" t="s">
        <v>9</v>
      </c>
      <c r="C2708" t="s">
        <v>10</v>
      </c>
      <c r="D2708" t="s">
        <v>96</v>
      </c>
      <c r="E2708" t="s">
        <v>1271</v>
      </c>
      <c r="F2708">
        <v>2</v>
      </c>
      <c r="G2708" s="10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x14ac:dyDescent="0.25">
      <c r="A2709" t="s">
        <v>1383</v>
      </c>
      <c r="B2709" t="s">
        <v>11</v>
      </c>
      <c r="C2709" t="s">
        <v>12</v>
      </c>
      <c r="D2709" t="s">
        <v>97</v>
      </c>
      <c r="E2709" t="s">
        <v>1271</v>
      </c>
      <c r="F2709">
        <v>3</v>
      </c>
      <c r="G2709" s="10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x14ac:dyDescent="0.25">
      <c r="A2710" t="s">
        <v>1384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x14ac:dyDescent="0.25">
      <c r="A2711" t="s">
        <v>1385</v>
      </c>
      <c r="B2711" t="s">
        <v>13</v>
      </c>
      <c r="C2711" t="s">
        <v>15</v>
      </c>
      <c r="D2711" t="s">
        <v>98</v>
      </c>
      <c r="E2711" t="s">
        <v>1272</v>
      </c>
      <c r="F2711">
        <v>4</v>
      </c>
      <c r="G2711" s="10">
        <v>41219</v>
      </c>
      <c r="H2711">
        <v>45</v>
      </c>
      <c r="I2711">
        <v>2016</v>
      </c>
      <c r="J2711" t="s">
        <v>75</v>
      </c>
      <c r="K2711" t="s">
        <v>73</v>
      </c>
      <c r="L2711" t="s">
        <v>74</v>
      </c>
      <c r="M2711" t="s">
        <v>75</v>
      </c>
      <c r="N2711" t="s">
        <v>74</v>
      </c>
      <c r="O2711" t="s">
        <v>75</v>
      </c>
      <c r="P2711" t="s">
        <v>75</v>
      </c>
    </row>
    <row r="2712" spans="1:16" x14ac:dyDescent="0.25">
      <c r="A2712" t="s">
        <v>1386</v>
      </c>
      <c r="B2712" t="s">
        <v>16</v>
      </c>
      <c r="C2712" t="s">
        <v>17</v>
      </c>
      <c r="D2712" t="s">
        <v>99</v>
      </c>
      <c r="E2712" t="s">
        <v>1271</v>
      </c>
      <c r="F2712">
        <v>8</v>
      </c>
      <c r="G2712" s="10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x14ac:dyDescent="0.25">
      <c r="A2713" t="s">
        <v>1387</v>
      </c>
      <c r="B2713" t="s">
        <v>18</v>
      </c>
      <c r="C2713" t="s">
        <v>19</v>
      </c>
      <c r="D2713" t="s">
        <v>100</v>
      </c>
      <c r="E2713" t="s">
        <v>1271</v>
      </c>
      <c r="F2713">
        <v>10</v>
      </c>
      <c r="G2713" s="10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x14ac:dyDescent="0.25">
      <c r="A2714" t="s">
        <v>1388</v>
      </c>
      <c r="B2714" t="s">
        <v>20</v>
      </c>
      <c r="C2714" t="s">
        <v>21</v>
      </c>
      <c r="D2714" t="s">
        <v>101</v>
      </c>
      <c r="E2714" t="s">
        <v>1271</v>
      </c>
      <c r="F2714">
        <v>9</v>
      </c>
      <c r="G2714" s="10">
        <v>41219</v>
      </c>
      <c r="H2714">
        <v>45</v>
      </c>
      <c r="I2714">
        <v>2016</v>
      </c>
      <c r="J2714" t="s">
        <v>75</v>
      </c>
      <c r="K2714" t="s">
        <v>74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x14ac:dyDescent="0.25">
      <c r="A2715" t="s">
        <v>1389</v>
      </c>
      <c r="B2715" t="s">
        <v>22</v>
      </c>
      <c r="C2715" t="s">
        <v>17</v>
      </c>
      <c r="D2715" t="s">
        <v>102</v>
      </c>
      <c r="E2715" t="s">
        <v>1272</v>
      </c>
      <c r="F2715">
        <v>1</v>
      </c>
      <c r="G2715" s="10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1390</v>
      </c>
      <c r="B2716" t="s">
        <v>23</v>
      </c>
      <c r="C2716" t="s">
        <v>24</v>
      </c>
      <c r="D2716" t="s">
        <v>103</v>
      </c>
      <c r="E2716" t="s">
        <v>1272</v>
      </c>
      <c r="F2716">
        <v>2</v>
      </c>
      <c r="G2716" s="10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74</v>
      </c>
      <c r="M2716" t="s">
        <v>73</v>
      </c>
      <c r="N2716" t="s">
        <v>74</v>
      </c>
      <c r="O2716" t="s">
        <v>75</v>
      </c>
      <c r="P2716" t="s">
        <v>74</v>
      </c>
    </row>
    <row r="2717" spans="1:16" x14ac:dyDescent="0.25">
      <c r="A2717" t="s">
        <v>1391</v>
      </c>
      <c r="B2717" t="s">
        <v>23</v>
      </c>
      <c r="C2717" t="s">
        <v>55</v>
      </c>
      <c r="D2717" t="s">
        <v>127</v>
      </c>
      <c r="E2717" t="s">
        <v>1271</v>
      </c>
      <c r="F2717">
        <v>8</v>
      </c>
      <c r="G2717" s="10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x14ac:dyDescent="0.25">
      <c r="A2718" t="s">
        <v>1392</v>
      </c>
      <c r="B2718" t="s">
        <v>25</v>
      </c>
      <c r="C2718" t="s">
        <v>132</v>
      </c>
      <c r="D2718" t="s">
        <v>104</v>
      </c>
      <c r="E2718" t="s">
        <v>1271</v>
      </c>
      <c r="F2718">
        <v>11</v>
      </c>
      <c r="G2718" s="10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x14ac:dyDescent="0.25">
      <c r="A2719" t="s">
        <v>1393</v>
      </c>
      <c r="B2719" t="s">
        <v>56</v>
      </c>
      <c r="C2719" t="s">
        <v>57</v>
      </c>
      <c r="D2719" t="s">
        <v>129</v>
      </c>
      <c r="E2719" t="s">
        <v>1271</v>
      </c>
      <c r="F2719">
        <v>3</v>
      </c>
      <c r="G2719" s="10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x14ac:dyDescent="0.25">
      <c r="A2720" t="s">
        <v>1394</v>
      </c>
      <c r="B2720" t="s">
        <v>26</v>
      </c>
      <c r="C2720" t="s">
        <v>27</v>
      </c>
      <c r="D2720" t="s">
        <v>105</v>
      </c>
      <c r="E2720" t="s">
        <v>1271</v>
      </c>
      <c r="F2720">
        <v>4</v>
      </c>
      <c r="G2720" s="10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x14ac:dyDescent="0.25">
      <c r="A2721" t="s">
        <v>1395</v>
      </c>
      <c r="B2721" t="s">
        <v>28</v>
      </c>
      <c r="C2721" t="s">
        <v>29</v>
      </c>
      <c r="D2721" t="s">
        <v>106</v>
      </c>
      <c r="E2721" t="s">
        <v>1271</v>
      </c>
      <c r="F2721">
        <v>10</v>
      </c>
      <c r="G2721" s="10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x14ac:dyDescent="0.25">
      <c r="A2722" t="s">
        <v>1396</v>
      </c>
      <c r="B2722" t="s">
        <v>30</v>
      </c>
      <c r="C2722" t="s">
        <v>8</v>
      </c>
      <c r="D2722" t="s">
        <v>107</v>
      </c>
      <c r="E2722" t="s">
        <v>1272</v>
      </c>
      <c r="F2722">
        <v>4</v>
      </c>
      <c r="G2722" s="10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75</v>
      </c>
      <c r="N2722" t="s">
        <v>74</v>
      </c>
      <c r="O2722" t="s">
        <v>75</v>
      </c>
      <c r="P2722" t="s">
        <v>75</v>
      </c>
    </row>
    <row r="2723" spans="1:16" x14ac:dyDescent="0.25">
      <c r="A2723" t="s">
        <v>1397</v>
      </c>
      <c r="B2723" t="s">
        <v>30</v>
      </c>
      <c r="C2723" t="s">
        <v>31</v>
      </c>
      <c r="D2723" t="s">
        <v>108</v>
      </c>
      <c r="E2723" t="s">
        <v>1271</v>
      </c>
      <c r="F2723">
        <v>7</v>
      </c>
      <c r="G2723" s="10">
        <v>41219</v>
      </c>
      <c r="H2723">
        <v>45</v>
      </c>
      <c r="I2723">
        <v>2016</v>
      </c>
      <c r="J2723" t="s">
        <v>73</v>
      </c>
      <c r="K2723" t="s">
        <v>74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x14ac:dyDescent="0.25">
      <c r="A2724" t="s">
        <v>1398</v>
      </c>
      <c r="B2724" t="s">
        <v>32</v>
      </c>
      <c r="C2724" t="s">
        <v>33</v>
      </c>
      <c r="D2724" t="s">
        <v>109</v>
      </c>
      <c r="E2724" t="s">
        <v>1272</v>
      </c>
      <c r="F2724">
        <v>6</v>
      </c>
      <c r="G2724" s="10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x14ac:dyDescent="0.25">
      <c r="A2725" t="s">
        <v>1399</v>
      </c>
      <c r="B2725" t="s">
        <v>32</v>
      </c>
      <c r="C2725" t="s">
        <v>34</v>
      </c>
      <c r="D2725" t="s">
        <v>122</v>
      </c>
      <c r="E2725" t="s">
        <v>1272</v>
      </c>
      <c r="F2725">
        <v>5</v>
      </c>
      <c r="G2725" s="10">
        <v>41219</v>
      </c>
      <c r="H2725">
        <v>45</v>
      </c>
      <c r="I2725">
        <v>2016</v>
      </c>
      <c r="J2725" t="s">
        <v>73</v>
      </c>
      <c r="K2725" t="s">
        <v>75</v>
      </c>
      <c r="L2725" t="s">
        <v>75</v>
      </c>
      <c r="M2725" t="s">
        <v>74</v>
      </c>
      <c r="N2725" t="s">
        <v>75</v>
      </c>
      <c r="O2725" t="s">
        <v>75</v>
      </c>
      <c r="P2725" t="s">
        <v>73</v>
      </c>
    </row>
    <row r="2726" spans="1:16" x14ac:dyDescent="0.25">
      <c r="A2726" t="s">
        <v>1400</v>
      </c>
      <c r="B2726" t="s">
        <v>35</v>
      </c>
      <c r="C2726" t="s">
        <v>36</v>
      </c>
      <c r="D2726" t="s">
        <v>110</v>
      </c>
      <c r="E2726" t="s">
        <v>1271</v>
      </c>
      <c r="F2726">
        <v>1</v>
      </c>
      <c r="G2726" s="10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x14ac:dyDescent="0.25">
      <c r="A2727" t="s">
        <v>1401</v>
      </c>
      <c r="B2727" t="s">
        <v>58</v>
      </c>
      <c r="C2727" t="s">
        <v>59</v>
      </c>
      <c r="D2727" t="s">
        <v>130</v>
      </c>
      <c r="E2727" t="s">
        <v>1272</v>
      </c>
      <c r="F2727">
        <v>4</v>
      </c>
      <c r="G2727" s="10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74</v>
      </c>
      <c r="M2727" t="s">
        <v>75</v>
      </c>
      <c r="N2727" t="s">
        <v>74</v>
      </c>
      <c r="O2727" t="s">
        <v>75</v>
      </c>
      <c r="P2727" t="s">
        <v>75</v>
      </c>
    </row>
    <row r="2728" spans="1:16" x14ac:dyDescent="0.25">
      <c r="A2728" t="s">
        <v>1402</v>
      </c>
      <c r="B2728" t="s">
        <v>37</v>
      </c>
      <c r="C2728" t="s">
        <v>38</v>
      </c>
      <c r="D2728" t="s">
        <v>111</v>
      </c>
      <c r="E2728" t="s">
        <v>1271</v>
      </c>
      <c r="F2728">
        <v>2</v>
      </c>
      <c r="G2728" s="10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x14ac:dyDescent="0.25">
      <c r="A2729" t="s">
        <v>1403</v>
      </c>
      <c r="B2729" t="s">
        <v>39</v>
      </c>
      <c r="C2729" t="s">
        <v>40</v>
      </c>
      <c r="D2729" t="s">
        <v>112</v>
      </c>
      <c r="E2729" t="s">
        <v>1272</v>
      </c>
      <c r="F2729">
        <v>3</v>
      </c>
      <c r="G2729" s="10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x14ac:dyDescent="0.25">
      <c r="A2730" t="s">
        <v>1404</v>
      </c>
      <c r="B2730" t="s">
        <v>41</v>
      </c>
      <c r="C2730" t="s">
        <v>42</v>
      </c>
      <c r="D2730" t="s">
        <v>113</v>
      </c>
      <c r="E2730" t="s">
        <v>1271</v>
      </c>
      <c r="F2730">
        <v>6</v>
      </c>
      <c r="G2730" s="10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x14ac:dyDescent="0.25">
      <c r="A2731" t="s">
        <v>1405</v>
      </c>
      <c r="B2731" t="s">
        <v>43</v>
      </c>
      <c r="C2731" t="s">
        <v>44</v>
      </c>
      <c r="D2731" t="s">
        <v>114</v>
      </c>
      <c r="E2731" t="s">
        <v>1271</v>
      </c>
      <c r="F2731">
        <v>9</v>
      </c>
      <c r="G2731" s="10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x14ac:dyDescent="0.25">
      <c r="A2732" t="s">
        <v>1406</v>
      </c>
      <c r="B2732" t="s">
        <v>45</v>
      </c>
      <c r="C2732" t="s">
        <v>46</v>
      </c>
      <c r="D2732" t="s">
        <v>115</v>
      </c>
      <c r="E2732" t="s">
        <v>1271</v>
      </c>
      <c r="F2732">
        <v>5</v>
      </c>
      <c r="G2732" s="10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x14ac:dyDescent="0.25">
      <c r="A2733" t="s">
        <v>1407</v>
      </c>
      <c r="B2733" t="s">
        <v>47</v>
      </c>
      <c r="C2733" t="s">
        <v>48</v>
      </c>
      <c r="D2733" t="s">
        <v>116</v>
      </c>
      <c r="E2733" t="s">
        <v>1271</v>
      </c>
      <c r="F2733">
        <v>5</v>
      </c>
      <c r="G2733" s="10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74</v>
      </c>
      <c r="N2733" t="s">
        <v>75</v>
      </c>
      <c r="O2733" t="s">
        <v>75</v>
      </c>
      <c r="P2733" t="s">
        <v>76</v>
      </c>
    </row>
    <row r="2734" spans="1:16" x14ac:dyDescent="0.25">
      <c r="A2734" t="s">
        <v>1408</v>
      </c>
      <c r="B2734" t="s">
        <v>49</v>
      </c>
      <c r="C2734" t="s">
        <v>50</v>
      </c>
      <c r="D2734" t="s">
        <v>117</v>
      </c>
      <c r="E2734" t="s">
        <v>1271</v>
      </c>
      <c r="F2734">
        <v>4</v>
      </c>
      <c r="G2734" s="10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x14ac:dyDescent="0.25">
      <c r="A2735" t="s">
        <v>1409</v>
      </c>
      <c r="B2735" t="s">
        <v>51</v>
      </c>
      <c r="C2735" t="s">
        <v>52</v>
      </c>
      <c r="D2735" t="s">
        <v>118</v>
      </c>
      <c r="E2735" t="s">
        <v>1271</v>
      </c>
      <c r="F2735">
        <v>11</v>
      </c>
      <c r="G2735" s="10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x14ac:dyDescent="0.25">
      <c r="A2736" t="s">
        <v>1410</v>
      </c>
      <c r="B2736" t="s">
        <v>53</v>
      </c>
      <c r="C2736" t="s">
        <v>54</v>
      </c>
      <c r="D2736" t="s">
        <v>119</v>
      </c>
      <c r="E2736" t="s">
        <v>1272</v>
      </c>
      <c r="F2736">
        <v>2</v>
      </c>
      <c r="G2736" s="10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74</v>
      </c>
      <c r="O2736" t="s">
        <v>75</v>
      </c>
      <c r="P2736" t="s">
        <v>74</v>
      </c>
    </row>
    <row r="2737" spans="1:16" x14ac:dyDescent="0.25">
      <c r="A2737" t="s">
        <v>1411</v>
      </c>
      <c r="B2737" t="s">
        <v>1289</v>
      </c>
      <c r="C2737" t="s">
        <v>132</v>
      </c>
      <c r="D2737" t="s">
        <v>1292</v>
      </c>
      <c r="E2737" t="s">
        <v>1272</v>
      </c>
      <c r="F2737">
        <v>4</v>
      </c>
      <c r="G2737" s="10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x14ac:dyDescent="0.25">
      <c r="A2738" t="s">
        <v>1412</v>
      </c>
      <c r="B2738" t="s">
        <v>1290</v>
      </c>
      <c r="C2738" t="s">
        <v>132</v>
      </c>
      <c r="D2738" t="s">
        <v>1294</v>
      </c>
      <c r="E2738" t="s">
        <v>1272</v>
      </c>
      <c r="F2738">
        <v>1</v>
      </c>
      <c r="G2738" s="10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74</v>
      </c>
    </row>
    <row r="2739" spans="1:16" x14ac:dyDescent="0.25">
      <c r="A2739" t="s">
        <v>1413</v>
      </c>
      <c r="B2739" t="s">
        <v>1296</v>
      </c>
      <c r="C2739" t="s">
        <v>1297</v>
      </c>
      <c r="D2739" t="s">
        <v>1293</v>
      </c>
      <c r="E2739" t="s">
        <v>1272</v>
      </c>
      <c r="F2739">
        <v>5</v>
      </c>
      <c r="G2739" s="10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x14ac:dyDescent="0.25">
      <c r="A2740" t="s">
        <v>1414</v>
      </c>
      <c r="B2740" t="s">
        <v>1291</v>
      </c>
      <c r="C2740" t="s">
        <v>132</v>
      </c>
      <c r="D2740" t="s">
        <v>1295</v>
      </c>
      <c r="E2740" t="s">
        <v>1272</v>
      </c>
      <c r="F2740">
        <v>6</v>
      </c>
      <c r="G2740" s="10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hidden="1" x14ac:dyDescent="0.25">
      <c r="A2741" t="s">
        <v>1415</v>
      </c>
      <c r="B2741" t="s">
        <v>3</v>
      </c>
      <c r="C2741" t="s">
        <v>4</v>
      </c>
      <c r="D2741" t="s">
        <v>90</v>
      </c>
      <c r="E2741" t="s">
        <v>1271</v>
      </c>
      <c r="F2741">
        <v>7</v>
      </c>
      <c r="G2741" s="10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75</v>
      </c>
      <c r="M2741" t="s">
        <v>74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1416</v>
      </c>
      <c r="B2742" t="s">
        <v>5</v>
      </c>
      <c r="C2742" t="s">
        <v>6</v>
      </c>
      <c r="D2742" t="s">
        <v>93</v>
      </c>
      <c r="E2742" t="s">
        <v>1271</v>
      </c>
      <c r="F2742">
        <v>8</v>
      </c>
      <c r="G2742" s="10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hidden="1" x14ac:dyDescent="0.25">
      <c r="A2743" t="s">
        <v>1417</v>
      </c>
      <c r="B2743" t="s">
        <v>7</v>
      </c>
      <c r="C2743" t="s">
        <v>8</v>
      </c>
      <c r="D2743" t="s">
        <v>94</v>
      </c>
      <c r="E2743" t="s">
        <v>1271</v>
      </c>
      <c r="F2743">
        <v>2</v>
      </c>
      <c r="G2743" s="10">
        <v>41226</v>
      </c>
      <c r="H2743">
        <v>46</v>
      </c>
      <c r="I2743">
        <v>2016</v>
      </c>
      <c r="J2743" t="s">
        <v>74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hidden="1" x14ac:dyDescent="0.25">
      <c r="A2744" t="s">
        <v>1418</v>
      </c>
      <c r="B2744" t="s">
        <v>9</v>
      </c>
      <c r="C2744" t="s">
        <v>10</v>
      </c>
      <c r="D2744" t="s">
        <v>96</v>
      </c>
      <c r="E2744" t="s">
        <v>1271</v>
      </c>
      <c r="F2744">
        <v>3</v>
      </c>
      <c r="G2744" s="10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hidden="1" x14ac:dyDescent="0.25">
      <c r="A2745" t="s">
        <v>1419</v>
      </c>
      <c r="B2745" t="s">
        <v>11</v>
      </c>
      <c r="C2745" t="s">
        <v>12</v>
      </c>
      <c r="D2745" t="s">
        <v>97</v>
      </c>
      <c r="E2745" t="s">
        <v>1271</v>
      </c>
      <c r="F2745">
        <v>4</v>
      </c>
      <c r="G2745" s="10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hidden="1" x14ac:dyDescent="0.25">
      <c r="A2746" t="s">
        <v>1420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 x14ac:dyDescent="0.25">
      <c r="A2747" t="s">
        <v>1421</v>
      </c>
      <c r="B2747" t="s">
        <v>13</v>
      </c>
      <c r="C2747" t="s">
        <v>15</v>
      </c>
      <c r="D2747" t="s">
        <v>98</v>
      </c>
      <c r="E2747" t="s">
        <v>1272</v>
      </c>
      <c r="F2747">
        <v>5</v>
      </c>
      <c r="G2747" s="10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1422</v>
      </c>
      <c r="B2748" t="s">
        <v>16</v>
      </c>
      <c r="C2748" t="s">
        <v>17</v>
      </c>
      <c r="D2748" t="s">
        <v>99</v>
      </c>
      <c r="E2748" t="s">
        <v>1271</v>
      </c>
      <c r="F2748">
        <v>9</v>
      </c>
      <c r="G2748" s="10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74</v>
      </c>
    </row>
    <row r="2749" spans="1:16" hidden="1" x14ac:dyDescent="0.25">
      <c r="A2749" t="s">
        <v>1423</v>
      </c>
      <c r="B2749" t="s">
        <v>18</v>
      </c>
      <c r="C2749" t="s">
        <v>19</v>
      </c>
      <c r="D2749" t="s">
        <v>100</v>
      </c>
      <c r="E2749" t="s">
        <v>1271</v>
      </c>
      <c r="F2749">
        <v>11</v>
      </c>
      <c r="G2749" s="10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hidden="1" x14ac:dyDescent="0.25">
      <c r="A2750" t="s">
        <v>1424</v>
      </c>
      <c r="B2750" t="s">
        <v>20</v>
      </c>
      <c r="C2750" t="s">
        <v>21</v>
      </c>
      <c r="D2750" t="s">
        <v>101</v>
      </c>
      <c r="E2750" t="s">
        <v>1271</v>
      </c>
      <c r="F2750">
        <v>10</v>
      </c>
      <c r="G2750" s="10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hidden="1" x14ac:dyDescent="0.25">
      <c r="A2751" t="s">
        <v>1425</v>
      </c>
      <c r="B2751" t="s">
        <v>22</v>
      </c>
      <c r="C2751" t="s">
        <v>17</v>
      </c>
      <c r="D2751" t="s">
        <v>102</v>
      </c>
      <c r="E2751" t="s">
        <v>1272</v>
      </c>
      <c r="F2751">
        <v>2</v>
      </c>
      <c r="G2751" s="10">
        <v>41226</v>
      </c>
      <c r="H2751">
        <v>46</v>
      </c>
      <c r="I2751">
        <v>2016</v>
      </c>
      <c r="J2751" t="s">
        <v>74</v>
      </c>
      <c r="K2751" t="s">
        <v>75</v>
      </c>
      <c r="L2751" t="s">
        <v>74</v>
      </c>
      <c r="M2751" t="s">
        <v>73</v>
      </c>
      <c r="N2751" t="s">
        <v>74</v>
      </c>
      <c r="O2751" t="s">
        <v>75</v>
      </c>
      <c r="P2751" t="s">
        <v>74</v>
      </c>
    </row>
    <row r="2752" spans="1:16" hidden="1" x14ac:dyDescent="0.25">
      <c r="A2752" t="s">
        <v>1426</v>
      </c>
      <c r="B2752" t="s">
        <v>23</v>
      </c>
      <c r="C2752" t="s">
        <v>24</v>
      </c>
      <c r="D2752" t="s">
        <v>103</v>
      </c>
      <c r="E2752" t="s">
        <v>1272</v>
      </c>
      <c r="F2752">
        <v>3</v>
      </c>
      <c r="G2752" s="10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hidden="1" x14ac:dyDescent="0.25">
      <c r="A2753" t="s">
        <v>1427</v>
      </c>
      <c r="B2753" t="s">
        <v>23</v>
      </c>
      <c r="C2753" t="s">
        <v>55</v>
      </c>
      <c r="D2753" t="s">
        <v>127</v>
      </c>
      <c r="E2753" t="s">
        <v>1271</v>
      </c>
      <c r="F2753">
        <v>9</v>
      </c>
      <c r="G2753" s="10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1428</v>
      </c>
      <c r="B2754" t="s">
        <v>25</v>
      </c>
      <c r="C2754" t="s">
        <v>132</v>
      </c>
      <c r="D2754" t="s">
        <v>104</v>
      </c>
      <c r="E2754" t="s">
        <v>1271</v>
      </c>
      <c r="F2754">
        <v>1</v>
      </c>
      <c r="G2754" s="10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hidden="1" x14ac:dyDescent="0.25">
      <c r="A2755" t="s">
        <v>1429</v>
      </c>
      <c r="B2755" t="s">
        <v>56</v>
      </c>
      <c r="C2755" t="s">
        <v>57</v>
      </c>
      <c r="D2755" t="s">
        <v>129</v>
      </c>
      <c r="E2755" t="s">
        <v>1271</v>
      </c>
      <c r="F2755">
        <v>4</v>
      </c>
      <c r="G2755" s="10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hidden="1" x14ac:dyDescent="0.25">
      <c r="A2756" t="s">
        <v>1430</v>
      </c>
      <c r="B2756" t="s">
        <v>26</v>
      </c>
      <c r="C2756" t="s">
        <v>27</v>
      </c>
      <c r="D2756" t="s">
        <v>105</v>
      </c>
      <c r="E2756" t="s">
        <v>1271</v>
      </c>
      <c r="F2756">
        <v>5</v>
      </c>
      <c r="G2756" s="10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hidden="1" x14ac:dyDescent="0.25">
      <c r="A2757" t="s">
        <v>1431</v>
      </c>
      <c r="B2757" t="s">
        <v>28</v>
      </c>
      <c r="C2757" t="s">
        <v>29</v>
      </c>
      <c r="D2757" t="s">
        <v>106</v>
      </c>
      <c r="E2757" t="s">
        <v>1271</v>
      </c>
      <c r="F2757">
        <v>11</v>
      </c>
      <c r="G2757" s="10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hidden="1" x14ac:dyDescent="0.25">
      <c r="A2758" t="s">
        <v>1432</v>
      </c>
      <c r="B2758" t="s">
        <v>30</v>
      </c>
      <c r="C2758" t="s">
        <v>8</v>
      </c>
      <c r="D2758" t="s">
        <v>107</v>
      </c>
      <c r="E2758" t="s">
        <v>1272</v>
      </c>
      <c r="F2758">
        <v>5</v>
      </c>
      <c r="G2758" s="10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74</v>
      </c>
      <c r="N2758" t="s">
        <v>75</v>
      </c>
      <c r="O2758" t="s">
        <v>75</v>
      </c>
      <c r="P2758" t="s">
        <v>73</v>
      </c>
    </row>
    <row r="2759" spans="1:16" hidden="1" x14ac:dyDescent="0.25">
      <c r="A2759" t="s">
        <v>1433</v>
      </c>
      <c r="B2759" t="s">
        <v>30</v>
      </c>
      <c r="C2759" t="s">
        <v>31</v>
      </c>
      <c r="D2759" t="s">
        <v>108</v>
      </c>
      <c r="E2759" t="s">
        <v>1271</v>
      </c>
      <c r="F2759">
        <v>8</v>
      </c>
      <c r="G2759" s="10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hidden="1" x14ac:dyDescent="0.25">
      <c r="A2760" t="s">
        <v>1434</v>
      </c>
      <c r="B2760" t="s">
        <v>32</v>
      </c>
      <c r="C2760" t="s">
        <v>33</v>
      </c>
      <c r="D2760" t="s">
        <v>109</v>
      </c>
      <c r="E2760" t="s">
        <v>1272</v>
      </c>
      <c r="F2760">
        <v>1</v>
      </c>
      <c r="G2760" s="10">
        <v>41226</v>
      </c>
      <c r="H2760">
        <v>46</v>
      </c>
      <c r="I2760">
        <v>2016</v>
      </c>
      <c r="J2760" t="s">
        <v>75</v>
      </c>
      <c r="K2760" t="s">
        <v>74</v>
      </c>
      <c r="L2760" t="s">
        <v>75</v>
      </c>
      <c r="M2760" t="s">
        <v>75</v>
      </c>
      <c r="N2760" t="s">
        <v>73</v>
      </c>
      <c r="O2760" t="s">
        <v>74</v>
      </c>
      <c r="P2760" t="s">
        <v>74</v>
      </c>
    </row>
    <row r="2761" spans="1:16" hidden="1" x14ac:dyDescent="0.25">
      <c r="A2761" t="s">
        <v>1435</v>
      </c>
      <c r="B2761" t="s">
        <v>32</v>
      </c>
      <c r="C2761" t="s">
        <v>34</v>
      </c>
      <c r="D2761" t="s">
        <v>122</v>
      </c>
      <c r="E2761" t="s">
        <v>1272</v>
      </c>
      <c r="F2761">
        <v>6</v>
      </c>
      <c r="G2761" s="10">
        <v>41226</v>
      </c>
      <c r="H2761">
        <v>46</v>
      </c>
      <c r="I2761">
        <v>2016</v>
      </c>
      <c r="J2761" t="s">
        <v>75</v>
      </c>
      <c r="K2761" t="s">
        <v>74</v>
      </c>
      <c r="L2761" t="s">
        <v>75</v>
      </c>
      <c r="M2761" t="s">
        <v>74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1436</v>
      </c>
      <c r="B2762" t="s">
        <v>35</v>
      </c>
      <c r="C2762" t="s">
        <v>36</v>
      </c>
      <c r="D2762" t="s">
        <v>110</v>
      </c>
      <c r="E2762" t="s">
        <v>1271</v>
      </c>
      <c r="F2762">
        <v>2</v>
      </c>
      <c r="G2762" s="10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1437</v>
      </c>
      <c r="B2763" t="s">
        <v>58</v>
      </c>
      <c r="C2763" t="s">
        <v>59</v>
      </c>
      <c r="D2763" t="s">
        <v>130</v>
      </c>
      <c r="E2763" t="s">
        <v>1272</v>
      </c>
      <c r="F2763">
        <v>5</v>
      </c>
      <c r="G2763" s="10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74</v>
      </c>
      <c r="N2763" t="s">
        <v>75</v>
      </c>
      <c r="O2763" t="s">
        <v>75</v>
      </c>
      <c r="P2763" t="s">
        <v>73</v>
      </c>
    </row>
    <row r="2764" spans="1:16" hidden="1" x14ac:dyDescent="0.25">
      <c r="A2764" t="s">
        <v>1438</v>
      </c>
      <c r="B2764" t="s">
        <v>37</v>
      </c>
      <c r="C2764" t="s">
        <v>38</v>
      </c>
      <c r="D2764" t="s">
        <v>111</v>
      </c>
      <c r="E2764" t="s">
        <v>1271</v>
      </c>
      <c r="F2764">
        <v>3</v>
      </c>
      <c r="G2764" s="10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76</v>
      </c>
      <c r="M2764" t="s">
        <v>77</v>
      </c>
      <c r="N2764" t="s">
        <v>73</v>
      </c>
      <c r="O2764" t="s">
        <v>74</v>
      </c>
      <c r="P2764" t="s">
        <v>75</v>
      </c>
    </row>
    <row r="2765" spans="1:16" hidden="1" x14ac:dyDescent="0.25">
      <c r="A2765" t="s">
        <v>1439</v>
      </c>
      <c r="B2765" t="s">
        <v>39</v>
      </c>
      <c r="C2765" t="s">
        <v>40</v>
      </c>
      <c r="D2765" t="s">
        <v>112</v>
      </c>
      <c r="E2765" t="s">
        <v>1272</v>
      </c>
      <c r="F2765">
        <v>4</v>
      </c>
      <c r="G2765" s="10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hidden="1" x14ac:dyDescent="0.25">
      <c r="A2766" t="s">
        <v>1440</v>
      </c>
      <c r="B2766" t="s">
        <v>41</v>
      </c>
      <c r="C2766" t="s">
        <v>42</v>
      </c>
      <c r="D2766" t="s">
        <v>113</v>
      </c>
      <c r="E2766" t="s">
        <v>1271</v>
      </c>
      <c r="F2766">
        <v>7</v>
      </c>
      <c r="G2766" s="10">
        <v>41226</v>
      </c>
      <c r="H2766">
        <v>46</v>
      </c>
      <c r="I2766">
        <v>2016</v>
      </c>
      <c r="J2766" t="s">
        <v>73</v>
      </c>
      <c r="K2766" t="s">
        <v>74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hidden="1" x14ac:dyDescent="0.25">
      <c r="A2767" t="s">
        <v>1441</v>
      </c>
      <c r="B2767" t="s">
        <v>43</v>
      </c>
      <c r="C2767" t="s">
        <v>44</v>
      </c>
      <c r="D2767" t="s">
        <v>114</v>
      </c>
      <c r="E2767" t="s">
        <v>1271</v>
      </c>
      <c r="F2767">
        <v>10</v>
      </c>
      <c r="G2767" s="10">
        <v>41226</v>
      </c>
      <c r="H2767">
        <v>46</v>
      </c>
      <c r="I2767">
        <v>2016</v>
      </c>
      <c r="J2767" t="s">
        <v>75</v>
      </c>
      <c r="K2767" t="s">
        <v>76</v>
      </c>
      <c r="L2767" t="s">
        <v>77</v>
      </c>
      <c r="M2767" t="s">
        <v>73</v>
      </c>
      <c r="N2767" t="s">
        <v>74</v>
      </c>
      <c r="O2767" t="s">
        <v>75</v>
      </c>
      <c r="P2767" t="s">
        <v>75</v>
      </c>
    </row>
    <row r="2768" spans="1:16" hidden="1" x14ac:dyDescent="0.25">
      <c r="A2768" t="s">
        <v>1442</v>
      </c>
      <c r="B2768" t="s">
        <v>45</v>
      </c>
      <c r="C2768" t="s">
        <v>46</v>
      </c>
      <c r="D2768" t="s">
        <v>115</v>
      </c>
      <c r="E2768" t="s">
        <v>1271</v>
      </c>
      <c r="F2768">
        <v>6</v>
      </c>
      <c r="G2768" s="10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hidden="1" x14ac:dyDescent="0.25">
      <c r="A2769" t="s">
        <v>1443</v>
      </c>
      <c r="B2769" t="s">
        <v>47</v>
      </c>
      <c r="C2769" t="s">
        <v>48</v>
      </c>
      <c r="D2769" t="s">
        <v>116</v>
      </c>
      <c r="E2769" t="s">
        <v>1271</v>
      </c>
      <c r="F2769">
        <v>6</v>
      </c>
      <c r="G2769" s="10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74</v>
      </c>
      <c r="M2769" t="s">
        <v>74</v>
      </c>
      <c r="N2769" t="s">
        <v>75</v>
      </c>
      <c r="O2769" t="s">
        <v>75</v>
      </c>
      <c r="P2769" t="s">
        <v>74</v>
      </c>
    </row>
    <row r="2770" spans="1:16" hidden="1" x14ac:dyDescent="0.25">
      <c r="A2770" t="s">
        <v>1444</v>
      </c>
      <c r="B2770" t="s">
        <v>49</v>
      </c>
      <c r="C2770" t="s">
        <v>50</v>
      </c>
      <c r="D2770" t="s">
        <v>117</v>
      </c>
      <c r="E2770" t="s">
        <v>1271</v>
      </c>
      <c r="F2770">
        <v>5</v>
      </c>
      <c r="G2770" s="10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hidden="1" x14ac:dyDescent="0.25">
      <c r="A2771" t="s">
        <v>1445</v>
      </c>
      <c r="B2771" t="s">
        <v>51</v>
      </c>
      <c r="C2771" t="s">
        <v>52</v>
      </c>
      <c r="D2771" t="s">
        <v>118</v>
      </c>
      <c r="E2771" t="s">
        <v>1271</v>
      </c>
      <c r="F2771">
        <v>1</v>
      </c>
      <c r="G2771" s="10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hidden="1" x14ac:dyDescent="0.25">
      <c r="A2772" t="s">
        <v>1446</v>
      </c>
      <c r="B2772" t="s">
        <v>53</v>
      </c>
      <c r="C2772" t="s">
        <v>54</v>
      </c>
      <c r="D2772" t="s">
        <v>119</v>
      </c>
      <c r="E2772" t="s">
        <v>1272</v>
      </c>
      <c r="F2772">
        <v>3</v>
      </c>
      <c r="G2772" s="10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75</v>
      </c>
      <c r="N2772" t="s">
        <v>75</v>
      </c>
      <c r="O2772" t="s">
        <v>74</v>
      </c>
      <c r="P2772" t="s">
        <v>75</v>
      </c>
    </row>
    <row r="2773" spans="1:16" hidden="1" x14ac:dyDescent="0.25">
      <c r="A2773" t="s">
        <v>1447</v>
      </c>
      <c r="B2773" t="s">
        <v>1289</v>
      </c>
      <c r="C2773" t="s">
        <v>132</v>
      </c>
      <c r="D2773" t="s">
        <v>1292</v>
      </c>
      <c r="E2773" t="s">
        <v>1272</v>
      </c>
      <c r="F2773">
        <v>5</v>
      </c>
      <c r="G2773" s="10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hidden="1" x14ac:dyDescent="0.25">
      <c r="A2774" t="s">
        <v>1448</v>
      </c>
      <c r="B2774" t="s">
        <v>1290</v>
      </c>
      <c r="C2774" t="s">
        <v>132</v>
      </c>
      <c r="D2774" t="s">
        <v>1294</v>
      </c>
      <c r="E2774" t="s">
        <v>1272</v>
      </c>
      <c r="F2774">
        <v>2</v>
      </c>
      <c r="G2774" s="10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hidden="1" x14ac:dyDescent="0.25">
      <c r="A2775" t="s">
        <v>1449</v>
      </c>
      <c r="B2775" t="s">
        <v>1296</v>
      </c>
      <c r="C2775" t="s">
        <v>1297</v>
      </c>
      <c r="D2775" t="s">
        <v>1293</v>
      </c>
      <c r="E2775" t="s">
        <v>1272</v>
      </c>
      <c r="F2775">
        <v>6</v>
      </c>
      <c r="G2775" s="10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hidden="1" x14ac:dyDescent="0.25">
      <c r="A2776" t="s">
        <v>1450</v>
      </c>
      <c r="B2776" t="s">
        <v>1291</v>
      </c>
      <c r="C2776" t="s">
        <v>132</v>
      </c>
      <c r="D2776" t="s">
        <v>1295</v>
      </c>
      <c r="E2776" t="s">
        <v>1272</v>
      </c>
      <c r="F2776">
        <v>1</v>
      </c>
      <c r="G2776" s="10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hidden="1" x14ac:dyDescent="0.25">
      <c r="A2777" t="s">
        <v>1451</v>
      </c>
      <c r="B2777" t="s">
        <v>3</v>
      </c>
      <c r="C2777" t="s">
        <v>4</v>
      </c>
      <c r="D2777" t="s">
        <v>90</v>
      </c>
      <c r="E2777" t="s">
        <v>1271</v>
      </c>
      <c r="F2777">
        <v>8</v>
      </c>
      <c r="G2777" s="10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1452</v>
      </c>
      <c r="B2778" t="s">
        <v>5</v>
      </c>
      <c r="C2778" t="s">
        <v>6</v>
      </c>
      <c r="D2778" t="s">
        <v>93</v>
      </c>
      <c r="E2778" t="s">
        <v>1271</v>
      </c>
      <c r="F2778">
        <v>9</v>
      </c>
      <c r="G2778" s="10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1453</v>
      </c>
      <c r="B2779" t="s">
        <v>7</v>
      </c>
      <c r="C2779" t="s">
        <v>8</v>
      </c>
      <c r="D2779" t="s">
        <v>94</v>
      </c>
      <c r="E2779" t="s">
        <v>1271</v>
      </c>
      <c r="F2779">
        <v>3</v>
      </c>
      <c r="G2779" s="10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75</v>
      </c>
    </row>
    <row r="2780" spans="1:16" hidden="1" x14ac:dyDescent="0.25">
      <c r="A2780" t="s">
        <v>1454</v>
      </c>
      <c r="B2780" t="s">
        <v>9</v>
      </c>
      <c r="C2780" t="s">
        <v>10</v>
      </c>
      <c r="D2780" t="s">
        <v>96</v>
      </c>
      <c r="E2780" t="s">
        <v>1271</v>
      </c>
      <c r="F2780">
        <v>4</v>
      </c>
      <c r="G2780" s="10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hidden="1" x14ac:dyDescent="0.25">
      <c r="A2781" t="s">
        <v>1455</v>
      </c>
      <c r="B2781" t="s">
        <v>11</v>
      </c>
      <c r="C2781" t="s">
        <v>12</v>
      </c>
      <c r="D2781" t="s">
        <v>97</v>
      </c>
      <c r="E2781" t="s">
        <v>1271</v>
      </c>
      <c r="F2781">
        <v>5</v>
      </c>
      <c r="G2781" s="10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75</v>
      </c>
      <c r="O2781" t="s">
        <v>75</v>
      </c>
      <c r="P2781" t="s">
        <v>76</v>
      </c>
    </row>
    <row r="2782" spans="1:16" hidden="1" x14ac:dyDescent="0.25">
      <c r="A2782" t="s">
        <v>1456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 x14ac:dyDescent="0.25">
      <c r="A2783" t="s">
        <v>1457</v>
      </c>
      <c r="B2783" t="s">
        <v>13</v>
      </c>
      <c r="C2783" t="s">
        <v>15</v>
      </c>
      <c r="D2783" t="s">
        <v>98</v>
      </c>
      <c r="E2783" t="s">
        <v>1272</v>
      </c>
      <c r="F2783">
        <v>6</v>
      </c>
      <c r="G2783" s="10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75</v>
      </c>
      <c r="M2783" t="s">
        <v>74</v>
      </c>
      <c r="N2783" t="s">
        <v>75</v>
      </c>
      <c r="O2783" t="s">
        <v>73</v>
      </c>
      <c r="P2783" t="s">
        <v>75</v>
      </c>
    </row>
    <row r="2784" spans="1:16" hidden="1" x14ac:dyDescent="0.25">
      <c r="A2784" t="s">
        <v>1458</v>
      </c>
      <c r="B2784" t="s">
        <v>16</v>
      </c>
      <c r="C2784" t="s">
        <v>17</v>
      </c>
      <c r="D2784" t="s">
        <v>99</v>
      </c>
      <c r="E2784" t="s">
        <v>1271</v>
      </c>
      <c r="F2784">
        <v>10</v>
      </c>
      <c r="G2784" s="10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hidden="1" x14ac:dyDescent="0.25">
      <c r="A2785" t="s">
        <v>1459</v>
      </c>
      <c r="B2785" t="s">
        <v>18</v>
      </c>
      <c r="C2785" t="s">
        <v>19</v>
      </c>
      <c r="D2785" t="s">
        <v>100</v>
      </c>
      <c r="E2785" t="s">
        <v>1271</v>
      </c>
      <c r="F2785">
        <v>1</v>
      </c>
      <c r="G2785" s="10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75</v>
      </c>
      <c r="M2785" t="s">
        <v>75</v>
      </c>
      <c r="N2785" t="s">
        <v>76</v>
      </c>
      <c r="O2785" t="s">
        <v>77</v>
      </c>
      <c r="P2785" t="s">
        <v>73</v>
      </c>
    </row>
    <row r="2786" spans="1:16" hidden="1" x14ac:dyDescent="0.25">
      <c r="A2786" t="s">
        <v>1460</v>
      </c>
      <c r="B2786" t="s">
        <v>20</v>
      </c>
      <c r="C2786" t="s">
        <v>21</v>
      </c>
      <c r="D2786" t="s">
        <v>101</v>
      </c>
      <c r="E2786" t="s">
        <v>1271</v>
      </c>
      <c r="F2786">
        <v>11</v>
      </c>
      <c r="G2786" s="10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hidden="1" x14ac:dyDescent="0.25">
      <c r="A2787" t="s">
        <v>1461</v>
      </c>
      <c r="B2787" t="s">
        <v>22</v>
      </c>
      <c r="C2787" t="s">
        <v>17</v>
      </c>
      <c r="D2787" t="s">
        <v>102</v>
      </c>
      <c r="E2787" t="s">
        <v>1272</v>
      </c>
      <c r="F2787">
        <v>3</v>
      </c>
      <c r="G2787" s="10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75</v>
      </c>
      <c r="N2787" t="s">
        <v>75</v>
      </c>
      <c r="O2787" t="s">
        <v>74</v>
      </c>
      <c r="P2787" t="s">
        <v>75</v>
      </c>
    </row>
    <row r="2788" spans="1:16" hidden="1" x14ac:dyDescent="0.25">
      <c r="A2788" t="s">
        <v>1462</v>
      </c>
      <c r="B2788" t="s">
        <v>23</v>
      </c>
      <c r="C2788" t="s">
        <v>24</v>
      </c>
      <c r="D2788" t="s">
        <v>103</v>
      </c>
      <c r="E2788" t="s">
        <v>1272</v>
      </c>
      <c r="F2788">
        <v>4</v>
      </c>
      <c r="G2788" s="10">
        <v>41233</v>
      </c>
      <c r="H2788">
        <v>47</v>
      </c>
      <c r="I2788">
        <v>2016</v>
      </c>
      <c r="J2788" t="s">
        <v>75</v>
      </c>
      <c r="K2788" t="s">
        <v>73</v>
      </c>
      <c r="L2788" t="s">
        <v>74</v>
      </c>
      <c r="M2788" t="s">
        <v>75</v>
      </c>
      <c r="N2788" t="s">
        <v>74</v>
      </c>
      <c r="O2788" t="s">
        <v>75</v>
      </c>
      <c r="P2788" t="s">
        <v>75</v>
      </c>
    </row>
    <row r="2789" spans="1:16" hidden="1" x14ac:dyDescent="0.25">
      <c r="A2789" t="s">
        <v>1463</v>
      </c>
      <c r="B2789" t="s">
        <v>23</v>
      </c>
      <c r="C2789" t="s">
        <v>55</v>
      </c>
      <c r="D2789" t="s">
        <v>127</v>
      </c>
      <c r="E2789" t="s">
        <v>1271</v>
      </c>
      <c r="F2789">
        <v>10</v>
      </c>
      <c r="G2789" s="10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74</v>
      </c>
      <c r="O2789" t="s">
        <v>75</v>
      </c>
      <c r="P2789" t="s">
        <v>75</v>
      </c>
    </row>
    <row r="2790" spans="1:16" hidden="1" x14ac:dyDescent="0.25">
      <c r="A2790" t="s">
        <v>1464</v>
      </c>
      <c r="B2790" t="s">
        <v>25</v>
      </c>
      <c r="C2790" t="s">
        <v>132</v>
      </c>
      <c r="D2790" t="s">
        <v>104</v>
      </c>
      <c r="E2790" t="s">
        <v>1271</v>
      </c>
      <c r="F2790">
        <v>2</v>
      </c>
      <c r="G2790" s="10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75</v>
      </c>
      <c r="M2790" t="s">
        <v>75</v>
      </c>
      <c r="N2790" t="s">
        <v>75</v>
      </c>
      <c r="O2790" t="s">
        <v>73</v>
      </c>
      <c r="P2790" t="s">
        <v>75</v>
      </c>
    </row>
    <row r="2791" spans="1:16" hidden="1" x14ac:dyDescent="0.25">
      <c r="A2791" t="s">
        <v>1465</v>
      </c>
      <c r="B2791" t="s">
        <v>56</v>
      </c>
      <c r="C2791" t="s">
        <v>57</v>
      </c>
      <c r="D2791" t="s">
        <v>129</v>
      </c>
      <c r="E2791" t="s">
        <v>1271</v>
      </c>
      <c r="F2791">
        <v>5</v>
      </c>
      <c r="G2791" s="10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hidden="1" x14ac:dyDescent="0.25">
      <c r="A2792" t="s">
        <v>1466</v>
      </c>
      <c r="B2792" t="s">
        <v>26</v>
      </c>
      <c r="C2792" t="s">
        <v>27</v>
      </c>
      <c r="D2792" t="s">
        <v>105</v>
      </c>
      <c r="E2792" t="s">
        <v>1271</v>
      </c>
      <c r="F2792">
        <v>6</v>
      </c>
      <c r="G2792" s="10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74</v>
      </c>
      <c r="N2792" t="s">
        <v>75</v>
      </c>
      <c r="O2792" t="s">
        <v>75</v>
      </c>
      <c r="P2792" t="s">
        <v>74</v>
      </c>
    </row>
    <row r="2793" spans="1:16" hidden="1" x14ac:dyDescent="0.25">
      <c r="A2793" t="s">
        <v>1467</v>
      </c>
      <c r="B2793" t="s">
        <v>28</v>
      </c>
      <c r="C2793" t="s">
        <v>29</v>
      </c>
      <c r="D2793" t="s">
        <v>106</v>
      </c>
      <c r="E2793" t="s">
        <v>1271</v>
      </c>
      <c r="F2793">
        <v>1</v>
      </c>
      <c r="G2793" s="10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hidden="1" x14ac:dyDescent="0.25">
      <c r="A2794" t="s">
        <v>1468</v>
      </c>
      <c r="B2794" t="s">
        <v>30</v>
      </c>
      <c r="C2794" t="s">
        <v>8</v>
      </c>
      <c r="D2794" t="s">
        <v>107</v>
      </c>
      <c r="E2794" t="s">
        <v>1272</v>
      </c>
      <c r="F2794">
        <v>6</v>
      </c>
      <c r="G2794" s="10">
        <v>41233</v>
      </c>
      <c r="H2794">
        <v>47</v>
      </c>
      <c r="I2794">
        <v>2016</v>
      </c>
      <c r="J2794" t="s">
        <v>75</v>
      </c>
      <c r="K2794" t="s">
        <v>74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hidden="1" x14ac:dyDescent="0.25">
      <c r="A2795" t="s">
        <v>1469</v>
      </c>
      <c r="B2795" t="s">
        <v>30</v>
      </c>
      <c r="C2795" t="s">
        <v>31</v>
      </c>
      <c r="D2795" t="s">
        <v>108</v>
      </c>
      <c r="E2795" t="s">
        <v>1271</v>
      </c>
      <c r="F2795">
        <v>9</v>
      </c>
      <c r="G2795" s="10">
        <v>41233</v>
      </c>
      <c r="H2795">
        <v>47</v>
      </c>
      <c r="I2795">
        <v>2016</v>
      </c>
      <c r="J2795" t="s">
        <v>75</v>
      </c>
      <c r="K2795" t="s">
        <v>74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hidden="1" x14ac:dyDescent="0.25">
      <c r="A2796" t="s">
        <v>1470</v>
      </c>
      <c r="B2796" t="s">
        <v>32</v>
      </c>
      <c r="C2796" t="s">
        <v>33</v>
      </c>
      <c r="D2796" t="s">
        <v>109</v>
      </c>
      <c r="E2796" t="s">
        <v>1272</v>
      </c>
      <c r="F2796">
        <v>2</v>
      </c>
      <c r="G2796" s="10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74</v>
      </c>
      <c r="M2796" t="s">
        <v>73</v>
      </c>
      <c r="N2796" t="s">
        <v>74</v>
      </c>
      <c r="O2796" t="s">
        <v>75</v>
      </c>
      <c r="P2796" t="s">
        <v>74</v>
      </c>
    </row>
    <row r="2797" spans="1:16" hidden="1" x14ac:dyDescent="0.25">
      <c r="A2797" t="s">
        <v>1471</v>
      </c>
      <c r="B2797" t="s">
        <v>32</v>
      </c>
      <c r="C2797" t="s">
        <v>34</v>
      </c>
      <c r="D2797" t="s">
        <v>122</v>
      </c>
      <c r="E2797" t="s">
        <v>1272</v>
      </c>
      <c r="F2797">
        <v>1</v>
      </c>
      <c r="G2797" s="10">
        <v>41233</v>
      </c>
      <c r="H2797">
        <v>47</v>
      </c>
      <c r="I2797">
        <v>2016</v>
      </c>
      <c r="J2797" t="s">
        <v>75</v>
      </c>
      <c r="K2797" t="s">
        <v>74</v>
      </c>
      <c r="L2797" t="s">
        <v>75</v>
      </c>
      <c r="M2797" t="s">
        <v>75</v>
      </c>
      <c r="N2797" t="s">
        <v>73</v>
      </c>
      <c r="O2797" t="s">
        <v>74</v>
      </c>
      <c r="P2797" t="s">
        <v>74</v>
      </c>
    </row>
    <row r="2798" spans="1:16" hidden="1" x14ac:dyDescent="0.25">
      <c r="A2798" t="s">
        <v>1472</v>
      </c>
      <c r="B2798" t="s">
        <v>35</v>
      </c>
      <c r="C2798" t="s">
        <v>36</v>
      </c>
      <c r="D2798" t="s">
        <v>110</v>
      </c>
      <c r="E2798" t="s">
        <v>1271</v>
      </c>
      <c r="F2798">
        <v>3</v>
      </c>
      <c r="G2798" s="10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hidden="1" x14ac:dyDescent="0.25">
      <c r="A2799" t="s">
        <v>1473</v>
      </c>
      <c r="B2799" t="s">
        <v>58</v>
      </c>
      <c r="C2799" t="s">
        <v>59</v>
      </c>
      <c r="D2799" t="s">
        <v>130</v>
      </c>
      <c r="E2799" t="s">
        <v>1272</v>
      </c>
      <c r="F2799">
        <v>6</v>
      </c>
      <c r="G2799" s="10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1474</v>
      </c>
      <c r="B2800" t="s">
        <v>37</v>
      </c>
      <c r="C2800" t="s">
        <v>38</v>
      </c>
      <c r="D2800" t="s">
        <v>111</v>
      </c>
      <c r="E2800" t="s">
        <v>1271</v>
      </c>
      <c r="F2800">
        <v>4</v>
      </c>
      <c r="G2800" s="10">
        <v>41233</v>
      </c>
      <c r="H2800">
        <v>47</v>
      </c>
      <c r="I2800">
        <v>2016</v>
      </c>
      <c r="J2800" t="s">
        <v>74</v>
      </c>
      <c r="K2800" t="s">
        <v>75</v>
      </c>
      <c r="L2800" t="s">
        <v>74</v>
      </c>
      <c r="M2800" t="s">
        <v>73</v>
      </c>
      <c r="N2800" t="s">
        <v>74</v>
      </c>
      <c r="O2800" t="s">
        <v>74</v>
      </c>
      <c r="P2800" t="s">
        <v>75</v>
      </c>
    </row>
    <row r="2801" spans="1:16" hidden="1" x14ac:dyDescent="0.25">
      <c r="A2801" t="s">
        <v>1475</v>
      </c>
      <c r="B2801" t="s">
        <v>39</v>
      </c>
      <c r="C2801" t="s">
        <v>40</v>
      </c>
      <c r="D2801" t="s">
        <v>112</v>
      </c>
      <c r="E2801" t="s">
        <v>1272</v>
      </c>
      <c r="F2801">
        <v>5</v>
      </c>
      <c r="G2801" s="10">
        <v>41233</v>
      </c>
      <c r="H2801">
        <v>47</v>
      </c>
      <c r="I2801">
        <v>2016</v>
      </c>
      <c r="J2801" t="s">
        <v>73</v>
      </c>
      <c r="K2801" t="s">
        <v>75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hidden="1" x14ac:dyDescent="0.25">
      <c r="A2802" t="s">
        <v>1476</v>
      </c>
      <c r="B2802" t="s">
        <v>41</v>
      </c>
      <c r="C2802" t="s">
        <v>42</v>
      </c>
      <c r="D2802" t="s">
        <v>113</v>
      </c>
      <c r="E2802" t="s">
        <v>1271</v>
      </c>
      <c r="F2802">
        <v>8</v>
      </c>
      <c r="G2802" s="10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hidden="1" x14ac:dyDescent="0.25">
      <c r="A2803" t="s">
        <v>1477</v>
      </c>
      <c r="B2803" t="s">
        <v>43</v>
      </c>
      <c r="C2803" t="s">
        <v>44</v>
      </c>
      <c r="D2803" t="s">
        <v>114</v>
      </c>
      <c r="E2803" t="s">
        <v>1271</v>
      </c>
      <c r="F2803">
        <v>11</v>
      </c>
      <c r="G2803" s="10">
        <v>41233</v>
      </c>
      <c r="H2803">
        <v>47</v>
      </c>
      <c r="I2803">
        <v>2016</v>
      </c>
      <c r="J2803" t="s">
        <v>75</v>
      </c>
      <c r="K2803" t="s">
        <v>75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hidden="1" x14ac:dyDescent="0.25">
      <c r="A2804" t="s">
        <v>1478</v>
      </c>
      <c r="B2804" t="s">
        <v>45</v>
      </c>
      <c r="C2804" t="s">
        <v>46</v>
      </c>
      <c r="D2804" t="s">
        <v>115</v>
      </c>
      <c r="E2804" t="s">
        <v>1271</v>
      </c>
      <c r="F2804">
        <v>7</v>
      </c>
      <c r="G2804" s="10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hidden="1" x14ac:dyDescent="0.25">
      <c r="A2805" t="s">
        <v>1479</v>
      </c>
      <c r="B2805" t="s">
        <v>47</v>
      </c>
      <c r="C2805" t="s">
        <v>48</v>
      </c>
      <c r="D2805" t="s">
        <v>116</v>
      </c>
      <c r="E2805" t="s">
        <v>1271</v>
      </c>
      <c r="F2805">
        <v>7</v>
      </c>
      <c r="G2805" s="10">
        <v>41233</v>
      </c>
      <c r="H2805">
        <v>47</v>
      </c>
      <c r="I2805">
        <v>2016</v>
      </c>
      <c r="J2805" t="s">
        <v>73</v>
      </c>
      <c r="K2805" t="s">
        <v>74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hidden="1" x14ac:dyDescent="0.25">
      <c r="A2806" t="s">
        <v>1480</v>
      </c>
      <c r="B2806" t="s">
        <v>49</v>
      </c>
      <c r="C2806" t="s">
        <v>50</v>
      </c>
      <c r="D2806" t="s">
        <v>117</v>
      </c>
      <c r="E2806" t="s">
        <v>1271</v>
      </c>
      <c r="F2806">
        <v>6</v>
      </c>
      <c r="G2806" s="10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hidden="1" x14ac:dyDescent="0.25">
      <c r="A2807" t="s">
        <v>1481</v>
      </c>
      <c r="B2807" t="s">
        <v>51</v>
      </c>
      <c r="C2807" t="s">
        <v>52</v>
      </c>
      <c r="D2807" t="s">
        <v>118</v>
      </c>
      <c r="E2807" t="s">
        <v>1271</v>
      </c>
      <c r="F2807">
        <v>2</v>
      </c>
      <c r="G2807" s="10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hidden="1" x14ac:dyDescent="0.25">
      <c r="A2808" t="s">
        <v>1482</v>
      </c>
      <c r="B2808" t="s">
        <v>53</v>
      </c>
      <c r="C2808" t="s">
        <v>54</v>
      </c>
      <c r="D2808" t="s">
        <v>119</v>
      </c>
      <c r="E2808" t="s">
        <v>1272</v>
      </c>
      <c r="F2808">
        <v>4</v>
      </c>
      <c r="G2808" s="10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74</v>
      </c>
      <c r="M2808" t="s">
        <v>75</v>
      </c>
      <c r="N2808" t="s">
        <v>74</v>
      </c>
      <c r="O2808" t="s">
        <v>75</v>
      </c>
      <c r="P2808" t="s">
        <v>75</v>
      </c>
    </row>
    <row r="2809" spans="1:16" hidden="1" x14ac:dyDescent="0.25">
      <c r="A2809" t="s">
        <v>1483</v>
      </c>
      <c r="B2809" t="s">
        <v>1289</v>
      </c>
      <c r="C2809" t="s">
        <v>132</v>
      </c>
      <c r="D2809" t="s">
        <v>1292</v>
      </c>
      <c r="E2809" t="s">
        <v>1272</v>
      </c>
      <c r="F2809">
        <v>6</v>
      </c>
      <c r="G2809" s="10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hidden="1" x14ac:dyDescent="0.25">
      <c r="A2810" t="s">
        <v>1484</v>
      </c>
      <c r="B2810" t="s">
        <v>1290</v>
      </c>
      <c r="C2810" t="s">
        <v>132</v>
      </c>
      <c r="D2810" t="s">
        <v>1294</v>
      </c>
      <c r="E2810" t="s">
        <v>1272</v>
      </c>
      <c r="F2810">
        <v>3</v>
      </c>
      <c r="G2810" s="10">
        <v>41233</v>
      </c>
      <c r="H2810">
        <v>47</v>
      </c>
      <c r="I2810">
        <v>2016</v>
      </c>
      <c r="J2810" t="s">
        <v>74</v>
      </c>
      <c r="K2810" t="s">
        <v>74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hidden="1" x14ac:dyDescent="0.25">
      <c r="A2811" t="s">
        <v>1485</v>
      </c>
      <c r="B2811" t="s">
        <v>1296</v>
      </c>
      <c r="C2811" t="s">
        <v>1297</v>
      </c>
      <c r="D2811" t="s">
        <v>1293</v>
      </c>
      <c r="E2811" t="s">
        <v>1272</v>
      </c>
      <c r="F2811">
        <v>1</v>
      </c>
      <c r="G2811" s="10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hidden="1" x14ac:dyDescent="0.25">
      <c r="A2812" t="s">
        <v>1486</v>
      </c>
      <c r="B2812" t="s">
        <v>1291</v>
      </c>
      <c r="C2812" t="s">
        <v>132</v>
      </c>
      <c r="D2812" t="s">
        <v>1295</v>
      </c>
      <c r="E2812" t="s">
        <v>1272</v>
      </c>
      <c r="F2812">
        <v>2</v>
      </c>
      <c r="G2812" s="10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hidden="1" x14ac:dyDescent="0.25">
      <c r="A2813" t="s">
        <v>1487</v>
      </c>
      <c r="B2813" t="s">
        <v>3</v>
      </c>
      <c r="C2813" t="s">
        <v>4</v>
      </c>
      <c r="D2813" t="s">
        <v>90</v>
      </c>
      <c r="E2813" t="s">
        <v>1271</v>
      </c>
      <c r="F2813">
        <v>9</v>
      </c>
      <c r="G2813" s="10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1488</v>
      </c>
      <c r="B2814" t="s">
        <v>5</v>
      </c>
      <c r="C2814" t="s">
        <v>6</v>
      </c>
      <c r="D2814" t="s">
        <v>93</v>
      </c>
      <c r="E2814" t="s">
        <v>1271</v>
      </c>
      <c r="F2814">
        <v>10</v>
      </c>
      <c r="G2814" s="10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hidden="1" x14ac:dyDescent="0.25">
      <c r="A2815" t="s">
        <v>1489</v>
      </c>
      <c r="B2815" t="s">
        <v>7</v>
      </c>
      <c r="C2815" t="s">
        <v>8</v>
      </c>
      <c r="D2815" t="s">
        <v>94</v>
      </c>
      <c r="E2815" t="s">
        <v>1271</v>
      </c>
      <c r="F2815">
        <v>4</v>
      </c>
      <c r="G2815" s="10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74</v>
      </c>
      <c r="O2815" t="s">
        <v>74</v>
      </c>
      <c r="P2815" t="s">
        <v>75</v>
      </c>
    </row>
    <row r="2816" spans="1:16" hidden="1" x14ac:dyDescent="0.25">
      <c r="A2816" t="s">
        <v>1490</v>
      </c>
      <c r="B2816" t="s">
        <v>9</v>
      </c>
      <c r="C2816" t="s">
        <v>10</v>
      </c>
      <c r="D2816" t="s">
        <v>96</v>
      </c>
      <c r="E2816" t="s">
        <v>1271</v>
      </c>
      <c r="F2816">
        <v>5</v>
      </c>
      <c r="G2816" s="10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74</v>
      </c>
      <c r="N2816" t="s">
        <v>75</v>
      </c>
      <c r="O2816" t="s">
        <v>75</v>
      </c>
      <c r="P2816" t="s">
        <v>76</v>
      </c>
    </row>
    <row r="2817" spans="1:16" hidden="1" x14ac:dyDescent="0.25">
      <c r="A2817" t="s">
        <v>1491</v>
      </c>
      <c r="B2817" t="s">
        <v>11</v>
      </c>
      <c r="C2817" t="s">
        <v>12</v>
      </c>
      <c r="D2817" t="s">
        <v>97</v>
      </c>
      <c r="E2817" t="s">
        <v>1271</v>
      </c>
      <c r="F2817">
        <v>6</v>
      </c>
      <c r="G2817" s="10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75</v>
      </c>
      <c r="O2817" t="s">
        <v>75</v>
      </c>
      <c r="P2817" t="s">
        <v>74</v>
      </c>
    </row>
    <row r="2818" spans="1:16" hidden="1" x14ac:dyDescent="0.25">
      <c r="A2818" t="s">
        <v>1492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 x14ac:dyDescent="0.25">
      <c r="A2819" t="s">
        <v>1493</v>
      </c>
      <c r="B2819" t="s">
        <v>13</v>
      </c>
      <c r="C2819" t="s">
        <v>15</v>
      </c>
      <c r="D2819" t="s">
        <v>98</v>
      </c>
      <c r="E2819" t="s">
        <v>1272</v>
      </c>
      <c r="F2819">
        <v>1</v>
      </c>
      <c r="G2819" s="10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75</v>
      </c>
      <c r="N2819" t="s">
        <v>73</v>
      </c>
      <c r="O2819" t="s">
        <v>74</v>
      </c>
      <c r="P2819" t="s">
        <v>74</v>
      </c>
    </row>
    <row r="2820" spans="1:16" hidden="1" x14ac:dyDescent="0.25">
      <c r="A2820" t="s">
        <v>1494</v>
      </c>
      <c r="B2820" t="s">
        <v>16</v>
      </c>
      <c r="C2820" t="s">
        <v>17</v>
      </c>
      <c r="D2820" t="s">
        <v>99</v>
      </c>
      <c r="E2820" t="s">
        <v>1271</v>
      </c>
      <c r="F2820">
        <v>11</v>
      </c>
      <c r="G2820" s="10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hidden="1" x14ac:dyDescent="0.25">
      <c r="A2821" t="s">
        <v>1495</v>
      </c>
      <c r="B2821" t="s">
        <v>18</v>
      </c>
      <c r="C2821" t="s">
        <v>19</v>
      </c>
      <c r="D2821" t="s">
        <v>100</v>
      </c>
      <c r="E2821" t="s">
        <v>1271</v>
      </c>
      <c r="F2821">
        <v>2</v>
      </c>
      <c r="G2821" s="10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75</v>
      </c>
    </row>
    <row r="2822" spans="1:16" hidden="1" x14ac:dyDescent="0.25">
      <c r="A2822" t="s">
        <v>1496</v>
      </c>
      <c r="B2822" t="s">
        <v>20</v>
      </c>
      <c r="C2822" t="s">
        <v>21</v>
      </c>
      <c r="D2822" t="s">
        <v>101</v>
      </c>
      <c r="E2822" t="s">
        <v>1271</v>
      </c>
      <c r="F2822">
        <v>1</v>
      </c>
      <c r="G2822" s="10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hidden="1" x14ac:dyDescent="0.25">
      <c r="A2823" t="s">
        <v>1497</v>
      </c>
      <c r="B2823" t="s">
        <v>22</v>
      </c>
      <c r="C2823" t="s">
        <v>17</v>
      </c>
      <c r="D2823" t="s">
        <v>102</v>
      </c>
      <c r="E2823" t="s">
        <v>1272</v>
      </c>
      <c r="F2823">
        <v>4</v>
      </c>
      <c r="G2823" s="10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hidden="1" x14ac:dyDescent="0.25">
      <c r="A2824" t="s">
        <v>1498</v>
      </c>
      <c r="B2824" t="s">
        <v>23</v>
      </c>
      <c r="C2824" t="s">
        <v>24</v>
      </c>
      <c r="D2824" t="s">
        <v>103</v>
      </c>
      <c r="E2824" t="s">
        <v>1272</v>
      </c>
      <c r="F2824">
        <v>5</v>
      </c>
      <c r="G2824" s="10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hidden="1" x14ac:dyDescent="0.25">
      <c r="A2825" t="s">
        <v>1499</v>
      </c>
      <c r="B2825" t="s">
        <v>23</v>
      </c>
      <c r="C2825" t="s">
        <v>55</v>
      </c>
      <c r="D2825" t="s">
        <v>127</v>
      </c>
      <c r="E2825" t="s">
        <v>1271</v>
      </c>
      <c r="F2825">
        <v>11</v>
      </c>
      <c r="G2825" s="10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hidden="1" x14ac:dyDescent="0.25">
      <c r="A2826" t="s">
        <v>1500</v>
      </c>
      <c r="B2826" t="s">
        <v>25</v>
      </c>
      <c r="C2826" t="s">
        <v>132</v>
      </c>
      <c r="D2826" t="s">
        <v>104</v>
      </c>
      <c r="E2826" t="s">
        <v>1271</v>
      </c>
      <c r="F2826">
        <v>3</v>
      </c>
      <c r="G2826" s="10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hidden="1" x14ac:dyDescent="0.25">
      <c r="A2827" t="s">
        <v>1501</v>
      </c>
      <c r="B2827" t="s">
        <v>56</v>
      </c>
      <c r="C2827" t="s">
        <v>57</v>
      </c>
      <c r="D2827" t="s">
        <v>129</v>
      </c>
      <c r="E2827" t="s">
        <v>1271</v>
      </c>
      <c r="F2827">
        <v>6</v>
      </c>
      <c r="G2827" s="10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hidden="1" x14ac:dyDescent="0.25">
      <c r="A2828" t="s">
        <v>1502</v>
      </c>
      <c r="B2828" t="s">
        <v>26</v>
      </c>
      <c r="C2828" t="s">
        <v>27</v>
      </c>
      <c r="D2828" t="s">
        <v>105</v>
      </c>
      <c r="E2828" t="s">
        <v>1271</v>
      </c>
      <c r="F2828">
        <v>7</v>
      </c>
      <c r="G2828" s="10">
        <v>41240</v>
      </c>
      <c r="H2828">
        <v>48</v>
      </c>
      <c r="I2828">
        <v>2016</v>
      </c>
      <c r="J2828" t="s">
        <v>73</v>
      </c>
      <c r="K2828" t="s">
        <v>74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hidden="1" x14ac:dyDescent="0.25">
      <c r="A2829" t="s">
        <v>1503</v>
      </c>
      <c r="B2829" t="s">
        <v>28</v>
      </c>
      <c r="C2829" t="s">
        <v>29</v>
      </c>
      <c r="D2829" t="s">
        <v>106</v>
      </c>
      <c r="E2829" t="s">
        <v>1271</v>
      </c>
      <c r="F2829">
        <v>2</v>
      </c>
      <c r="G2829" s="10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75</v>
      </c>
      <c r="N2829" t="s">
        <v>75</v>
      </c>
      <c r="O2829" t="s">
        <v>73</v>
      </c>
      <c r="P2829" t="s">
        <v>75</v>
      </c>
    </row>
    <row r="2830" spans="1:16" hidden="1" x14ac:dyDescent="0.25">
      <c r="A2830" t="s">
        <v>1504</v>
      </c>
      <c r="B2830" t="s">
        <v>30</v>
      </c>
      <c r="C2830" t="s">
        <v>8</v>
      </c>
      <c r="D2830" t="s">
        <v>107</v>
      </c>
      <c r="E2830" t="s">
        <v>1272</v>
      </c>
      <c r="F2830">
        <v>1</v>
      </c>
      <c r="G2830" s="10">
        <v>41240</v>
      </c>
      <c r="H2830">
        <v>48</v>
      </c>
      <c r="I2830">
        <v>2016</v>
      </c>
      <c r="J2830" t="s">
        <v>75</v>
      </c>
      <c r="K2830" t="s">
        <v>74</v>
      </c>
      <c r="L2830" t="s">
        <v>75</v>
      </c>
      <c r="M2830" t="s">
        <v>75</v>
      </c>
      <c r="N2830" t="s">
        <v>73</v>
      </c>
      <c r="O2830" t="s">
        <v>74</v>
      </c>
      <c r="P2830" t="s">
        <v>74</v>
      </c>
    </row>
    <row r="2831" spans="1:16" hidden="1" x14ac:dyDescent="0.25">
      <c r="A2831" t="s">
        <v>1505</v>
      </c>
      <c r="B2831" t="s">
        <v>30</v>
      </c>
      <c r="C2831" t="s">
        <v>31</v>
      </c>
      <c r="D2831" t="s">
        <v>108</v>
      </c>
      <c r="E2831" t="s">
        <v>1271</v>
      </c>
      <c r="F2831">
        <v>10</v>
      </c>
      <c r="G2831" s="10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hidden="1" x14ac:dyDescent="0.25">
      <c r="A2832" t="s">
        <v>1506</v>
      </c>
      <c r="B2832" t="s">
        <v>32</v>
      </c>
      <c r="C2832" t="s">
        <v>33</v>
      </c>
      <c r="D2832" t="s">
        <v>109</v>
      </c>
      <c r="E2832" t="s">
        <v>1272</v>
      </c>
      <c r="F2832">
        <v>3</v>
      </c>
      <c r="G2832" s="10">
        <v>41240</v>
      </c>
      <c r="H2832">
        <v>48</v>
      </c>
      <c r="I2832">
        <v>2016</v>
      </c>
      <c r="J2832" t="s">
        <v>74</v>
      </c>
      <c r="K2832" t="s">
        <v>74</v>
      </c>
      <c r="L2832" t="s">
        <v>73</v>
      </c>
      <c r="M2832" t="s">
        <v>75</v>
      </c>
      <c r="N2832" t="s">
        <v>75</v>
      </c>
      <c r="O2832" t="s">
        <v>74</v>
      </c>
      <c r="P2832" t="s">
        <v>75</v>
      </c>
    </row>
    <row r="2833" spans="1:16" hidden="1" x14ac:dyDescent="0.25">
      <c r="A2833" t="s">
        <v>1507</v>
      </c>
      <c r="B2833" t="s">
        <v>32</v>
      </c>
      <c r="C2833" t="s">
        <v>34</v>
      </c>
      <c r="D2833" t="s">
        <v>122</v>
      </c>
      <c r="E2833" t="s">
        <v>1272</v>
      </c>
      <c r="F2833">
        <v>2</v>
      </c>
      <c r="G2833" s="10">
        <v>41240</v>
      </c>
      <c r="H2833">
        <v>48</v>
      </c>
      <c r="I2833">
        <v>2016</v>
      </c>
      <c r="J2833" t="s">
        <v>74</v>
      </c>
      <c r="K2833" t="s">
        <v>75</v>
      </c>
      <c r="L2833" t="s">
        <v>74</v>
      </c>
      <c r="M2833" t="s">
        <v>73</v>
      </c>
      <c r="N2833" t="s">
        <v>74</v>
      </c>
      <c r="O2833" t="s">
        <v>75</v>
      </c>
      <c r="P2833" t="s">
        <v>74</v>
      </c>
    </row>
    <row r="2834" spans="1:16" hidden="1" x14ac:dyDescent="0.25">
      <c r="A2834" t="s">
        <v>1508</v>
      </c>
      <c r="B2834" t="s">
        <v>35</v>
      </c>
      <c r="C2834" t="s">
        <v>36</v>
      </c>
      <c r="D2834" t="s">
        <v>110</v>
      </c>
      <c r="E2834" t="s">
        <v>1271</v>
      </c>
      <c r="F2834">
        <v>4</v>
      </c>
      <c r="G2834" s="10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74</v>
      </c>
      <c r="O2834" t="s">
        <v>74</v>
      </c>
      <c r="P2834" t="s">
        <v>75</v>
      </c>
    </row>
    <row r="2835" spans="1:16" hidden="1" x14ac:dyDescent="0.25">
      <c r="A2835" t="s">
        <v>1509</v>
      </c>
      <c r="B2835" t="s">
        <v>58</v>
      </c>
      <c r="C2835" t="s">
        <v>59</v>
      </c>
      <c r="D2835" t="s">
        <v>130</v>
      </c>
      <c r="E2835" t="s">
        <v>1272</v>
      </c>
      <c r="F2835">
        <v>1</v>
      </c>
      <c r="G2835" s="10">
        <v>41240</v>
      </c>
      <c r="H2835">
        <v>48</v>
      </c>
      <c r="I2835">
        <v>2016</v>
      </c>
      <c r="J2835" t="s">
        <v>75</v>
      </c>
      <c r="K2835" t="s">
        <v>74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1510</v>
      </c>
      <c r="B2836" t="s">
        <v>37</v>
      </c>
      <c r="C2836" t="s">
        <v>38</v>
      </c>
      <c r="D2836" t="s">
        <v>111</v>
      </c>
      <c r="E2836" t="s">
        <v>1271</v>
      </c>
      <c r="F2836">
        <v>5</v>
      </c>
      <c r="G2836" s="10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hidden="1" x14ac:dyDescent="0.25">
      <c r="A2837" t="s">
        <v>1511</v>
      </c>
      <c r="B2837" t="s">
        <v>39</v>
      </c>
      <c r="C2837" t="s">
        <v>40</v>
      </c>
      <c r="D2837" t="s">
        <v>112</v>
      </c>
      <c r="E2837" t="s">
        <v>1272</v>
      </c>
      <c r="F2837">
        <v>6</v>
      </c>
      <c r="G2837" s="10">
        <v>41240</v>
      </c>
      <c r="H2837">
        <v>48</v>
      </c>
      <c r="I2837">
        <v>2016</v>
      </c>
      <c r="J2837" t="s">
        <v>75</v>
      </c>
      <c r="K2837" t="s">
        <v>74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hidden="1" x14ac:dyDescent="0.25">
      <c r="A2838" t="s">
        <v>1512</v>
      </c>
      <c r="B2838" t="s">
        <v>41</v>
      </c>
      <c r="C2838" t="s">
        <v>42</v>
      </c>
      <c r="D2838" t="s">
        <v>113</v>
      </c>
      <c r="E2838" t="s">
        <v>1271</v>
      </c>
      <c r="F2838">
        <v>9</v>
      </c>
      <c r="G2838" s="10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75</v>
      </c>
      <c r="N2838" t="s">
        <v>73</v>
      </c>
      <c r="O2838" t="s">
        <v>74</v>
      </c>
      <c r="P2838" t="s">
        <v>74</v>
      </c>
    </row>
    <row r="2839" spans="1:16" hidden="1" x14ac:dyDescent="0.25">
      <c r="A2839" t="s">
        <v>1513</v>
      </c>
      <c r="B2839" t="s">
        <v>43</v>
      </c>
      <c r="C2839" t="s">
        <v>44</v>
      </c>
      <c r="D2839" t="s">
        <v>114</v>
      </c>
      <c r="E2839" t="s">
        <v>1271</v>
      </c>
      <c r="F2839">
        <v>1</v>
      </c>
      <c r="G2839" s="10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hidden="1" x14ac:dyDescent="0.25">
      <c r="A2840" t="s">
        <v>1514</v>
      </c>
      <c r="B2840" t="s">
        <v>45</v>
      </c>
      <c r="C2840" t="s">
        <v>46</v>
      </c>
      <c r="D2840" t="s">
        <v>115</v>
      </c>
      <c r="E2840" t="s">
        <v>1271</v>
      </c>
      <c r="F2840">
        <v>8</v>
      </c>
      <c r="G2840" s="10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hidden="1" x14ac:dyDescent="0.25">
      <c r="A2841" t="s">
        <v>1515</v>
      </c>
      <c r="B2841" t="s">
        <v>47</v>
      </c>
      <c r="C2841" t="s">
        <v>48</v>
      </c>
      <c r="D2841" t="s">
        <v>116</v>
      </c>
      <c r="E2841" t="s">
        <v>1271</v>
      </c>
      <c r="F2841">
        <v>8</v>
      </c>
      <c r="G2841" s="10">
        <v>41240</v>
      </c>
      <c r="H2841">
        <v>48</v>
      </c>
      <c r="I2841">
        <v>2016</v>
      </c>
      <c r="J2841" t="s">
        <v>75</v>
      </c>
      <c r="K2841" t="s">
        <v>75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hidden="1" x14ac:dyDescent="0.25">
      <c r="A2842" t="s">
        <v>1516</v>
      </c>
      <c r="B2842" t="s">
        <v>49</v>
      </c>
      <c r="C2842" t="s">
        <v>50</v>
      </c>
      <c r="D2842" t="s">
        <v>117</v>
      </c>
      <c r="E2842" t="s">
        <v>1271</v>
      </c>
      <c r="F2842">
        <v>7</v>
      </c>
      <c r="G2842" s="10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hidden="1" x14ac:dyDescent="0.25">
      <c r="A2843" t="s">
        <v>1517</v>
      </c>
      <c r="B2843" t="s">
        <v>51</v>
      </c>
      <c r="C2843" t="s">
        <v>52</v>
      </c>
      <c r="D2843" t="s">
        <v>118</v>
      </c>
      <c r="E2843" t="s">
        <v>1271</v>
      </c>
      <c r="F2843">
        <v>3</v>
      </c>
      <c r="G2843" s="10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hidden="1" x14ac:dyDescent="0.25">
      <c r="A2844" t="s">
        <v>1518</v>
      </c>
      <c r="B2844" t="s">
        <v>53</v>
      </c>
      <c r="C2844" t="s">
        <v>54</v>
      </c>
      <c r="D2844" t="s">
        <v>119</v>
      </c>
      <c r="E2844" t="s">
        <v>1272</v>
      </c>
      <c r="F2844">
        <v>5</v>
      </c>
      <c r="G2844" s="10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hidden="1" x14ac:dyDescent="0.25">
      <c r="A2845" t="s">
        <v>1519</v>
      </c>
      <c r="B2845" t="s">
        <v>1289</v>
      </c>
      <c r="C2845" t="s">
        <v>132</v>
      </c>
      <c r="D2845" t="s">
        <v>1292</v>
      </c>
      <c r="E2845" t="s">
        <v>1272</v>
      </c>
      <c r="F2845">
        <v>1</v>
      </c>
      <c r="G2845" s="10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hidden="1" x14ac:dyDescent="0.25">
      <c r="A2846" t="s">
        <v>1520</v>
      </c>
      <c r="B2846" t="s">
        <v>1290</v>
      </c>
      <c r="C2846" t="s">
        <v>132</v>
      </c>
      <c r="D2846" t="s">
        <v>1294</v>
      </c>
      <c r="E2846" t="s">
        <v>1272</v>
      </c>
      <c r="F2846">
        <v>4</v>
      </c>
      <c r="G2846" s="10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hidden="1" x14ac:dyDescent="0.25">
      <c r="A2847" t="s">
        <v>1521</v>
      </c>
      <c r="B2847" t="s">
        <v>1296</v>
      </c>
      <c r="C2847" t="s">
        <v>1297</v>
      </c>
      <c r="D2847" t="s">
        <v>1293</v>
      </c>
      <c r="E2847" t="s">
        <v>1272</v>
      </c>
      <c r="F2847">
        <v>2</v>
      </c>
      <c r="G2847" s="10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hidden="1" x14ac:dyDescent="0.25">
      <c r="A2848" t="s">
        <v>1522</v>
      </c>
      <c r="B2848" t="s">
        <v>1291</v>
      </c>
      <c r="C2848" t="s">
        <v>132</v>
      </c>
      <c r="D2848" t="s">
        <v>1295</v>
      </c>
      <c r="E2848" t="s">
        <v>1272</v>
      </c>
      <c r="F2848">
        <v>3</v>
      </c>
      <c r="G2848" s="10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</sheetData>
  <conditionalFormatting sqref="A1:A1048576">
    <cfRule type="duplicateValues" dxfId="6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2708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R47"/>
  <sheetViews>
    <sheetView zoomScale="70" zoomScaleNormal="70" workbookViewId="0">
      <selection activeCell="AK54" sqref="AK54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4.5703125" bestFit="1" customWidth="1"/>
    <col min="4" max="4" width="10.85546875" hidden="1" customWidth="1"/>
    <col min="5" max="5" width="13.7109375" hidden="1" customWidth="1"/>
    <col min="6" max="6" width="10.7109375" style="1" hidden="1" customWidth="1"/>
    <col min="7" max="7" width="5.85546875" hidden="1" customWidth="1"/>
    <col min="8" max="8" width="5.42578125" hidden="1" customWidth="1"/>
    <col min="9" max="9" width="3.85546875" hidden="1" customWidth="1"/>
    <col min="10" max="10" width="4.42578125" hidden="1" customWidth="1"/>
    <col min="11" max="11" width="4.5703125" hidden="1" customWidth="1"/>
    <col min="12" max="12" width="3.7109375" hidden="1" customWidth="1"/>
    <col min="13" max="13" width="4.28515625" hidden="1" customWidth="1"/>
    <col min="14" max="14" width="4" hidden="1" customWidth="1"/>
    <col min="15" max="15" width="5" hidden="1" customWidth="1"/>
    <col min="16" max="16" width="0" hidden="1" customWidth="1"/>
    <col min="17" max="18" width="10.7109375" bestFit="1" customWidth="1"/>
    <col min="19" max="23" width="9.7109375" bestFit="1" customWidth="1"/>
    <col min="24" max="24" width="7.5703125" bestFit="1" customWidth="1"/>
    <col min="25" max="25" width="5.5703125" bestFit="1" customWidth="1"/>
    <col min="26" max="26" width="7.28515625" bestFit="1" customWidth="1"/>
    <col min="27" max="30" width="9.7109375" bestFit="1" customWidth="1"/>
    <col min="31" max="33" width="10.7109375" bestFit="1" customWidth="1"/>
    <col min="34" max="34" width="7.5703125" bestFit="1" customWidth="1"/>
    <col min="35" max="35" width="5.5703125" bestFit="1" customWidth="1"/>
    <col min="36" max="36" width="7.28515625" bestFit="1" customWidth="1"/>
    <col min="37" max="43" width="10.7109375" bestFit="1" customWidth="1"/>
    <col min="44" max="44" width="7.5703125" bestFit="1" customWidth="1"/>
    <col min="45" max="45" width="5.5703125" bestFit="1" customWidth="1"/>
    <col min="46" max="46" width="7.28515625" bestFit="1" customWidth="1"/>
    <col min="47" max="53" width="10.7109375" bestFit="1" customWidth="1"/>
    <col min="54" max="54" width="7.5703125" bestFit="1" customWidth="1"/>
    <col min="55" max="55" width="5.5703125" bestFit="1" customWidth="1"/>
    <col min="56" max="56" width="7.28515625" bestFit="1" customWidth="1"/>
    <col min="57" max="60" width="10.7109375" bestFit="1" customWidth="1"/>
    <col min="61" max="63" width="9.7109375" bestFit="1" customWidth="1"/>
    <col min="64" max="64" width="7.5703125" bestFit="1" customWidth="1"/>
    <col min="65" max="65" width="5.5703125" bestFit="1" customWidth="1"/>
    <col min="66" max="66" width="7.28515625" bestFit="1" customWidth="1"/>
    <col min="67" max="72" width="9.7109375" bestFit="1" customWidth="1"/>
    <col min="73" max="73" width="10.7109375" bestFit="1" customWidth="1"/>
    <col min="74" max="74" width="7.5703125" bestFit="1" customWidth="1"/>
    <col min="75" max="75" width="5.5703125" bestFit="1" customWidth="1"/>
    <col min="76" max="76" width="7.28515625" bestFit="1" customWidth="1"/>
    <col min="77" max="83" width="10.7109375" bestFit="1" customWidth="1"/>
    <col min="84" max="84" width="7.5703125" bestFit="1" customWidth="1"/>
    <col min="85" max="85" width="5.5703125" bestFit="1" customWidth="1"/>
    <col min="86" max="86" width="7.28515625" bestFit="1" customWidth="1"/>
    <col min="87" max="93" width="10.7109375" bestFit="1" customWidth="1"/>
    <col min="94" max="94" width="7.5703125" bestFit="1" customWidth="1"/>
    <col min="95" max="95" width="5.5703125" bestFit="1" customWidth="1"/>
    <col min="96" max="96" width="7.28515625" bestFit="1" customWidth="1"/>
  </cols>
  <sheetData>
    <row r="1" spans="1:96" x14ac:dyDescent="0.25">
      <c r="A1">
        <v>45</v>
      </c>
      <c r="Q1" s="1">
        <v>41211</v>
      </c>
      <c r="R1" s="1">
        <v>41212</v>
      </c>
      <c r="S1" s="1">
        <v>41213</v>
      </c>
      <c r="T1" s="1">
        <v>41214</v>
      </c>
      <c r="U1" s="1">
        <v>41215</v>
      </c>
      <c r="V1" s="1">
        <v>41216</v>
      </c>
      <c r="W1" s="1">
        <v>41217</v>
      </c>
      <c r="X1">
        <v>45</v>
      </c>
      <c r="AA1" s="1">
        <v>41218</v>
      </c>
      <c r="AB1" s="1">
        <v>41219</v>
      </c>
      <c r="AC1" s="1">
        <v>41220</v>
      </c>
      <c r="AD1" s="1">
        <v>41221</v>
      </c>
      <c r="AE1" s="1">
        <v>41222</v>
      </c>
      <c r="AF1" s="1">
        <v>41223</v>
      </c>
      <c r="AG1" s="1">
        <v>41224</v>
      </c>
      <c r="AH1">
        <v>46</v>
      </c>
      <c r="AK1" s="1">
        <v>41225</v>
      </c>
      <c r="AL1" s="1">
        <v>41226</v>
      </c>
      <c r="AM1" s="1">
        <v>41227</v>
      </c>
      <c r="AN1" s="1">
        <v>41228</v>
      </c>
      <c r="AO1" s="1">
        <v>41229</v>
      </c>
      <c r="AP1" s="1">
        <v>41230</v>
      </c>
      <c r="AQ1" s="1">
        <v>41231</v>
      </c>
      <c r="AR1">
        <v>47</v>
      </c>
      <c r="AU1" s="1">
        <v>41232</v>
      </c>
      <c r="AV1" s="1">
        <v>41233</v>
      </c>
      <c r="AW1" s="1">
        <v>41234</v>
      </c>
      <c r="AX1" s="1">
        <v>41235</v>
      </c>
      <c r="AY1" s="1">
        <v>41236</v>
      </c>
      <c r="AZ1" s="1">
        <v>41237</v>
      </c>
      <c r="BA1" s="1">
        <v>41238</v>
      </c>
      <c r="BB1">
        <v>48</v>
      </c>
      <c r="BE1" s="1">
        <v>41239</v>
      </c>
      <c r="BF1" s="1">
        <v>41240</v>
      </c>
      <c r="BG1" s="1">
        <v>41241</v>
      </c>
      <c r="BH1" s="1">
        <v>41242</v>
      </c>
      <c r="BI1" s="1">
        <v>41243</v>
      </c>
      <c r="BJ1" s="1">
        <v>41244</v>
      </c>
      <c r="BK1" s="1">
        <v>41245</v>
      </c>
      <c r="BL1">
        <v>49</v>
      </c>
      <c r="BO1" s="1">
        <v>41246</v>
      </c>
      <c r="BP1" s="1">
        <v>41247</v>
      </c>
      <c r="BQ1" s="1">
        <v>41248</v>
      </c>
      <c r="BR1" s="1">
        <v>41249</v>
      </c>
      <c r="BS1" s="1">
        <v>41250</v>
      </c>
      <c r="BT1" s="1">
        <v>41251</v>
      </c>
      <c r="BU1" s="1">
        <v>41252</v>
      </c>
      <c r="BV1">
        <v>50</v>
      </c>
      <c r="BY1" s="1">
        <v>41253</v>
      </c>
      <c r="BZ1" s="1">
        <v>41254</v>
      </c>
      <c r="CA1" s="1">
        <v>41255</v>
      </c>
      <c r="CB1" s="1">
        <v>41256</v>
      </c>
      <c r="CC1" s="1">
        <v>41257</v>
      </c>
      <c r="CD1" s="1">
        <v>41258</v>
      </c>
      <c r="CE1" s="1">
        <v>41259</v>
      </c>
      <c r="CF1">
        <v>51</v>
      </c>
      <c r="CI1" s="1">
        <v>41260</v>
      </c>
      <c r="CJ1" s="1">
        <v>41261</v>
      </c>
      <c r="CK1" s="1">
        <v>41262</v>
      </c>
      <c r="CL1" s="1">
        <v>41263</v>
      </c>
      <c r="CM1" s="1">
        <v>41264</v>
      </c>
      <c r="CN1" s="1">
        <v>41265</v>
      </c>
      <c r="CO1" s="1">
        <v>41266</v>
      </c>
      <c r="CP1">
        <v>52</v>
      </c>
    </row>
    <row r="2" spans="1:96" x14ac:dyDescent="0.25">
      <c r="A2">
        <v>52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1321</v>
      </c>
      <c r="Z2" t="s">
        <v>1328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1321</v>
      </c>
      <c r="AJ2" t="s">
        <v>1328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1321</v>
      </c>
      <c r="AT2" t="s">
        <v>1328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1321</v>
      </c>
      <c r="BD2" t="s">
        <v>1328</v>
      </c>
      <c r="BE2" t="s">
        <v>1256</v>
      </c>
      <c r="BF2" t="s">
        <v>1257</v>
      </c>
      <c r="BG2" t="s">
        <v>1258</v>
      </c>
      <c r="BH2" t="s">
        <v>1259</v>
      </c>
      <c r="BI2" t="s">
        <v>1260</v>
      </c>
      <c r="BJ2" t="s">
        <v>1261</v>
      </c>
      <c r="BK2" t="s">
        <v>1262</v>
      </c>
      <c r="BL2" t="s">
        <v>1321</v>
      </c>
      <c r="BN2" t="s">
        <v>1328</v>
      </c>
      <c r="BO2" t="s">
        <v>1256</v>
      </c>
      <c r="BP2" t="s">
        <v>1257</v>
      </c>
      <c r="BQ2" t="s">
        <v>1258</v>
      </c>
      <c r="BR2" t="s">
        <v>1259</v>
      </c>
      <c r="BS2" t="s">
        <v>1260</v>
      </c>
      <c r="BT2" t="s">
        <v>1261</v>
      </c>
      <c r="BU2" t="s">
        <v>1262</v>
      </c>
      <c r="BV2" t="s">
        <v>1321</v>
      </c>
      <c r="BX2" t="s">
        <v>1328</v>
      </c>
      <c r="BY2" t="s">
        <v>1256</v>
      </c>
      <c r="BZ2" t="s">
        <v>1257</v>
      </c>
      <c r="CA2" t="s">
        <v>1258</v>
      </c>
      <c r="CB2" t="s">
        <v>1259</v>
      </c>
      <c r="CC2" t="s">
        <v>1260</v>
      </c>
      <c r="CD2" t="s">
        <v>1261</v>
      </c>
      <c r="CE2" t="s">
        <v>1262</v>
      </c>
      <c r="CF2" t="s">
        <v>1321</v>
      </c>
      <c r="CH2" t="s">
        <v>1328</v>
      </c>
      <c r="CI2" t="s">
        <v>1256</v>
      </c>
      <c r="CJ2" t="s">
        <v>1257</v>
      </c>
      <c r="CK2" t="s">
        <v>1258</v>
      </c>
      <c r="CL2" t="s">
        <v>1259</v>
      </c>
      <c r="CM2" t="s">
        <v>1260</v>
      </c>
      <c r="CN2" t="s">
        <v>1261</v>
      </c>
      <c r="CO2" t="s">
        <v>1262</v>
      </c>
      <c r="CP2" t="s">
        <v>1321</v>
      </c>
      <c r="CR2" t="s">
        <v>1328</v>
      </c>
    </row>
    <row r="3" spans="1:9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9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Q4" t="s">
        <v>77</v>
      </c>
      <c r="R4" t="s">
        <v>73</v>
      </c>
      <c r="S4" t="s">
        <v>74</v>
      </c>
      <c r="T4" t="s">
        <v>74</v>
      </c>
      <c r="U4" t="s">
        <v>75</v>
      </c>
      <c r="V4" t="s">
        <v>75</v>
      </c>
      <c r="W4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hour_min($Y$4)+300-2280 + hour_min($P$4))</f>
        <v>02:00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hour_min($AI$4)+0-2280 + hour_min($Z$4))</f>
        <v>-01:00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hour_min($AS$4)+0-2280 + hour_min($AJ$4))</f>
        <v>-01:00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hour_min($BC$4)+0-2280 + hour_min($AT$4))</f>
        <v>03:00</v>
      </c>
      <c r="BE4" t="s">
        <v>75</v>
      </c>
      <c r="BF4" t="s">
        <v>76</v>
      </c>
      <c r="BG4" t="s">
        <v>77</v>
      </c>
      <c r="BH4" t="s">
        <v>73</v>
      </c>
      <c r="BI4" t="s">
        <v>74</v>
      </c>
      <c r="BJ4" t="s">
        <v>75</v>
      </c>
      <c r="BK4" t="s">
        <v>75</v>
      </c>
      <c r="BL4" t="s">
        <v>1286</v>
      </c>
      <c r="BM4" t="str">
        <f>min_hour(+IF($BE$4="M","420","0")+IF($BE$4="P","420","0")+IF($BE$4="F","420","0")+IF($BE$4="N","600","0")+IF($BE$4="M1","380","0")+IF($BE$4="P1","380","0")+IF($BE$4="L104","0","0")+IF($BE$4="MAL","0","0")+IF($BE$4="RC","0","0")+IF($BF$4="M","420","0")+IF($BF$4="P","420","0")+IF($BF$4="F","420","0")+IF($BF$4="N","600","0")+IF($BF$4="M1","380","0")+IF($BF$4="P1","380","0")+IF($BF$4="L104","0","0")+IF($BF$4="MAL","0","0")+IF($BF$4="RC","0","0")+IF($BG$4="M","420","0")+IF($BG$4="P","420","0")+IF($BG$4="F","420","0")+IF($BG$4="N","600","0")+IF($BG$4="M1","380","0")+IF($BG$4="P1","380","0")+IF($BG$4="L104","0","0")+IF($BG$4="MAL","0","0")+IF($BG$4="RC","0","0")+IF($BH$4="M","420","0")+IF($BH$4="P","420","0")+IF($BH$4="F","420","0")+IF($BH$4="N","600","0")+IF($BH$4="M1","380","0")+IF($BH$4="P1","380","0")+IF($BH$4="L104","0","0")+IF($BH$4="MAL","0","0")+IF($BH$4="RC","0","0")+IF($BI$4="M","420","0")+IF($BI$4="P","420","0")+IF($BI$4="F","420","0")+IF($BI$4="N","600","0")+IF($BI$4="M1","380","0")+IF($BI$4="P1","380","0")+IF($BI$4="L104","0","0")+IF($BI$4="MAL","0","0")+IF($BI$4="RC","0","0")+IF($BJ$4="M","420","0")+IF($BJ$4="P","420","0")+IF($BJ$4="F","420","0")+IF($BJ$4="N","600","0")+IF($BJ$4="M1","380","0")+IF($BJ$4="P1","380","0")+IF($BJ$4="L104","0","0")+IF($BJ$4="MAL","0","0")+IF($BJ$4="RC","0","0")+IF($BK$4="M","420","0")+IF($BK$4="P","420","0")+IF($BK$4="F","420","0")+IF($BK$4="N","600","0")+IF($BK$4="M1","380","0")+IF($BK$4="P1","380","0")+IF($BK$4="L104","0","0")+IF($BK$4="MAL","0","0")+IF($BK$4="RC","0","0"))</f>
        <v>38:00</v>
      </c>
      <c r="BN4" t="str">
        <f>min_hour( hour_min($BM$4)+0-2280 + hour_min($BD$4))</f>
        <v>03:00</v>
      </c>
      <c r="BO4" t="s">
        <v>75</v>
      </c>
      <c r="BP4" t="s">
        <v>75</v>
      </c>
      <c r="BQ4" t="s">
        <v>73</v>
      </c>
      <c r="BR4" t="s">
        <v>75</v>
      </c>
      <c r="BS4" t="s">
        <v>75</v>
      </c>
      <c r="BT4" t="s">
        <v>76</v>
      </c>
      <c r="BU4" t="s">
        <v>77</v>
      </c>
      <c r="BV4" t="s">
        <v>1287</v>
      </c>
      <c r="BW4" t="str">
        <f>min_hour(+IF($BO$4="M","420","0")+IF($BO$4="P","420","0")+IF($BO$4="F","420","0")+IF($BO$4="N","600","0")+IF($BO$4="M1","380","0")+IF($BO$4="P1","380","0")+IF($BO$4="L104","0","0")+IF($BO$4="MAL","0","0")+IF($BO$4="RC","0","0")+IF($BP$4="M","420","0")+IF($BP$4="P","420","0")+IF($BP$4="F","420","0")+IF($BP$4="N","600","0")+IF($BP$4="M1","380","0")+IF($BP$4="P1","380","0")+IF($BP$4="L104","0","0")+IF($BP$4="MAL","0","0")+IF($BP$4="RC","0","0")+IF($BQ$4="M","420","0")+IF($BQ$4="P","420","0")+IF($BQ$4="F","420","0")+IF($BQ$4="N","600","0")+IF($BQ$4="M1","380","0")+IF($BQ$4="P1","380","0")+IF($BQ$4="L104","0","0")+IF($BQ$4="MAL","0","0")+IF($BQ$4="RC","0","0")+IF($BR$4="M","420","0")+IF($BR$4="P","420","0")+IF($BR$4="F","420","0")+IF($BR$4="N","600","0")+IF($BR$4="M1","380","0")+IF($BR$4="P1","380","0")+IF($BR$4="L104","0","0")+IF($BR$4="MAL","0","0")+IF($BR$4="RC","0","0")+IF($BS$4="M","420","0")+IF($BS$4="P","420","0")+IF($BS$4="F","420","0")+IF($BS$4="N","600","0")+IF($BS$4="M1","380","0")+IF($BS$4="P1","380","0")+IF($BS$4="L104","0","0")+IF($BS$4="MAL","0","0")+IF($BS$4="RC","0","0")+IF($BT$4="M","420","0")+IF($BT$4="P","420","0")+IF($BT$4="F","420","0")+IF($BT$4="N","600","0")+IF($BT$4="M1","380","0")+IF($BT$4="P1","380","0")+IF($BT$4="L104","0","0")+IF($BT$4="MAL","0","0")+IF($BT$4="RC","0","0")+IF($BU$4="M","420","0")+IF($BU$4="P","420","0")+IF($BU$4="F","420","0")+IF($BU$4="N","600","0")+IF($BU$4="M1","380","0")+IF($BU$4="P1","380","0")+IF($BU$4="L104","0","0")+IF($BU$4="MAL","0","0")+IF($BU$4="RC","0","0"))</f>
        <v>38:00</v>
      </c>
      <c r="BX4" t="str">
        <f>min_hour( hour_min($BW$4)+0-2280 + hour_min($BN$4))</f>
        <v>03:00</v>
      </c>
      <c r="BY4" t="s">
        <v>73</v>
      </c>
      <c r="BZ4" t="s">
        <v>74</v>
      </c>
      <c r="CA4" t="s">
        <v>75</v>
      </c>
      <c r="CB4" t="s">
        <v>75</v>
      </c>
      <c r="CC4" t="s">
        <v>76</v>
      </c>
      <c r="CD4" t="s">
        <v>77</v>
      </c>
      <c r="CE4" t="s">
        <v>73</v>
      </c>
      <c r="CF4" t="s">
        <v>1288</v>
      </c>
      <c r="CG4" t="str">
        <f>min_hour(+IF($BY$4="M","420","0")+IF($BY$4="P","420","0")+IF($BY$4="F","420","0")+IF($BY$4="N","600","0")+IF($BY$4="M1","380","0")+IF($BY$4="P1","380","0")+IF($BY$4="L104","0","0")+IF($BY$4="MAL","0","0")+IF($BY$4="RC","0","0")+IF($BZ$4="M","420","0")+IF($BZ$4="P","420","0")+IF($BZ$4="F","420","0")+IF($BZ$4="N","600","0")+IF($BZ$4="M1","380","0")+IF($BZ$4="P1","380","0")+IF($BZ$4="L104","0","0")+IF($BZ$4="MAL","0","0")+IF($BZ$4="RC","0","0")+IF($CA$4="M","420","0")+IF($CA$4="P","420","0")+IF($CA$4="F","420","0")+IF($CA$4="N","600","0")+IF($CA$4="M1","380","0")+IF($CA$4="P1","380","0")+IF($CA$4="L104","0","0")+IF($CA$4="MAL","0","0")+IF($CA$4="RC","0","0")+IF($CB$4="M","420","0")+IF($CB$4="P","420","0")+IF($CB$4="F","420","0")+IF($CB$4="N","600","0")+IF($CB$4="M1","380","0")+IF($CB$4="P1","380","0")+IF($CB$4="L104","0","0")+IF($CB$4="MAL","0","0")+IF($CB$4="RC","0","0")+IF($CC$4="M","420","0")+IF($CC$4="P","420","0")+IF($CC$4="F","420","0")+IF($CC$4="N","600","0")+IF($CC$4="M1","380","0")+IF($CC$4="P1","380","0")+IF($CC$4="L104","0","0")+IF($CC$4="MAL","0","0")+IF($CC$4="RC","0","0")+IF($CD$4="M","420","0")+IF($CD$4="P","420","0")+IF($CD$4="F","420","0")+IF($CD$4="N","600","0")+IF($CD$4="M1","380","0")+IF($CD$4="P1","380","0")+IF($CD$4="L104","0","0")+IF($CD$4="MAL","0","0")+IF($CD$4="RC","0","0")+IF($CE$4="M","420","0")+IF($CE$4="P","420","0")+IF($CE$4="F","420","0")+IF($CE$4="N","600","0")+IF($CE$4="M1","380","0")+IF($CE$4="P1","380","0")+IF($CE$4="L104","0","0")+IF($CE$4="MAL","0","0")+IF($CE$4="RC","0","0"))</f>
        <v>31:00</v>
      </c>
      <c r="CH4" t="str">
        <f>min_hour( hour_min($CG$4)+0-2280 + hour_min($BX$4))</f>
        <v>-04:00</v>
      </c>
      <c r="CI4" t="s">
        <v>74</v>
      </c>
      <c r="CJ4" t="s">
        <v>75</v>
      </c>
      <c r="CK4" t="s">
        <v>75</v>
      </c>
      <c r="CL4" t="s">
        <v>75</v>
      </c>
      <c r="CM4" t="s">
        <v>75</v>
      </c>
      <c r="CN4" t="s">
        <v>73</v>
      </c>
      <c r="CO4" t="s">
        <v>75</v>
      </c>
      <c r="CP4" t="s">
        <v>1278</v>
      </c>
      <c r="CQ4" t="str">
        <f>min_hour(+IF($CI$4="M","420","0")+IF($CI$4="P","420","0")+IF($CI$4="F","420","0")+IF($CI$4="N","600","0")+IF($CI$4="M1","380","0")+IF($CI$4="P1","380","0")+IF($CI$4="L104","0","0")+IF($CI$4="MAL","0","0")+IF($CI$4="RC","0","0")+IF($CJ$4="M","420","0")+IF($CJ$4="P","420","0")+IF($CJ$4="F","420","0")+IF($CJ$4="N","600","0")+IF($CJ$4="M1","380","0")+IF($CJ$4="P1","380","0")+IF($CJ$4="L104","0","0")+IF($CJ$4="MAL","0","0")+IF($CJ$4="RC","0","0")+IF($CK$4="M","420","0")+IF($CK$4="P","420","0")+IF($CK$4="F","420","0")+IF($CK$4="N","600","0")+IF($CK$4="M1","380","0")+IF($CK$4="P1","380","0")+IF($CK$4="L104","0","0")+IF($CK$4="MAL","0","0")+IF($CK$4="RC","0","0")+IF($CL$4="M","420","0")+IF($CL$4="P","420","0")+IF($CL$4="F","420","0")+IF($CL$4="N","600","0")+IF($CL$4="M1","380","0")+IF($CL$4="P1","380","0")+IF($CL$4="L104","0","0")+IF($CL$4="MAL","0","0")+IF($CL$4="RC","0","0")+IF($CM$4="M","420","0")+IF($CM$4="P","420","0")+IF($CM$4="F","420","0")+IF($CM$4="N","600","0")+IF($CM$4="M1","380","0")+IF($CM$4="P1","380","0")+IF($CM$4="L104","0","0")+IF($CM$4="MAL","0","0")+IF($CM$4="RC","0","0")+IF($CN$4="M","420","0")+IF($CN$4="P","420","0")+IF($CN$4="F","420","0")+IF($CN$4="N","600","0")+IF($CN$4="M1","380","0")+IF($CN$4="P1","380","0")+IF($CN$4="L104","0","0")+IF($CN$4="MAL","0","0")+IF($CN$4="RC","0","0")+IF($CO$4="M","420","0")+IF($CO$4="P","420","0")+IF($CO$4="F","420","0")+IF($CO$4="N","600","0")+IF($CO$4="M1","380","0")+IF($CO$4="P1","380","0")+IF($CO$4="L104","0","0")+IF($CO$4="MAL","0","0")+IF($CO$4="RC","0","0"))</f>
        <v>42:00</v>
      </c>
      <c r="CR4" t="str">
        <f>min_hour( hour_min($CQ$4)+0-2280 + hour_min($CH$4))</f>
        <v>00:00</v>
      </c>
    </row>
    <row r="5" spans="1:9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Q5" t="s">
        <v>73</v>
      </c>
      <c r="R5" t="s">
        <v>74</v>
      </c>
      <c r="S5" t="s">
        <v>75</v>
      </c>
      <c r="T5" t="s">
        <v>74</v>
      </c>
      <c r="U5" t="s">
        <v>74</v>
      </c>
      <c r="V5" t="s">
        <v>75</v>
      </c>
      <c r="W5" t="s">
        <v>73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35:00</v>
      </c>
      <c r="Z5" t="str">
        <f>min_hour( hour_min($Y$5)+-240-2280 + hour_min($P$5))</f>
        <v>-07:00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hour_min($AI$5)+0-2280 + hour_min($Z$5))</f>
        <v>-07:00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hour_min($AS$5)+0-2280 + hour_min($AJ$5))</f>
        <v>-03:00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hour_min($BC$5)+0-2280 + hour_min($AT$5))</f>
        <v>-03:00</v>
      </c>
      <c r="BE5" t="s">
        <v>75</v>
      </c>
      <c r="BF5" t="s">
        <v>75</v>
      </c>
      <c r="BG5" t="s">
        <v>73</v>
      </c>
      <c r="BH5" t="s">
        <v>75</v>
      </c>
      <c r="BI5" t="s">
        <v>75</v>
      </c>
      <c r="BJ5" t="s">
        <v>76</v>
      </c>
      <c r="BK5" t="s">
        <v>77</v>
      </c>
      <c r="BL5" t="s">
        <v>1287</v>
      </c>
      <c r="BM5" t="str">
        <f>min_hour(+IF($BE$5="M","420","0")+IF($BE$5="P","420","0")+IF($BE$5="F","420","0")+IF($BE$5="N","600","0")+IF($BE$5="M1","380","0")+IF($BE$5="P1","380","0")+IF($BE$5="L104","0","0")+IF($BE$5="MAL","0","0")+IF($BE$5="RC","0","0")+IF($BF$5="M","420","0")+IF($BF$5="P","420","0")+IF($BF$5="F","420","0")+IF($BF$5="N","600","0")+IF($BF$5="M1","380","0")+IF($BF$5="P1","380","0")+IF($BF$5="L104","0","0")+IF($BF$5="MAL","0","0")+IF($BF$5="RC","0","0")+IF($BG$5="M","420","0")+IF($BG$5="P","420","0")+IF($BG$5="F","420","0")+IF($BG$5="N","600","0")+IF($BG$5="M1","380","0")+IF($BG$5="P1","380","0")+IF($BG$5="L104","0","0")+IF($BG$5="MAL","0","0")+IF($BG$5="RC","0","0")+IF($BH$5="M","420","0")+IF($BH$5="P","420","0")+IF($BH$5="F","420","0")+IF($BH$5="N","600","0")+IF($BH$5="M1","380","0")+IF($BH$5="P1","380","0")+IF($BH$5="L104","0","0")+IF($BH$5="MAL","0","0")+IF($BH$5="RC","0","0")+IF($BI$5="M","420","0")+IF($BI$5="P","420","0")+IF($BI$5="F","420","0")+IF($BI$5="N","600","0")+IF($BI$5="M1","380","0")+IF($BI$5="P1","380","0")+IF($BI$5="L104","0","0")+IF($BI$5="MAL","0","0")+IF($BI$5="RC","0","0")+IF($BJ$5="M","420","0")+IF($BJ$5="P","420","0")+IF($BJ$5="F","420","0")+IF($BJ$5="N","600","0")+IF($BJ$5="M1","380","0")+IF($BJ$5="P1","380","0")+IF($BJ$5="L104","0","0")+IF($BJ$5="MAL","0","0")+IF($BJ$5="RC","0","0")+IF($BK$5="M","420","0")+IF($BK$5="P","420","0")+IF($BK$5="F","420","0")+IF($BK$5="N","600","0")+IF($BK$5="M1","380","0")+IF($BK$5="P1","380","0")+IF($BK$5="L104","0","0")+IF($BK$5="MAL","0","0")+IF($BK$5="RC","0","0"))</f>
        <v>38:00</v>
      </c>
      <c r="BN5" t="str">
        <f>min_hour( hour_min($BM$5)+0-2280 + hour_min($BD$5))</f>
        <v>-03:00</v>
      </c>
      <c r="BO5" t="s">
        <v>73</v>
      </c>
      <c r="BP5" t="s">
        <v>74</v>
      </c>
      <c r="BQ5" t="s">
        <v>75</v>
      </c>
      <c r="BR5" t="s">
        <v>75</v>
      </c>
      <c r="BS5" t="s">
        <v>76</v>
      </c>
      <c r="BT5" t="s">
        <v>77</v>
      </c>
      <c r="BU5" t="s">
        <v>73</v>
      </c>
      <c r="BV5" t="s">
        <v>1288</v>
      </c>
      <c r="BW5" t="str">
        <f>min_hour(+IF($BO$5="M","420","0")+IF($BO$5="P","420","0")+IF($BO$5="F","420","0")+IF($BO$5="N","600","0")+IF($BO$5="M1","380","0")+IF($BO$5="P1","380","0")+IF($BO$5="L104","0","0")+IF($BO$5="MAL","0","0")+IF($BO$5="RC","0","0")+IF($BP$5="M","420","0")+IF($BP$5="P","420","0")+IF($BP$5="F","420","0")+IF($BP$5="N","600","0")+IF($BP$5="M1","380","0")+IF($BP$5="P1","380","0")+IF($BP$5="L104","0","0")+IF($BP$5="MAL","0","0")+IF($BP$5="RC","0","0")+IF($BQ$5="M","420","0")+IF($BQ$5="P","420","0")+IF($BQ$5="F","420","0")+IF($BQ$5="N","600","0")+IF($BQ$5="M1","380","0")+IF($BQ$5="P1","380","0")+IF($BQ$5="L104","0","0")+IF($BQ$5="MAL","0","0")+IF($BQ$5="RC","0","0")+IF($BR$5="M","420","0")+IF($BR$5="P","420","0")+IF($BR$5="F","420","0")+IF($BR$5="N","600","0")+IF($BR$5="M1","380","0")+IF($BR$5="P1","380","0")+IF($BR$5="L104","0","0")+IF($BR$5="MAL","0","0")+IF($BR$5="RC","0","0")+IF($BS$5="M","420","0")+IF($BS$5="P","420","0")+IF($BS$5="F","420","0")+IF($BS$5="N","600","0")+IF($BS$5="M1","380","0")+IF($BS$5="P1","380","0")+IF($BS$5="L104","0","0")+IF($BS$5="MAL","0","0")+IF($BS$5="RC","0","0")+IF($BT$5="M","420","0")+IF($BT$5="P","420","0")+IF($BT$5="F","420","0")+IF($BT$5="N","600","0")+IF($BT$5="M1","380","0")+IF($BT$5="P1","380","0")+IF($BT$5="L104","0","0")+IF($BT$5="MAL","0","0")+IF($BT$5="RC","0","0")+IF($BU$5="M","420","0")+IF($BU$5="P","420","0")+IF($BU$5="F","420","0")+IF($BU$5="N","600","0")+IF($BU$5="M1","380","0")+IF($BU$5="P1","380","0")+IF($BU$5="L104","0","0")+IF($BU$5="MAL","0","0")+IF($BU$5="RC","0","0"))</f>
        <v>31:00</v>
      </c>
      <c r="BX5" t="str">
        <f>min_hour( hour_min($BW$5)+0-2280 + hour_min($BN$5))</f>
        <v>-10:00</v>
      </c>
      <c r="BY5" t="s">
        <v>74</v>
      </c>
      <c r="BZ5" t="s">
        <v>75</v>
      </c>
      <c r="CA5" t="s">
        <v>75</v>
      </c>
      <c r="CB5" t="s">
        <v>75</v>
      </c>
      <c r="CC5" t="s">
        <v>75</v>
      </c>
      <c r="CD5" t="s">
        <v>73</v>
      </c>
      <c r="CE5" t="s">
        <v>75</v>
      </c>
      <c r="CF5" t="s">
        <v>1278</v>
      </c>
      <c r="CG5" t="str">
        <f>min_hour(+IF($BY$5="M","420","0")+IF($BY$5="P","420","0")+IF($BY$5="F","420","0")+IF($BY$5="N","600","0")+IF($BY$5="M1","380","0")+IF($BY$5="P1","380","0")+IF($BY$5="L104","0","0")+IF($BY$5="MAL","0","0")+IF($BY$5="RC","0","0")+IF($BZ$5="M","420","0")+IF($BZ$5="P","420","0")+IF($BZ$5="F","420","0")+IF($BZ$5="N","600","0")+IF($BZ$5="M1","380","0")+IF($BZ$5="P1","380","0")+IF($BZ$5="L104","0","0")+IF($BZ$5="MAL","0","0")+IF($BZ$5="RC","0","0")+IF($CA$5="M","420","0")+IF($CA$5="P","420","0")+IF($CA$5="F","420","0")+IF($CA$5="N","600","0")+IF($CA$5="M1","380","0")+IF($CA$5="P1","380","0")+IF($CA$5="L104","0","0")+IF($CA$5="MAL","0","0")+IF($CA$5="RC","0","0")+IF($CB$5="M","420","0")+IF($CB$5="P","420","0")+IF($CB$5="F","420","0")+IF($CB$5="N","600","0")+IF($CB$5="M1","380","0")+IF($CB$5="P1","380","0")+IF($CB$5="L104","0","0")+IF($CB$5="MAL","0","0")+IF($CB$5="RC","0","0")+IF($CC$5="M","420","0")+IF($CC$5="P","420","0")+IF($CC$5="F","420","0")+IF($CC$5="N","600","0")+IF($CC$5="M1","380","0")+IF($CC$5="P1","380","0")+IF($CC$5="L104","0","0")+IF($CC$5="MAL","0","0")+IF($CC$5="RC","0","0")+IF($CD$5="M","420","0")+IF($CD$5="P","420","0")+IF($CD$5="F","420","0")+IF($CD$5="N","600","0")+IF($CD$5="M1","380","0")+IF($CD$5="P1","380","0")+IF($CD$5="L104","0","0")+IF($CD$5="MAL","0","0")+IF($CD$5="RC","0","0")+IF($CE$5="M","420","0")+IF($CE$5="P","420","0")+IF($CE$5="F","420","0")+IF($CE$5="N","600","0")+IF($CE$5="M1","380","0")+IF($CE$5="P1","380","0")+IF($CE$5="L104","0","0")+IF($CE$5="MAL","0","0")+IF($CE$5="RC","0","0"))</f>
        <v>42:00</v>
      </c>
      <c r="CH5" t="str">
        <f>min_hour( hour_min($CG$5)+0-2280 + hour_min($BX$5))</f>
        <v>-06:00</v>
      </c>
      <c r="CI5" t="s">
        <v>74</v>
      </c>
      <c r="CJ5" t="s">
        <v>75</v>
      </c>
      <c r="CK5" t="s">
        <v>76</v>
      </c>
      <c r="CL5" t="s">
        <v>77</v>
      </c>
      <c r="CM5" t="s">
        <v>73</v>
      </c>
      <c r="CN5" t="s">
        <v>74</v>
      </c>
      <c r="CO5" t="s">
        <v>75</v>
      </c>
      <c r="CP5" t="s">
        <v>1279</v>
      </c>
      <c r="CQ5" t="str">
        <f>min_hour(+IF($CI$5="M","420","0")+IF($CI$5="P","420","0")+IF($CI$5="F","420","0")+IF($CI$5="N","600","0")+IF($CI$5="M1","380","0")+IF($CI$5="P1","380","0")+IF($CI$5="L104","0","0")+IF($CI$5="MAL","0","0")+IF($CI$5="RC","0","0")+IF($CJ$5="M","420","0")+IF($CJ$5="P","420","0")+IF($CJ$5="F","420","0")+IF($CJ$5="N","600","0")+IF($CJ$5="M1","380","0")+IF($CJ$5="P1","380","0")+IF($CJ$5="L104","0","0")+IF($CJ$5="MAL","0","0")+IF($CJ$5="RC","0","0")+IF($CK$5="M","420","0")+IF($CK$5="P","420","0")+IF($CK$5="F","420","0")+IF($CK$5="N","600","0")+IF($CK$5="M1","380","0")+IF($CK$5="P1","380","0")+IF($CK$5="L104","0","0")+IF($CK$5="MAL","0","0")+IF($CK$5="RC","0","0")+IF($CL$5="M","420","0")+IF($CL$5="P","420","0")+IF($CL$5="F","420","0")+IF($CL$5="N","600","0")+IF($CL$5="M1","380","0")+IF($CL$5="P1","380","0")+IF($CL$5="L104","0","0")+IF($CL$5="MAL","0","0")+IF($CL$5="RC","0","0")+IF($CM$5="M","420","0")+IF($CM$5="P","420","0")+IF($CM$5="F","420","0")+IF($CM$5="N","600","0")+IF($CM$5="M1","380","0")+IF($CM$5="P1","380","0")+IF($CM$5="L104","0","0")+IF($CM$5="MAL","0","0")+IF($CM$5="RC","0","0")+IF($CN$5="M","420","0")+IF($CN$5="P","420","0")+IF($CN$5="F","420","0")+IF($CN$5="N","600","0")+IF($CN$5="M1","380","0")+IF($CN$5="P1","380","0")+IF($CN$5="L104","0","0")+IF($CN$5="MAL","0","0")+IF($CN$5="RC","0","0")+IF($CO$5="M","420","0")+IF($CO$5="P","420","0")+IF($CO$5="F","420","0")+IF($CO$5="N","600","0")+IF($CO$5="M1","380","0")+IF($CO$5="P1","380","0")+IF($CO$5="L104","0","0")+IF($CO$5="MAL","0","0")+IF($CO$5="RC","0","0"))</f>
        <v>38:00</v>
      </c>
      <c r="CR5" t="str">
        <f>min_hour( hour_min($CQ$5)+0-2280 + hour_min($CH$5))</f>
        <v>-06:00</v>
      </c>
    </row>
    <row r="6" spans="1:9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hour_min($Y$6)+-60-2280 + hour_min($P$6))</f>
        <v>-08:00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hour_min($AI$6)+0-2280 + hour_min($Z$6))</f>
        <v>-04:00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hour_min($AS$6)+0-2280 + hour_min($AJ$6))</f>
        <v>-04:00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hour_min($BC$6)+0-2280 + hour_min($AT$6))</f>
        <v>00:00</v>
      </c>
      <c r="BE6" t="s">
        <v>76</v>
      </c>
      <c r="BF6" t="s">
        <v>77</v>
      </c>
      <c r="BG6" t="s">
        <v>73</v>
      </c>
      <c r="BH6" t="s">
        <v>74</v>
      </c>
      <c r="BI6" t="s">
        <v>75</v>
      </c>
      <c r="BJ6" t="s">
        <v>75</v>
      </c>
      <c r="BK6" t="s">
        <v>76</v>
      </c>
      <c r="BL6" t="s">
        <v>1281</v>
      </c>
      <c r="BM6" t="str">
        <f>min_hour(+IF($BE$6="M","420","0")+IF($BE$6="P","420","0")+IF($BE$6="F","420","0")+IF($BE$6="N","600","0")+IF($BE$6="M1","380","0")+IF($BE$6="P1","380","0")+IF($BE$6="L104","0","0")+IF($BE$6="MAL","0","0")+IF($BE$6="RC","0","0")+IF($BF$6="M","420","0")+IF($BF$6="P","420","0")+IF($BF$6="F","420","0")+IF($BF$6="N","600","0")+IF($BF$6="M1","380","0")+IF($BF$6="P1","380","0")+IF($BF$6="L104","0","0")+IF($BF$6="MAL","0","0")+IF($BF$6="RC","0","0")+IF($BG$6="M","420","0")+IF($BG$6="P","420","0")+IF($BG$6="F","420","0")+IF($BG$6="N","600","0")+IF($BG$6="M1","380","0")+IF($BG$6="P1","380","0")+IF($BG$6="L104","0","0")+IF($BG$6="MAL","0","0")+IF($BG$6="RC","0","0")+IF($BH$6="M","420","0")+IF($BH$6="P","420","0")+IF($BH$6="F","420","0")+IF($BH$6="N","600","0")+IF($BH$6="M1","380","0")+IF($BH$6="P1","380","0")+IF($BH$6="L104","0","0")+IF($BH$6="MAL","0","0")+IF($BH$6="RC","0","0")+IF($BI$6="M","420","0")+IF($BI$6="P","420","0")+IF($BI$6="F","420","0")+IF($BI$6="N","600","0")+IF($BI$6="M1","380","0")+IF($BI$6="P1","380","0")+IF($BI$6="L104","0","0")+IF($BI$6="MAL","0","0")+IF($BI$6="RC","0","0")+IF($BJ$6="M","420","0")+IF($BJ$6="P","420","0")+IF($BJ$6="F","420","0")+IF($BJ$6="N","600","0")+IF($BJ$6="M1","380","0")+IF($BJ$6="P1","380","0")+IF($BJ$6="L104","0","0")+IF($BJ$6="MAL","0","0")+IF($BJ$6="RC","0","0")+IF($BK$6="M","420","0")+IF($BK$6="P","420","0")+IF($BK$6="F","420","0")+IF($BK$6="N","600","0")+IF($BK$6="M1","380","0")+IF($BK$6="P1","380","0")+IF($BK$6="L104","0","0")+IF($BK$6="MAL","0","0")+IF($BK$6="RC","0","0"))</f>
        <v>41:00</v>
      </c>
      <c r="BN6" t="str">
        <f>min_hour( hour_min($BM$6)+0-2280 + hour_min($BD$6))</f>
        <v>03:00</v>
      </c>
      <c r="BO6" t="s">
        <v>77</v>
      </c>
      <c r="BP6" t="s">
        <v>73</v>
      </c>
      <c r="BQ6" t="s">
        <v>74</v>
      </c>
      <c r="BR6" t="s">
        <v>74</v>
      </c>
      <c r="BS6" t="s">
        <v>75</v>
      </c>
      <c r="BT6" t="s">
        <v>75</v>
      </c>
      <c r="BU6" t="s">
        <v>74</v>
      </c>
      <c r="BV6" t="s">
        <v>1282</v>
      </c>
      <c r="BW6" t="str">
        <f>min_hour(+IF($BO$6="M","420","0")+IF($BO$6="P","420","0")+IF($BO$6="F","420","0")+IF($BO$6="N","600","0")+IF($BO$6="M1","380","0")+IF($BO$6="P1","380","0")+IF($BO$6="L104","0","0")+IF($BO$6="MAL","0","0")+IF($BO$6="RC","0","0")+IF($BP$6="M","420","0")+IF($BP$6="P","420","0")+IF($BP$6="F","420","0")+IF($BP$6="N","600","0")+IF($BP$6="M1","380","0")+IF($BP$6="P1","380","0")+IF($BP$6="L104","0","0")+IF($BP$6="MAL","0","0")+IF($BP$6="RC","0","0")+IF($BQ$6="M","420","0")+IF($BQ$6="P","420","0")+IF($BQ$6="F","420","0")+IF($BQ$6="N","600","0")+IF($BQ$6="M1","380","0")+IF($BQ$6="P1","380","0")+IF($BQ$6="L104","0","0")+IF($BQ$6="MAL","0","0")+IF($BQ$6="RC","0","0")+IF($BR$6="M","420","0")+IF($BR$6="P","420","0")+IF($BR$6="F","420","0")+IF($BR$6="N","600","0")+IF($BR$6="M1","380","0")+IF($BR$6="P1","380","0")+IF($BR$6="L104","0","0")+IF($BR$6="MAL","0","0")+IF($BR$6="RC","0","0")+IF($BS$6="M","420","0")+IF($BS$6="P","420","0")+IF($BS$6="F","420","0")+IF($BS$6="N","600","0")+IF($BS$6="M1","380","0")+IF($BS$6="P1","380","0")+IF($BS$6="L104","0","0")+IF($BS$6="MAL","0","0")+IF($BS$6="RC","0","0")+IF($BT$6="M","420","0")+IF($BT$6="P","420","0")+IF($BT$6="F","420","0")+IF($BT$6="N","600","0")+IF($BT$6="M1","380","0")+IF($BT$6="P1","380","0")+IF($BT$6="L104","0","0")+IF($BT$6="MAL","0","0")+IF($BT$6="RC","0","0")+IF($BU$6="M","420","0")+IF($BU$6="P","420","0")+IF($BU$6="F","420","0")+IF($BU$6="N","600","0")+IF($BU$6="M1","380","0")+IF($BU$6="P1","380","0")+IF($BU$6="L104","0","0")+IF($BU$6="MAL","0","0")+IF($BU$6="RC","0","0"))</f>
        <v>35:00</v>
      </c>
      <c r="BX6" t="str">
        <f>min_hour( hour_min($BW$6)+0-2280 + hour_min($BN$6))</f>
        <v>00:00</v>
      </c>
      <c r="BY6" t="s">
        <v>73</v>
      </c>
      <c r="BZ6" t="s">
        <v>74</v>
      </c>
      <c r="CA6" t="s">
        <v>75</v>
      </c>
      <c r="CB6" t="s">
        <v>74</v>
      </c>
      <c r="CC6" t="s">
        <v>74</v>
      </c>
      <c r="CD6" t="s">
        <v>75</v>
      </c>
      <c r="CE6" t="s">
        <v>73</v>
      </c>
      <c r="CF6" t="s">
        <v>1283</v>
      </c>
      <c r="CG6" t="str">
        <f>min_hour(+IF($BY$6="M","420","0")+IF($BY$6="P","420","0")+IF($BY$6="F","420","0")+IF($BY$6="N","600","0")+IF($BY$6="M1","380","0")+IF($BY$6="P1","380","0")+IF($BY$6="L104","0","0")+IF($BY$6="MAL","0","0")+IF($BY$6="RC","0","0")+IF($BZ$6="M","420","0")+IF($BZ$6="P","420","0")+IF($BZ$6="F","420","0")+IF($BZ$6="N","600","0")+IF($BZ$6="M1","380","0")+IF($BZ$6="P1","380","0")+IF($BZ$6="L104","0","0")+IF($BZ$6="MAL","0","0")+IF($BZ$6="RC","0","0")+IF($CA$6="M","420","0")+IF($CA$6="P","420","0")+IF($CA$6="F","420","0")+IF($CA$6="N","600","0")+IF($CA$6="M1","380","0")+IF($CA$6="P1","380","0")+IF($CA$6="L104","0","0")+IF($CA$6="MAL","0","0")+IF($CA$6="RC","0","0")+IF($CB$6="M","420","0")+IF($CB$6="P","420","0")+IF($CB$6="F","420","0")+IF($CB$6="N","600","0")+IF($CB$6="M1","380","0")+IF($CB$6="P1","380","0")+IF($CB$6="L104","0","0")+IF($CB$6="MAL","0","0")+IF($CB$6="RC","0","0")+IF($CC$6="M","420","0")+IF($CC$6="P","420","0")+IF($CC$6="F","420","0")+IF($CC$6="N","600","0")+IF($CC$6="M1","380","0")+IF($CC$6="P1","380","0")+IF($CC$6="L104","0","0")+IF($CC$6="MAL","0","0")+IF($CC$6="RC","0","0")+IF($CD$6="M","420","0")+IF($CD$6="P","420","0")+IF($CD$6="F","420","0")+IF($CD$6="N","600","0")+IF($CD$6="M1","380","0")+IF($CD$6="P1","380","0")+IF($CD$6="L104","0","0")+IF($CD$6="MAL","0","0")+IF($CD$6="RC","0","0")+IF($CE$6="M","420","0")+IF($CE$6="P","420","0")+IF($CE$6="F","420","0")+IF($CE$6="N","600","0")+IF($CE$6="M1","380","0")+IF($CE$6="P1","380","0")+IF($CE$6="L104","0","0")+IF($CE$6="MAL","0","0")+IF($CE$6="RC","0","0"))</f>
        <v>35:00</v>
      </c>
      <c r="CH6" t="str">
        <f>min_hour( hour_min($CG$6)+0-2280 + hour_min($BX$6))</f>
        <v>-03:00</v>
      </c>
      <c r="CI6" t="s">
        <v>75</v>
      </c>
      <c r="CJ6" t="s">
        <v>75</v>
      </c>
      <c r="CK6" t="s">
        <v>75</v>
      </c>
      <c r="CL6" t="s">
        <v>76</v>
      </c>
      <c r="CM6" t="s">
        <v>77</v>
      </c>
      <c r="CN6" t="s">
        <v>73</v>
      </c>
      <c r="CO6" t="s">
        <v>74</v>
      </c>
      <c r="CP6" t="s">
        <v>1284</v>
      </c>
      <c r="CQ6" t="str">
        <f>min_hour(+IF($CI$6="M","420","0")+IF($CI$6="P","420","0")+IF($CI$6="F","420","0")+IF($CI$6="N","600","0")+IF($CI$6="M1","380","0")+IF($CI$6="P1","380","0")+IF($CI$6="L104","0","0")+IF($CI$6="MAL","0","0")+IF($CI$6="RC","0","0")+IF($CJ$6="M","420","0")+IF($CJ$6="P","420","0")+IF($CJ$6="F","420","0")+IF($CJ$6="N","600","0")+IF($CJ$6="M1","380","0")+IF($CJ$6="P1","380","0")+IF($CJ$6="L104","0","0")+IF($CJ$6="MAL","0","0")+IF($CJ$6="RC","0","0")+IF($CK$6="M","420","0")+IF($CK$6="P","420","0")+IF($CK$6="F","420","0")+IF($CK$6="N","600","0")+IF($CK$6="M1","380","0")+IF($CK$6="P1","380","0")+IF($CK$6="L104","0","0")+IF($CK$6="MAL","0","0")+IF($CK$6="RC","0","0")+IF($CL$6="M","420","0")+IF($CL$6="P","420","0")+IF($CL$6="F","420","0")+IF($CL$6="N","600","0")+IF($CL$6="M1","380","0")+IF($CL$6="P1","380","0")+IF($CL$6="L104","0","0")+IF($CL$6="MAL","0","0")+IF($CL$6="RC","0","0")+IF($CM$6="M","420","0")+IF($CM$6="P","420","0")+IF($CM$6="F","420","0")+IF($CM$6="N","600","0")+IF($CM$6="M1","380","0")+IF($CM$6="P1","380","0")+IF($CM$6="L104","0","0")+IF($CM$6="MAL","0","0")+IF($CM$6="RC","0","0")+IF($CN$6="M","420","0")+IF($CN$6="P","420","0")+IF($CN$6="F","420","0")+IF($CN$6="N","600","0")+IF($CN$6="M1","380","0")+IF($CN$6="P1","380","0")+IF($CN$6="L104","0","0")+IF($CN$6="MAL","0","0")+IF($CN$6="RC","0","0")+IF($CO$6="M","420","0")+IF($CO$6="P","420","0")+IF($CO$6="F","420","0")+IF($CO$6="N","600","0")+IF($CO$6="M1","380","0")+IF($CO$6="P1","380","0")+IF($CO$6="L104","0","0")+IF($CO$6="MAL","0","0")+IF($CO$6="RC","0","0"))</f>
        <v>38:00</v>
      </c>
      <c r="CR6" t="str">
        <f>min_hour( hour_min($CQ$6)+0-2280 + hour_min($CH$6))</f>
        <v>-03:00</v>
      </c>
    </row>
    <row r="7" spans="1:9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hour_min($Y$7)+-60-2280 + hour_min($P$7))</f>
        <v>03:00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hour_min($AI$7)+0-2280 + hour_min($Z$7))</f>
        <v>03:00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hour_min($AS$7)+0-2280 + hour_min($AJ$7))</f>
        <v>07:00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hour_min($BC$7)+0-2280 + hour_min($AT$7))</f>
        <v>10:00</v>
      </c>
      <c r="BE7" t="s">
        <v>77</v>
      </c>
      <c r="BF7" t="s">
        <v>73</v>
      </c>
      <c r="BG7" t="s">
        <v>74</v>
      </c>
      <c r="BH7" t="s">
        <v>74</v>
      </c>
      <c r="BI7" t="s">
        <v>75</v>
      </c>
      <c r="BJ7" t="s">
        <v>75</v>
      </c>
      <c r="BK7" t="s">
        <v>74</v>
      </c>
      <c r="BL7" t="s">
        <v>1282</v>
      </c>
      <c r="BM7" t="str">
        <f>min_hour(+IF($BE$7="M","420","0")+IF($BE$7="P","420","0")+IF($BE$7="F","420","0")+IF($BE$7="N","600","0")+IF($BE$7="M1","380","0")+IF($BE$7="P1","380","0")+IF($BE$7="L104","0","0")+IF($BE$7="MAL","0","0")+IF($BE$7="RC","0","0")+IF($BF$7="M","420","0")+IF($BF$7="P","420","0")+IF($BF$7="F","420","0")+IF($BF$7="N","600","0")+IF($BF$7="M1","380","0")+IF($BF$7="P1","380","0")+IF($BF$7="L104","0","0")+IF($BF$7="MAL","0","0")+IF($BF$7="RC","0","0")+IF($BG$7="M","420","0")+IF($BG$7="P","420","0")+IF($BG$7="F","420","0")+IF($BG$7="N","600","0")+IF($BG$7="M1","380","0")+IF($BG$7="P1","380","0")+IF($BG$7="L104","0","0")+IF($BG$7="MAL","0","0")+IF($BG$7="RC","0","0")+IF($BH$7="M","420","0")+IF($BH$7="P","420","0")+IF($BH$7="F","420","0")+IF($BH$7="N","600","0")+IF($BH$7="M1","380","0")+IF($BH$7="P1","380","0")+IF($BH$7="L104","0","0")+IF($BH$7="MAL","0","0")+IF($BH$7="RC","0","0")+IF($BI$7="M","420","0")+IF($BI$7="P","420","0")+IF($BI$7="F","420","0")+IF($BI$7="N","600","0")+IF($BI$7="M1","380","0")+IF($BI$7="P1","380","0")+IF($BI$7="L104","0","0")+IF($BI$7="MAL","0","0")+IF($BI$7="RC","0","0")+IF($BJ$7="M","420","0")+IF($BJ$7="P","420","0")+IF($BJ$7="F","420","0")+IF($BJ$7="N","600","0")+IF($BJ$7="M1","380","0")+IF($BJ$7="P1","380","0")+IF($BJ$7="L104","0","0")+IF($BJ$7="MAL","0","0")+IF($BJ$7="RC","0","0")+IF($BK$7="M","420","0")+IF($BK$7="P","420","0")+IF($BK$7="F","420","0")+IF($BK$7="N","600","0")+IF($BK$7="M1","380","0")+IF($BK$7="P1","380","0")+IF($BK$7="L104","0","0")+IF($BK$7="MAL","0","0")+IF($BK$7="RC","0","0"))</f>
        <v>35:00</v>
      </c>
      <c r="BN7" t="str">
        <f>min_hour( hour_min($BM$7)+0-2280 + hour_min($BD$7))</f>
        <v>07:00</v>
      </c>
      <c r="BO7" t="s">
        <v>73</v>
      </c>
      <c r="BP7" t="s">
        <v>74</v>
      </c>
      <c r="BQ7" t="s">
        <v>75</v>
      </c>
      <c r="BR7" t="s">
        <v>74</v>
      </c>
      <c r="BS7" t="s">
        <v>74</v>
      </c>
      <c r="BT7" t="s">
        <v>75</v>
      </c>
      <c r="BU7" t="s">
        <v>73</v>
      </c>
      <c r="BV7" t="s">
        <v>1283</v>
      </c>
      <c r="BW7" t="str">
        <f>min_hour(+IF($BO$7="M","420","0")+IF($BO$7="P","420","0")+IF($BO$7="F","420","0")+IF($BO$7="N","600","0")+IF($BO$7="M1","380","0")+IF($BO$7="P1","380","0")+IF($BO$7="L104","0","0")+IF($BO$7="MAL","0","0")+IF($BO$7="RC","0","0")+IF($BP$7="M","420","0")+IF($BP$7="P","420","0")+IF($BP$7="F","420","0")+IF($BP$7="N","600","0")+IF($BP$7="M1","380","0")+IF($BP$7="P1","380","0")+IF($BP$7="L104","0","0")+IF($BP$7="MAL","0","0")+IF($BP$7="RC","0","0")+IF($BQ$7="M","420","0")+IF($BQ$7="P","420","0")+IF($BQ$7="F","420","0")+IF($BQ$7="N","600","0")+IF($BQ$7="M1","380","0")+IF($BQ$7="P1","380","0")+IF($BQ$7="L104","0","0")+IF($BQ$7="MAL","0","0")+IF($BQ$7="RC","0","0")+IF($BR$7="M","420","0")+IF($BR$7="P","420","0")+IF($BR$7="F","420","0")+IF($BR$7="N","600","0")+IF($BR$7="M1","380","0")+IF($BR$7="P1","380","0")+IF($BR$7="L104","0","0")+IF($BR$7="MAL","0","0")+IF($BR$7="RC","0","0")+IF($BS$7="M","420","0")+IF($BS$7="P","420","0")+IF($BS$7="F","420","0")+IF($BS$7="N","600","0")+IF($BS$7="M1","380","0")+IF($BS$7="P1","380","0")+IF($BS$7="L104","0","0")+IF($BS$7="MAL","0","0")+IF($BS$7="RC","0","0")+IF($BT$7="M","420","0")+IF($BT$7="P","420","0")+IF($BT$7="F","420","0")+IF($BT$7="N","600","0")+IF($BT$7="M1","380","0")+IF($BT$7="P1","380","0")+IF($BT$7="L104","0","0")+IF($BT$7="MAL","0","0")+IF($BT$7="RC","0","0")+IF($BU$7="M","420","0")+IF($BU$7="P","420","0")+IF($BU$7="F","420","0")+IF($BU$7="N","600","0")+IF($BU$7="M1","380","0")+IF($BU$7="P1","380","0")+IF($BU$7="L104","0","0")+IF($BU$7="MAL","0","0")+IF($BU$7="RC","0","0"))</f>
        <v>35:00</v>
      </c>
      <c r="BX7" t="str">
        <f>min_hour( hour_min($BW$7)+0-2280 + hour_min($BN$7))</f>
        <v>04:00</v>
      </c>
      <c r="BY7" t="s">
        <v>75</v>
      </c>
      <c r="BZ7" t="s">
        <v>75</v>
      </c>
      <c r="CA7" t="s">
        <v>75</v>
      </c>
      <c r="CB7" t="s">
        <v>76</v>
      </c>
      <c r="CC7" t="s">
        <v>77</v>
      </c>
      <c r="CD7" t="s">
        <v>73</v>
      </c>
      <c r="CE7" t="s">
        <v>74</v>
      </c>
      <c r="CF7" t="s">
        <v>1284</v>
      </c>
      <c r="CG7" t="str">
        <f>min_hour(+IF($BY$7="M","420","0")+IF($BY$7="P","420","0")+IF($BY$7="F","420","0")+IF($BY$7="N","600","0")+IF($BY$7="M1","380","0")+IF($BY$7="P1","380","0")+IF($BY$7="L104","0","0")+IF($BY$7="MAL","0","0")+IF($BY$7="RC","0","0")+IF($BZ$7="M","420","0")+IF($BZ$7="P","420","0")+IF($BZ$7="F","420","0")+IF($BZ$7="N","600","0")+IF($BZ$7="M1","380","0")+IF($BZ$7="P1","380","0")+IF($BZ$7="L104","0","0")+IF($BZ$7="MAL","0","0")+IF($BZ$7="RC","0","0")+IF($CA$7="M","420","0")+IF($CA$7="P","420","0")+IF($CA$7="F","420","0")+IF($CA$7="N","600","0")+IF($CA$7="M1","380","0")+IF($CA$7="P1","380","0")+IF($CA$7="L104","0","0")+IF($CA$7="MAL","0","0")+IF($CA$7="RC","0","0")+IF($CB$7="M","420","0")+IF($CB$7="P","420","0")+IF($CB$7="F","420","0")+IF($CB$7="N","600","0")+IF($CB$7="M1","380","0")+IF($CB$7="P1","380","0")+IF($CB$7="L104","0","0")+IF($CB$7="MAL","0","0")+IF($CB$7="RC","0","0")+IF($CC$7="M","420","0")+IF($CC$7="P","420","0")+IF($CC$7="F","420","0")+IF($CC$7="N","600","0")+IF($CC$7="M1","380","0")+IF($CC$7="P1","380","0")+IF($CC$7="L104","0","0")+IF($CC$7="MAL","0","0")+IF($CC$7="RC","0","0")+IF($CD$7="M","420","0")+IF($CD$7="P","420","0")+IF($CD$7="F","420","0")+IF($CD$7="N","600","0")+IF($CD$7="M1","380","0")+IF($CD$7="P1","380","0")+IF($CD$7="L104","0","0")+IF($CD$7="MAL","0","0")+IF($CD$7="RC","0","0")+IF($CE$7="M","420","0")+IF($CE$7="P","420","0")+IF($CE$7="F","420","0")+IF($CE$7="N","600","0")+IF($CE$7="M1","380","0")+IF($CE$7="P1","380","0")+IF($CE$7="L104","0","0")+IF($CE$7="MAL","0","0")+IF($CE$7="RC","0","0"))</f>
        <v>38:00</v>
      </c>
      <c r="CH7" t="str">
        <f>min_hour( hour_min($CG$7)+0-2280 + hour_min($BX$7))</f>
        <v>04:00</v>
      </c>
      <c r="CI7" t="s">
        <v>75</v>
      </c>
      <c r="CJ7" t="s">
        <v>74</v>
      </c>
      <c r="CK7" t="s">
        <v>74</v>
      </c>
      <c r="CL7" t="s">
        <v>75</v>
      </c>
      <c r="CM7" t="s">
        <v>73</v>
      </c>
      <c r="CN7" t="s">
        <v>74</v>
      </c>
      <c r="CO7" t="s">
        <v>74</v>
      </c>
      <c r="CP7" t="s">
        <v>1285</v>
      </c>
      <c r="CQ7" t="str">
        <f>min_hour(+IF($CI$7="M","420","0")+IF($CI$7="P","420","0")+IF($CI$7="F","420","0")+IF($CI$7="N","600","0")+IF($CI$7="M1","380","0")+IF($CI$7="P1","380","0")+IF($CI$7="L104","0","0")+IF($CI$7="MAL","0","0")+IF($CI$7="RC","0","0")+IF($CJ$7="M","420","0")+IF($CJ$7="P","420","0")+IF($CJ$7="F","420","0")+IF($CJ$7="N","600","0")+IF($CJ$7="M1","380","0")+IF($CJ$7="P1","380","0")+IF($CJ$7="L104","0","0")+IF($CJ$7="MAL","0","0")+IF($CJ$7="RC","0","0")+IF($CK$7="M","420","0")+IF($CK$7="P","420","0")+IF($CK$7="F","420","0")+IF($CK$7="N","600","0")+IF($CK$7="M1","380","0")+IF($CK$7="P1","380","0")+IF($CK$7="L104","0","0")+IF($CK$7="MAL","0","0")+IF($CK$7="RC","0","0")+IF($CL$7="M","420","0")+IF($CL$7="P","420","0")+IF($CL$7="F","420","0")+IF($CL$7="N","600","0")+IF($CL$7="M1","380","0")+IF($CL$7="P1","380","0")+IF($CL$7="L104","0","0")+IF($CL$7="MAL","0","0")+IF($CL$7="RC","0","0")+IF($CM$7="M","420","0")+IF($CM$7="P","420","0")+IF($CM$7="F","420","0")+IF($CM$7="N","600","0")+IF($CM$7="M1","380","0")+IF($CM$7="P1","380","0")+IF($CM$7="L104","0","0")+IF($CM$7="MAL","0","0")+IF($CM$7="RC","0","0")+IF($CN$7="M","420","0")+IF($CN$7="P","420","0")+IF($CN$7="F","420","0")+IF($CN$7="N","600","0")+IF($CN$7="M1","380","0")+IF($CN$7="P1","380","0")+IF($CN$7="L104","0","0")+IF($CN$7="MAL","0","0")+IF($CN$7="RC","0","0")+IF($CO$7="M","420","0")+IF($CO$7="P","420","0")+IF($CO$7="F","420","0")+IF($CO$7="N","600","0")+IF($CO$7="M1","380","0")+IF($CO$7="P1","380","0")+IF($CO$7="L104","0","0")+IF($CO$7="MAL","0","0")+IF($CO$7="RC","0","0"))</f>
        <v>42:00</v>
      </c>
      <c r="CR7" t="str">
        <f>min_hour( hour_min($CQ$7)+0-2280 + hour_min($CH$7))</f>
        <v>08:00</v>
      </c>
    </row>
    <row r="8" spans="1:9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hour_min($Y$8)+360-2280 + hour_min($P$8))</f>
        <v>06:00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hour_min($AI$8)+0-2280 + hour_min($Z$8))</f>
        <v>10:00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hour_min($AS$8)+0-2280 + hour_min($AJ$8))</f>
        <v>13:00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hour_min($BC$8)+0-2280 + hour_min($AT$8))</f>
        <v>10:00</v>
      </c>
      <c r="BE8" t="s">
        <v>73</v>
      </c>
      <c r="BF8" t="s">
        <v>74</v>
      </c>
      <c r="BG8" t="s">
        <v>75</v>
      </c>
      <c r="BH8" t="s">
        <v>74</v>
      </c>
      <c r="BI8" t="s">
        <v>74</v>
      </c>
      <c r="BJ8" t="s">
        <v>75</v>
      </c>
      <c r="BK8" t="s">
        <v>73</v>
      </c>
      <c r="BL8" t="s">
        <v>1283</v>
      </c>
      <c r="BM8" t="str">
        <f>min_hour(+IF($BE$8="M","420","0")+IF($BE$8="P","420","0")+IF($BE$8="F","420","0")+IF($BE$8="N","600","0")+IF($BE$8="M1","380","0")+IF($BE$8="P1","380","0")+IF($BE$8="L104","0","0")+IF($BE$8="MAL","0","0")+IF($BE$8="RC","0","0")+IF($BF$8="M","420","0")+IF($BF$8="P","420","0")+IF($BF$8="F","420","0")+IF($BF$8="N","600","0")+IF($BF$8="M1","380","0")+IF($BF$8="P1","380","0")+IF($BF$8="L104","0","0")+IF($BF$8="MAL","0","0")+IF($BF$8="RC","0","0")+IF($BG$8="M","420","0")+IF($BG$8="P","420","0")+IF($BG$8="F","420","0")+IF($BG$8="N","600","0")+IF($BG$8="M1","380","0")+IF($BG$8="P1","380","0")+IF($BG$8="L104","0","0")+IF($BG$8="MAL","0","0")+IF($BG$8="RC","0","0")+IF($BH$8="M","420","0")+IF($BH$8="P","420","0")+IF($BH$8="F","420","0")+IF($BH$8="N","600","0")+IF($BH$8="M1","380","0")+IF($BH$8="P1","380","0")+IF($BH$8="L104","0","0")+IF($BH$8="MAL","0","0")+IF($BH$8="RC","0","0")+IF($BI$8="M","420","0")+IF($BI$8="P","420","0")+IF($BI$8="F","420","0")+IF($BI$8="N","600","0")+IF($BI$8="M1","380","0")+IF($BI$8="P1","380","0")+IF($BI$8="L104","0","0")+IF($BI$8="MAL","0","0")+IF($BI$8="RC","0","0")+IF($BJ$8="M","420","0")+IF($BJ$8="P","420","0")+IF($BJ$8="F","420","0")+IF($BJ$8="N","600","0")+IF($BJ$8="M1","380","0")+IF($BJ$8="P1","380","0")+IF($BJ$8="L104","0","0")+IF($BJ$8="MAL","0","0")+IF($BJ$8="RC","0","0")+IF($BK$8="M","420","0")+IF($BK$8="P","420","0")+IF($BK$8="F","420","0")+IF($BK$8="N","600","0")+IF($BK$8="M1","380","0")+IF($BK$8="P1","380","0")+IF($BK$8="L104","0","0")+IF($BK$8="MAL","0","0")+IF($BK$8="RC","0","0"))</f>
        <v>35:00</v>
      </c>
      <c r="BN8" t="str">
        <f>min_hour( hour_min($BM$8)+0-2280 + hour_min($BD$8))</f>
        <v>07:00</v>
      </c>
      <c r="BO8" t="s">
        <v>75</v>
      </c>
      <c r="BP8" t="s">
        <v>75</v>
      </c>
      <c r="BQ8" t="s">
        <v>75</v>
      </c>
      <c r="BR8" t="s">
        <v>76</v>
      </c>
      <c r="BS8" t="s">
        <v>77</v>
      </c>
      <c r="BT8" t="s">
        <v>73</v>
      </c>
      <c r="BU8" t="s">
        <v>74</v>
      </c>
      <c r="BV8" t="s">
        <v>1284</v>
      </c>
      <c r="BW8" t="str">
        <f>min_hour(+IF($BO$8="M","420","0")+IF($BO$8="P","420","0")+IF($BO$8="F","420","0")+IF($BO$8="N","600","0")+IF($BO$8="M1","380","0")+IF($BO$8="P1","380","0")+IF($BO$8="L104","0","0")+IF($BO$8="MAL","0","0")+IF($BO$8="RC","0","0")+IF($BP$8="M","420","0")+IF($BP$8="P","420","0")+IF($BP$8="F","420","0")+IF($BP$8="N","600","0")+IF($BP$8="M1","380","0")+IF($BP$8="P1","380","0")+IF($BP$8="L104","0","0")+IF($BP$8="MAL","0","0")+IF($BP$8="RC","0","0")+IF($BQ$8="M","420","0")+IF($BQ$8="P","420","0")+IF($BQ$8="F","420","0")+IF($BQ$8="N","600","0")+IF($BQ$8="M1","380","0")+IF($BQ$8="P1","380","0")+IF($BQ$8="L104","0","0")+IF($BQ$8="MAL","0","0")+IF($BQ$8="RC","0","0")+IF($BR$8="M","420","0")+IF($BR$8="P","420","0")+IF($BR$8="F","420","0")+IF($BR$8="N","600","0")+IF($BR$8="M1","380","0")+IF($BR$8="P1","380","0")+IF($BR$8="L104","0","0")+IF($BR$8="MAL","0","0")+IF($BR$8="RC","0","0")+IF($BS$8="M","420","0")+IF($BS$8="P","420","0")+IF($BS$8="F","420","0")+IF($BS$8="N","600","0")+IF($BS$8="M1","380","0")+IF($BS$8="P1","380","0")+IF($BS$8="L104","0","0")+IF($BS$8="MAL","0","0")+IF($BS$8="RC","0","0")+IF($BT$8="M","420","0")+IF($BT$8="P","420","0")+IF($BT$8="F","420","0")+IF($BT$8="N","600","0")+IF($BT$8="M1","380","0")+IF($BT$8="P1","380","0")+IF($BT$8="L104","0","0")+IF($BT$8="MAL","0","0")+IF($BT$8="RC","0","0")+IF($BU$8="M","420","0")+IF($BU$8="P","420","0")+IF($BU$8="F","420","0")+IF($BU$8="N","600","0")+IF($BU$8="M1","380","0")+IF($BU$8="P1","380","0")+IF($BU$8="L104","0","0")+IF($BU$8="MAL","0","0")+IF($BU$8="RC","0","0"))</f>
        <v>38:00</v>
      </c>
      <c r="BX8" t="str">
        <f>min_hour( hour_min($BW$8)+0-2280 + hour_min($BN$8))</f>
        <v>07:00</v>
      </c>
      <c r="BY8" t="s">
        <v>75</v>
      </c>
      <c r="BZ8" t="s">
        <v>74</v>
      </c>
      <c r="CA8" t="s">
        <v>74</v>
      </c>
      <c r="CB8" t="s">
        <v>75</v>
      </c>
      <c r="CC8" t="s">
        <v>73</v>
      </c>
      <c r="CD8" t="s">
        <v>74</v>
      </c>
      <c r="CE8" t="s">
        <v>74</v>
      </c>
      <c r="CF8" t="s">
        <v>1285</v>
      </c>
      <c r="CG8" t="str">
        <f>min_hour(+IF($BY$8="M","420","0")+IF($BY$8="P","420","0")+IF($BY$8="F","420","0")+IF($BY$8="N","600","0")+IF($BY$8="M1","380","0")+IF($BY$8="P1","380","0")+IF($BY$8="L104","0","0")+IF($BY$8="MAL","0","0")+IF($BY$8="RC","0","0")+IF($BZ$8="M","420","0")+IF($BZ$8="P","420","0")+IF($BZ$8="F","420","0")+IF($BZ$8="N","600","0")+IF($BZ$8="M1","380","0")+IF($BZ$8="P1","380","0")+IF($BZ$8="L104","0","0")+IF($BZ$8="MAL","0","0")+IF($BZ$8="RC","0","0")+IF($CA$8="M","420","0")+IF($CA$8="P","420","0")+IF($CA$8="F","420","0")+IF($CA$8="N","600","0")+IF($CA$8="M1","380","0")+IF($CA$8="P1","380","0")+IF($CA$8="L104","0","0")+IF($CA$8="MAL","0","0")+IF($CA$8="RC","0","0")+IF($CB$8="M","420","0")+IF($CB$8="P","420","0")+IF($CB$8="F","420","0")+IF($CB$8="N","600","0")+IF($CB$8="M1","380","0")+IF($CB$8="P1","380","0")+IF($CB$8="L104","0","0")+IF($CB$8="MAL","0","0")+IF($CB$8="RC","0","0")+IF($CC$8="M","420","0")+IF($CC$8="P","420","0")+IF($CC$8="F","420","0")+IF($CC$8="N","600","0")+IF($CC$8="M1","380","0")+IF($CC$8="P1","380","0")+IF($CC$8="L104","0","0")+IF($CC$8="MAL","0","0")+IF($CC$8="RC","0","0")+IF($CD$8="M","420","0")+IF($CD$8="P","420","0")+IF($CD$8="F","420","0")+IF($CD$8="N","600","0")+IF($CD$8="M1","380","0")+IF($CD$8="P1","380","0")+IF($CD$8="L104","0","0")+IF($CD$8="MAL","0","0")+IF($CD$8="RC","0","0")+IF($CE$8="M","420","0")+IF($CE$8="P","420","0")+IF($CE$8="F","420","0")+IF($CE$8="N","600","0")+IF($CE$8="M1","380","0")+IF($CE$8="P1","380","0")+IF($CE$8="L104","0","0")+IF($CE$8="MAL","0","0")+IF($CE$8="RC","0","0"))</f>
        <v>42:00</v>
      </c>
      <c r="CH8" t="str">
        <f>min_hour( hour_min($CG$8)+0-2280 + hour_min($BX$8))</f>
        <v>11:00</v>
      </c>
      <c r="CI8" t="s">
        <v>75</v>
      </c>
      <c r="CJ8" t="s">
        <v>76</v>
      </c>
      <c r="CK8" t="s">
        <v>77</v>
      </c>
      <c r="CL8" t="s">
        <v>73</v>
      </c>
      <c r="CM8" t="s">
        <v>74</v>
      </c>
      <c r="CN8" t="s">
        <v>75</v>
      </c>
      <c r="CO8" t="s">
        <v>75</v>
      </c>
      <c r="CP8" t="s">
        <v>1286</v>
      </c>
      <c r="CQ8" t="str">
        <f>min_hour(+IF($CI$8="M","420","0")+IF($CI$8="P","420","0")+IF($CI$8="F","420","0")+IF($CI$8="N","600","0")+IF($CI$8="M1","380","0")+IF($CI$8="P1","380","0")+IF($CI$8="L104","0","0")+IF($CI$8="MAL","0","0")+IF($CI$8="RC","0","0")+IF($CJ$8="M","420","0")+IF($CJ$8="P","420","0")+IF($CJ$8="F","420","0")+IF($CJ$8="N","600","0")+IF($CJ$8="M1","380","0")+IF($CJ$8="P1","380","0")+IF($CJ$8="L104","0","0")+IF($CJ$8="MAL","0","0")+IF($CJ$8="RC","0","0")+IF($CK$8="M","420","0")+IF($CK$8="P","420","0")+IF($CK$8="F","420","0")+IF($CK$8="N","600","0")+IF($CK$8="M1","380","0")+IF($CK$8="P1","380","0")+IF($CK$8="L104","0","0")+IF($CK$8="MAL","0","0")+IF($CK$8="RC","0","0")+IF($CL$8="M","420","0")+IF($CL$8="P","420","0")+IF($CL$8="F","420","0")+IF($CL$8="N","600","0")+IF($CL$8="M1","380","0")+IF($CL$8="P1","380","0")+IF($CL$8="L104","0","0")+IF($CL$8="MAL","0","0")+IF($CL$8="RC","0","0")+IF($CM$8="M","420","0")+IF($CM$8="P","420","0")+IF($CM$8="F","420","0")+IF($CM$8="N","600","0")+IF($CM$8="M1","380","0")+IF($CM$8="P1","380","0")+IF($CM$8="L104","0","0")+IF($CM$8="MAL","0","0")+IF($CM$8="RC","0","0")+IF($CN$8="M","420","0")+IF($CN$8="P","420","0")+IF($CN$8="F","420","0")+IF($CN$8="N","600","0")+IF($CN$8="M1","380","0")+IF($CN$8="P1","380","0")+IF($CN$8="L104","0","0")+IF($CN$8="MAL","0","0")+IF($CN$8="RC","0","0")+IF($CO$8="M","420","0")+IF($CO$8="P","420","0")+IF($CO$8="F","420","0")+IF($CO$8="N","600","0")+IF($CO$8="M1","380","0")+IF($CO$8="P1","380","0")+IF($CO$8="L104","0","0")+IF($CO$8="MAL","0","0")+IF($CO$8="RC","0","0"))</f>
        <v>38:00</v>
      </c>
      <c r="CR8" t="str">
        <f>min_hour( hour_min($CQ$8)+0-2280 + hour_min($CH$8))</f>
        <v>11:00</v>
      </c>
    </row>
    <row r="9" spans="1:96" x14ac:dyDescent="0.25">
      <c r="A9" t="s">
        <v>120</v>
      </c>
      <c r="B9" t="s">
        <v>13</v>
      </c>
      <c r="C9" t="s">
        <v>14</v>
      </c>
      <c r="D9" t="s">
        <v>1320</v>
      </c>
      <c r="E9">
        <v>1</v>
      </c>
      <c r="F9" s="1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Q9" t="s">
        <v>75</v>
      </c>
      <c r="R9" t="s">
        <v>73</v>
      </c>
      <c r="S9" t="s">
        <v>74</v>
      </c>
      <c r="T9" t="s">
        <v>75</v>
      </c>
      <c r="U9" t="s">
        <v>74</v>
      </c>
      <c r="V9" t="s">
        <v>75</v>
      </c>
      <c r="W9" t="s">
        <v>75</v>
      </c>
      <c r="X9" t="s">
        <v>1322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42:00</v>
      </c>
      <c r="Z9" t="str">
        <f>min_hour( hour_min($Y$9)+960-2280 + hour_min($P$9))</f>
        <v>20:00</v>
      </c>
      <c r="AA9" t="s">
        <v>73</v>
      </c>
      <c r="AB9" t="s">
        <v>75</v>
      </c>
      <c r="AC9" t="s">
        <v>75</v>
      </c>
      <c r="AD9" t="s">
        <v>74</v>
      </c>
      <c r="AE9" t="s">
        <v>75</v>
      </c>
      <c r="AF9" t="s">
        <v>75</v>
      </c>
      <c r="AG9" t="s">
        <v>73</v>
      </c>
      <c r="AH9" t="s">
        <v>1323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35:00</v>
      </c>
      <c r="AJ9" t="str">
        <f>min_hour( hour_min($AI$9)+0-2280 + hour_min($Z$9))</f>
        <v>17:00</v>
      </c>
      <c r="AK9" t="s">
        <v>75</v>
      </c>
      <c r="AL9" t="s">
        <v>74</v>
      </c>
      <c r="AM9" t="s">
        <v>75</v>
      </c>
      <c r="AN9" t="s">
        <v>74</v>
      </c>
      <c r="AO9" t="s">
        <v>75</v>
      </c>
      <c r="AP9" t="s">
        <v>73</v>
      </c>
      <c r="AQ9" t="s">
        <v>75</v>
      </c>
      <c r="AR9" t="s">
        <v>1324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42:00</v>
      </c>
      <c r="AT9" t="str">
        <f>min_hour( hour_min($AS$9)+0-2280 + hour_min($AJ$9))</f>
        <v>21:00</v>
      </c>
      <c r="AU9" t="s">
        <v>75</v>
      </c>
      <c r="AV9" t="s">
        <v>74</v>
      </c>
      <c r="AW9" t="s">
        <v>75</v>
      </c>
      <c r="AX9" t="s">
        <v>75</v>
      </c>
      <c r="AY9" t="s">
        <v>73</v>
      </c>
      <c r="AZ9" t="s">
        <v>74</v>
      </c>
      <c r="BA9" t="s">
        <v>74</v>
      </c>
      <c r="BB9" t="s">
        <v>1325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42:00</v>
      </c>
      <c r="BD9" t="str">
        <f>min_hour( hour_min($BC$9)+0-2280 + hour_min($AT$9))</f>
        <v>25:00</v>
      </c>
      <c r="BE9" t="s">
        <v>74</v>
      </c>
      <c r="BF9" t="s">
        <v>75</v>
      </c>
      <c r="BG9" t="s">
        <v>74</v>
      </c>
      <c r="BH9" t="s">
        <v>73</v>
      </c>
      <c r="BI9" t="s">
        <v>74</v>
      </c>
      <c r="BJ9" t="s">
        <v>75</v>
      </c>
      <c r="BK9" t="s">
        <v>74</v>
      </c>
      <c r="BL9" t="s">
        <v>1326</v>
      </c>
      <c r="BM9" t="str">
        <f>min_hour(+IF($BE$9="M","420","0")+IF($BE$9="P","420","0")+IF($BE$9="F","420","0")+IF($BE$9="N","600","0")+IF($BE$9="M1","380","0")+IF($BE$9="P1","380","0")+IF($BE$9="L104","0","0")+IF($BE$9="MAL","0","0")+IF($BE$9="RC","0","0")+IF($BF$9="M","420","0")+IF($BF$9="P","420","0")+IF($BF$9="F","420","0")+IF($BF$9="N","600","0")+IF($BF$9="M1","380","0")+IF($BF$9="P1","380","0")+IF($BF$9="L104","0","0")+IF($BF$9="MAL","0","0")+IF($BF$9="RC","0","0")+IF($BG$9="M","420","0")+IF($BG$9="P","420","0")+IF($BG$9="F","420","0")+IF($BG$9="N","600","0")+IF($BG$9="M1","380","0")+IF($BG$9="P1","380","0")+IF($BG$9="L104","0","0")+IF($BG$9="MAL","0","0")+IF($BG$9="RC","0","0")+IF($BH$9="M","420","0")+IF($BH$9="P","420","0")+IF($BH$9="F","420","0")+IF($BH$9="N","600","0")+IF($BH$9="M1","380","0")+IF($BH$9="P1","380","0")+IF($BH$9="L104","0","0")+IF($BH$9="MAL","0","0")+IF($BH$9="RC","0","0")+IF($BI$9="M","420","0")+IF($BI$9="P","420","0")+IF($BI$9="F","420","0")+IF($BI$9="N","600","0")+IF($BI$9="M1","380","0")+IF($BI$9="P1","380","0")+IF($BI$9="L104","0","0")+IF($BI$9="MAL","0","0")+IF($BI$9="RC","0","0")+IF($BJ$9="M","420","0")+IF($BJ$9="P","420","0")+IF($BJ$9="F","420","0")+IF($BJ$9="N","600","0")+IF($BJ$9="M1","380","0")+IF($BJ$9="P1","380","0")+IF($BJ$9="L104","0","0")+IF($BJ$9="MAL","0","0")+IF($BJ$9="RC","0","0")+IF($BK$9="M","420","0")+IF($BK$9="P","420","0")+IF($BK$9="F","420","0")+IF($BK$9="N","600","0")+IF($BK$9="M1","380","0")+IF($BK$9="P1","380","0")+IF($BK$9="L104","0","0")+IF($BK$9="MAL","0","0")+IF($BK$9="RC","0","0"))</f>
        <v>42:00</v>
      </c>
      <c r="BN9" t="str">
        <f>min_hour( hour_min($BM$9)+0-2280 + hour_min($BD$9))</f>
        <v>29:00</v>
      </c>
      <c r="BO9" t="s">
        <v>74</v>
      </c>
      <c r="BP9" t="s">
        <v>74</v>
      </c>
      <c r="BQ9" t="s">
        <v>73</v>
      </c>
      <c r="BR9" t="s">
        <v>75</v>
      </c>
      <c r="BS9" t="s">
        <v>75</v>
      </c>
      <c r="BT9" t="s">
        <v>74</v>
      </c>
      <c r="BU9" t="s">
        <v>75</v>
      </c>
      <c r="BV9" t="s">
        <v>1327</v>
      </c>
      <c r="BW9" t="str">
        <f>min_hour(+IF($BO$9="M","420","0")+IF($BO$9="P","420","0")+IF($BO$9="F","420","0")+IF($BO$9="N","600","0")+IF($BO$9="M1","380","0")+IF($BO$9="P1","380","0")+IF($BO$9="L104","0","0")+IF($BO$9="MAL","0","0")+IF($BO$9="RC","0","0")+IF($BP$9="M","420","0")+IF($BP$9="P","420","0")+IF($BP$9="F","420","0")+IF($BP$9="N","600","0")+IF($BP$9="M1","380","0")+IF($BP$9="P1","380","0")+IF($BP$9="L104","0","0")+IF($BP$9="MAL","0","0")+IF($BP$9="RC","0","0")+IF($BQ$9="M","420","0")+IF($BQ$9="P","420","0")+IF($BQ$9="F","420","0")+IF($BQ$9="N","600","0")+IF($BQ$9="M1","380","0")+IF($BQ$9="P1","380","0")+IF($BQ$9="L104","0","0")+IF($BQ$9="MAL","0","0")+IF($BQ$9="RC","0","0")+IF($BR$9="M","420","0")+IF($BR$9="P","420","0")+IF($BR$9="F","420","0")+IF($BR$9="N","600","0")+IF($BR$9="M1","380","0")+IF($BR$9="P1","380","0")+IF($BR$9="L104","0","0")+IF($BR$9="MAL","0","0")+IF($BR$9="RC","0","0")+IF($BS$9="M","420","0")+IF($BS$9="P","420","0")+IF($BS$9="F","420","0")+IF($BS$9="N","600","0")+IF($BS$9="M1","380","0")+IF($BS$9="P1","380","0")+IF($BS$9="L104","0","0")+IF($BS$9="MAL","0","0")+IF($BS$9="RC","0","0")+IF($BT$9="M","420","0")+IF($BT$9="P","420","0")+IF($BT$9="F","420","0")+IF($BT$9="N","600","0")+IF($BT$9="M1","380","0")+IF($BT$9="P1","380","0")+IF($BT$9="L104","0","0")+IF($BT$9="MAL","0","0")+IF($BT$9="RC","0","0")+IF($BU$9="M","420","0")+IF($BU$9="P","420","0")+IF($BU$9="F","420","0")+IF($BU$9="N","600","0")+IF($BU$9="M1","380","0")+IF($BU$9="P1","380","0")+IF($BU$9="L104","0","0")+IF($BU$9="MAL","0","0")+IF($BU$9="RC","0","0"))</f>
        <v>42:00</v>
      </c>
      <c r="BX9" t="str">
        <f>min_hour( hour_min($BW$9)+0-2280 + hour_min($BN$9))</f>
        <v>33:00</v>
      </c>
      <c r="BY9" t="s">
        <v>75</v>
      </c>
      <c r="BZ9" t="s">
        <v>73</v>
      </c>
      <c r="CA9" t="s">
        <v>74</v>
      </c>
      <c r="CB9" t="s">
        <v>75</v>
      </c>
      <c r="CC9" t="s">
        <v>74</v>
      </c>
      <c r="CD9" t="s">
        <v>75</v>
      </c>
      <c r="CE9" t="s">
        <v>75</v>
      </c>
      <c r="CF9" t="s">
        <v>1322</v>
      </c>
      <c r="CG9" t="str">
        <f>min_hour(+IF($BY$9="M","420","0")+IF($BY$9="P","420","0")+IF($BY$9="F","420","0")+IF($BY$9="N","600","0")+IF($BY$9="M1","380","0")+IF($BY$9="P1","380","0")+IF($BY$9="L104","0","0")+IF($BY$9="MAL","0","0")+IF($BY$9="RC","0","0")+IF($BZ$9="M","420","0")+IF($BZ$9="P","420","0")+IF($BZ$9="F","420","0")+IF($BZ$9="N","600","0")+IF($BZ$9="M1","380","0")+IF($BZ$9="P1","380","0")+IF($BZ$9="L104","0","0")+IF($BZ$9="MAL","0","0")+IF($BZ$9="RC","0","0")+IF($CA$9="M","420","0")+IF($CA$9="P","420","0")+IF($CA$9="F","420","0")+IF($CA$9="N","600","0")+IF($CA$9="M1","380","0")+IF($CA$9="P1","380","0")+IF($CA$9="L104","0","0")+IF($CA$9="MAL","0","0")+IF($CA$9="RC","0","0")+IF($CB$9="M","420","0")+IF($CB$9="P","420","0")+IF($CB$9="F","420","0")+IF($CB$9="N","600","0")+IF($CB$9="M1","380","0")+IF($CB$9="P1","380","0")+IF($CB$9="L104","0","0")+IF($CB$9="MAL","0","0")+IF($CB$9="RC","0","0")+IF($CC$9="M","420","0")+IF($CC$9="P","420","0")+IF($CC$9="F","420","0")+IF($CC$9="N","600","0")+IF($CC$9="M1","380","0")+IF($CC$9="P1","380","0")+IF($CC$9="L104","0","0")+IF($CC$9="MAL","0","0")+IF($CC$9="RC","0","0")+IF($CD$9="M","420","0")+IF($CD$9="P","420","0")+IF($CD$9="F","420","0")+IF($CD$9="N","600","0")+IF($CD$9="M1","380","0")+IF($CD$9="P1","380","0")+IF($CD$9="L104","0","0")+IF($CD$9="MAL","0","0")+IF($CD$9="RC","0","0")+IF($CE$9="M","420","0")+IF($CE$9="P","420","0")+IF($CE$9="F","420","0")+IF($CE$9="N","600","0")+IF($CE$9="M1","380","0")+IF($CE$9="P1","380","0")+IF($CE$9="L104","0","0")+IF($CE$9="MAL","0","0")+IF($CE$9="RC","0","0"))</f>
        <v>42:00</v>
      </c>
      <c r="CH9" t="str">
        <f>min_hour( hour_min($CG$9)+0-2280 + hour_min($BX$9))</f>
        <v>37:00</v>
      </c>
      <c r="CI9" t="s">
        <v>73</v>
      </c>
      <c r="CJ9" t="s">
        <v>75</v>
      </c>
      <c r="CK9" t="s">
        <v>75</v>
      </c>
      <c r="CL9" t="s">
        <v>74</v>
      </c>
      <c r="CM9" t="s">
        <v>75</v>
      </c>
      <c r="CN9" t="s">
        <v>75</v>
      </c>
      <c r="CO9" t="s">
        <v>73</v>
      </c>
      <c r="CP9" t="s">
        <v>1323</v>
      </c>
      <c r="CQ9" t="str">
        <f>min_hour(+IF($CI$9="M","420","0")+IF($CI$9="P","420","0")+IF($CI$9="F","420","0")+IF($CI$9="N","600","0")+IF($CI$9="M1","380","0")+IF($CI$9="P1","380","0")+IF($CI$9="L104","0","0")+IF($CI$9="MAL","0","0")+IF($CI$9="RC","0","0")+IF($CJ$9="M","420","0")+IF($CJ$9="P","420","0")+IF($CJ$9="F","420","0")+IF($CJ$9="N","600","0")+IF($CJ$9="M1","380","0")+IF($CJ$9="P1","380","0")+IF($CJ$9="L104","0","0")+IF($CJ$9="MAL","0","0")+IF($CJ$9="RC","0","0")+IF($CK$9="M","420","0")+IF($CK$9="P","420","0")+IF($CK$9="F","420","0")+IF($CK$9="N","600","0")+IF($CK$9="M1","380","0")+IF($CK$9="P1","380","0")+IF($CK$9="L104","0","0")+IF($CK$9="MAL","0","0")+IF($CK$9="RC","0","0")+IF($CL$9="M","420","0")+IF($CL$9="P","420","0")+IF($CL$9="F","420","0")+IF($CL$9="N","600","0")+IF($CL$9="M1","380","0")+IF($CL$9="P1","380","0")+IF($CL$9="L104","0","0")+IF($CL$9="MAL","0","0")+IF($CL$9="RC","0","0")+IF($CM$9="M","420","0")+IF($CM$9="P","420","0")+IF($CM$9="F","420","0")+IF($CM$9="N","600","0")+IF($CM$9="M1","380","0")+IF($CM$9="P1","380","0")+IF($CM$9="L104","0","0")+IF($CM$9="MAL","0","0")+IF($CM$9="RC","0","0")+IF($CN$9="M","420","0")+IF($CN$9="P","420","0")+IF($CN$9="F","420","0")+IF($CN$9="N","600","0")+IF($CN$9="M1","380","0")+IF($CN$9="P1","380","0")+IF($CN$9="L104","0","0")+IF($CN$9="MAL","0","0")+IF($CN$9="RC","0","0")+IF($CO$9="M","420","0")+IF($CO$9="P","420","0")+IF($CO$9="F","420","0")+IF($CO$9="N","600","0")+IF($CO$9="M1","380","0")+IF($CO$9="P1","380","0")+IF($CO$9="L104","0","0")+IF($CO$9="MAL","0","0")+IF($CO$9="RC","0","0"))</f>
        <v>35:00</v>
      </c>
      <c r="CR9" t="str">
        <f>min_hour( hour_min($CQ$9)+0-2280 + hour_min($CH$9))</f>
        <v>34:00</v>
      </c>
    </row>
    <row r="10" spans="1:9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  <c r="X10" t="s">
        <v>1284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38:00</v>
      </c>
      <c r="Z10" t="str">
        <f>min_hour( hour_min($Y$10)+-300-2280 + hour_min($P$10))</f>
        <v>-05:00</v>
      </c>
      <c r="AA10" t="s">
        <v>75</v>
      </c>
      <c r="AB10" t="s">
        <v>74</v>
      </c>
      <c r="AC10" t="s">
        <v>74</v>
      </c>
      <c r="AD10" t="s">
        <v>75</v>
      </c>
      <c r="AE10" t="s">
        <v>73</v>
      </c>
      <c r="AF10" t="s">
        <v>74</v>
      </c>
      <c r="AG10" t="s">
        <v>74</v>
      </c>
      <c r="AH10" t="s">
        <v>1285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42:00</v>
      </c>
      <c r="AJ10" t="str">
        <f>min_hour( hour_min($AI$10)+0-2280 + hour_min($Z$10))</f>
        <v>-01:00</v>
      </c>
      <c r="AK10" t="s">
        <v>75</v>
      </c>
      <c r="AL10" t="s">
        <v>76</v>
      </c>
      <c r="AM10" t="s">
        <v>77</v>
      </c>
      <c r="AN10" t="s">
        <v>73</v>
      </c>
      <c r="AO10" t="s">
        <v>74</v>
      </c>
      <c r="AP10" t="s">
        <v>75</v>
      </c>
      <c r="AQ10" t="s">
        <v>75</v>
      </c>
      <c r="AR10" t="s">
        <v>1286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38:00</v>
      </c>
      <c r="AT10" t="str">
        <f>min_hour( hour_min($AS$10)+0-2280 + hour_min($AJ$10))</f>
        <v>-01:00</v>
      </c>
      <c r="AU10" t="s">
        <v>75</v>
      </c>
      <c r="AV10" t="s">
        <v>75</v>
      </c>
      <c r="AW10" t="s">
        <v>73</v>
      </c>
      <c r="AX10" t="s">
        <v>75</v>
      </c>
      <c r="AY10" t="s">
        <v>75</v>
      </c>
      <c r="AZ10" t="s">
        <v>76</v>
      </c>
      <c r="BA10" t="s">
        <v>77</v>
      </c>
      <c r="BB10" t="s">
        <v>1287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38:00</v>
      </c>
      <c r="BD10" t="str">
        <f>min_hour( hour_min($BC$10)+0-2280 + hour_min($AT$10))</f>
        <v>-01:00</v>
      </c>
      <c r="BE10" t="s">
        <v>73</v>
      </c>
      <c r="BF10" t="s">
        <v>74</v>
      </c>
      <c r="BG10" t="s">
        <v>75</v>
      </c>
      <c r="BH10" t="s">
        <v>75</v>
      </c>
      <c r="BI10" t="s">
        <v>76</v>
      </c>
      <c r="BJ10" t="s">
        <v>77</v>
      </c>
      <c r="BK10" t="s">
        <v>73</v>
      </c>
      <c r="BL10" t="s">
        <v>1288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31:00</v>
      </c>
      <c r="BN10" t="str">
        <f>min_hour( hour_min($BM$10)+0-2280 + hour_min($BD$10))</f>
        <v>-08:00</v>
      </c>
      <c r="BO10" t="s">
        <v>74</v>
      </c>
      <c r="BP10" t="s">
        <v>75</v>
      </c>
      <c r="BQ10" t="s">
        <v>75</v>
      </c>
      <c r="BR10" t="s">
        <v>75</v>
      </c>
      <c r="BS10" t="s">
        <v>75</v>
      </c>
      <c r="BT10" t="s">
        <v>73</v>
      </c>
      <c r="BU10" t="s">
        <v>75</v>
      </c>
      <c r="BV10" t="s">
        <v>1278</v>
      </c>
      <c r="BW10" t="str">
        <f>min_hour(+IF($BO$10="M","420","0")+IF($BO$10="P","420","0")+IF($BO$10="F","420","0")+IF($BO$10="N","600","0")+IF($BO$10="M1","380","0")+IF($BO$10="P1","380","0")+IF($BO$10="L104","0","0")+IF($BO$10="MAL","0","0")+IF($BO$10="RC","0","0")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)</f>
        <v>42:00</v>
      </c>
      <c r="BX10" t="str">
        <f>min_hour( hour_min($BW$10)+0-2280 + hour_min($BN$10))</f>
        <v>-04:00</v>
      </c>
      <c r="BY10" t="s">
        <v>74</v>
      </c>
      <c r="BZ10" t="s">
        <v>75</v>
      </c>
      <c r="CA10" t="s">
        <v>76</v>
      </c>
      <c r="CB10" t="s">
        <v>77</v>
      </c>
      <c r="CC10" t="s">
        <v>73</v>
      </c>
      <c r="CD10" t="s">
        <v>74</v>
      </c>
      <c r="CE10" t="s">
        <v>75</v>
      </c>
      <c r="CF10" t="s">
        <v>1279</v>
      </c>
      <c r="CG10" t="str">
        <f>min_hour(+IF($BY$10="M","420","0")+IF($BY$10="P","420","0")+IF($BY$10="F","420","0")+IF($BY$10="N","600","0")+IF($BY$10="M1","380","0")+IF($BY$10="P1","380","0")+IF($BY$10="L104","0","0")+IF($BY$10="MAL","0","0")+IF($BY$10="RC","0","0")+IF($BZ$10="M","420","0")+IF($BZ$10="P","420","0")+IF($BZ$10="F","420","0")+IF($BZ$10="N","600","0")+IF($BZ$10="M1","380","0")+IF($BZ$10="P1","380","0")+IF($BZ$10="L104","0","0")+IF($BZ$10="MAL","0","0")+IF($BZ$10="RC","0","0")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)</f>
        <v>38:00</v>
      </c>
      <c r="CH10" t="str">
        <f>min_hour( hour_min($CG$10)+0-2280 + hour_min($BX$10))</f>
        <v>-04:00</v>
      </c>
      <c r="CI10" t="s">
        <v>74</v>
      </c>
      <c r="CJ10" t="s">
        <v>75</v>
      </c>
      <c r="CK10" t="s">
        <v>74</v>
      </c>
      <c r="CL10" t="s">
        <v>73</v>
      </c>
      <c r="CM10" t="s">
        <v>74</v>
      </c>
      <c r="CN10" t="s">
        <v>74</v>
      </c>
      <c r="CO10" t="s">
        <v>75</v>
      </c>
      <c r="CP10" t="s">
        <v>1280</v>
      </c>
      <c r="CQ10" t="str">
        <f>min_hour(+IF($CI$10="M","420","0")+IF($CI$10="P","420","0")+IF($CI$10="F","420","0")+IF($CI$10="N","600","0")+IF($CI$10="M1","380","0")+IF($CI$10="P1","380","0")+IF($CI$10="L104","0","0")+IF($CI$10="MAL","0","0")+IF($CI$10="RC","0","0")+IF($CJ$10="M","420","0")+IF($CJ$10="P","420","0")+IF($CJ$10="F","420","0")+IF($CJ$10="N","600","0")+IF($CJ$10="M1","380","0")+IF($CJ$10="P1","380","0")+IF($CJ$10="L104","0","0")+IF($CJ$10="MAL","0","0")+IF($CJ$10="RC","0","0")+IF($CK$10="M","420","0")+IF($CK$10="P","420","0")+IF($CK$10="F","420","0")+IF($CK$10="N","600","0")+IF($CK$10="M1","380","0")+IF($CK$10="P1","380","0")+IF($CK$10="L104","0","0")+IF($CK$10="MAL","0","0")+IF($CK$10="RC","0","0")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)</f>
        <v>42:00</v>
      </c>
      <c r="CR10" t="str">
        <f>min_hour( hour_min($CQ$10)+0-2280 + hour_min($CH$10))</f>
        <v>00:00</v>
      </c>
    </row>
    <row r="11" spans="1:9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">
        <v>75</v>
      </c>
      <c r="W11" t="s">
        <v>75</v>
      </c>
      <c r="X11" t="s">
        <v>1286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hour_min($Y$11)+120-2280 + hour_min($P$11))</f>
        <v>02:00</v>
      </c>
      <c r="AA11" t="s">
        <v>75</v>
      </c>
      <c r="AB11" t="s">
        <v>75</v>
      </c>
      <c r="AC11" t="s">
        <v>73</v>
      </c>
      <c r="AD11" t="s">
        <v>75</v>
      </c>
      <c r="AE11" t="s">
        <v>75</v>
      </c>
      <c r="AF11" t="s">
        <v>76</v>
      </c>
      <c r="AG11" t="s">
        <v>77</v>
      </c>
      <c r="AH11" t="s">
        <v>1287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38:00</v>
      </c>
      <c r="AJ11" t="str">
        <f>min_hour( hour_min($AI$11)+0-2280 + hour_min($Z$11))</f>
        <v>02:00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77</v>
      </c>
      <c r="AQ11" t="s">
        <v>73</v>
      </c>
      <c r="AR11" t="s">
        <v>1288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31:00</v>
      </c>
      <c r="AT11" t="str">
        <f>min_hour( hour_min($AS$11)+0-2280 + hour_min($AJ$11))</f>
        <v>-05:00</v>
      </c>
      <c r="AU11" t="s">
        <v>74</v>
      </c>
      <c r="AV11" t="s">
        <v>75</v>
      </c>
      <c r="AW11" t="s">
        <v>75</v>
      </c>
      <c r="AX11" t="s">
        <v>75</v>
      </c>
      <c r="AY11" t="s">
        <v>75</v>
      </c>
      <c r="AZ11" t="s">
        <v>73</v>
      </c>
      <c r="BA11" t="s">
        <v>75</v>
      </c>
      <c r="BB11" t="s">
        <v>1278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42:00</v>
      </c>
      <c r="BD11" t="str">
        <f>min_hour( hour_min($BC$11)+0-2280 + hour_min($AT$11))</f>
        <v>-01:00</v>
      </c>
      <c r="BE11" t="s">
        <v>74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1279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hour_min($BM$11)+0-2280 + hour_min($BD$11))</f>
        <v>-01:00</v>
      </c>
      <c r="BO11" t="s">
        <v>74</v>
      </c>
      <c r="BP11" t="s">
        <v>75</v>
      </c>
      <c r="BQ11" t="s">
        <v>74</v>
      </c>
      <c r="BR11" t="s">
        <v>73</v>
      </c>
      <c r="BS11" t="s">
        <v>74</v>
      </c>
      <c r="BT11" t="s">
        <v>74</v>
      </c>
      <c r="BU11" t="s">
        <v>75</v>
      </c>
      <c r="BV11" t="s">
        <v>1280</v>
      </c>
      <c r="BW11" t="str">
        <f>min_hour(+IF($BO$11="M","420","0")+IF($BO$11="P","420","0")+IF($BO$11="F","420","0")+IF($BO$11="N","600","0")+IF($BO$11="M1","380","0")+IF($BO$11="P1","380","0")+IF($BO$11="L104","0","0")+IF($BO$11="MAL","0","0")+IF($BO$11="RC","0","0")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)</f>
        <v>42:00</v>
      </c>
      <c r="BX11" t="str">
        <f>min_hour( hour_min($BW$11)+0-2280 + hour_min($BN$11))</f>
        <v>03:00</v>
      </c>
      <c r="BY11" t="s">
        <v>76</v>
      </c>
      <c r="BZ11" t="s">
        <v>77</v>
      </c>
      <c r="CA11" t="s">
        <v>73</v>
      </c>
      <c r="CB11" t="s">
        <v>74</v>
      </c>
      <c r="CC11" t="s">
        <v>75</v>
      </c>
      <c r="CD11" t="s">
        <v>75</v>
      </c>
      <c r="CE11" t="s">
        <v>76</v>
      </c>
      <c r="CF11" t="s">
        <v>1281</v>
      </c>
      <c r="CG11" t="str">
        <f>min_hour(+IF($BY$11="M","420","0")+IF($BY$11="P","420","0")+IF($BY$11="F","420","0")+IF($BY$11="N","600","0")+IF($BY$11="M1","380","0")+IF($BY$11="P1","380","0")+IF($BY$11="L104","0","0")+IF($BY$11="MAL","0","0")+IF($BY$11="RC","0","0")+IF($BZ$11="M","420","0")+IF($BZ$11="P","420","0")+IF($BZ$11="F","420","0")+IF($BZ$11="N","600","0")+IF($BZ$11="M1","380","0")+IF($BZ$11="P1","380","0")+IF($BZ$11="L104","0","0")+IF($BZ$11="MAL","0","0")+IF($BZ$11="RC","0","0")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)</f>
        <v>41:00</v>
      </c>
      <c r="CH11" t="str">
        <f>min_hour( hour_min($CG$11)+0-2280 + hour_min($BX$11))</f>
        <v>06:00</v>
      </c>
      <c r="CI11" t="s">
        <v>77</v>
      </c>
      <c r="CJ11" t="s">
        <v>73</v>
      </c>
      <c r="CK11" t="s">
        <v>74</v>
      </c>
      <c r="CL11" t="s">
        <v>74</v>
      </c>
      <c r="CM11" t="s">
        <v>75</v>
      </c>
      <c r="CN11" t="s">
        <v>75</v>
      </c>
      <c r="CO11" t="s">
        <v>74</v>
      </c>
      <c r="CP11" t="s">
        <v>1282</v>
      </c>
      <c r="CQ11" t="str">
        <f>min_hour(+IF($CI$11="M","420","0")+IF($CI$11="P","420","0")+IF($CI$11="F","420","0")+IF($CI$11="N","600","0")+IF($CI$11="M1","380","0")+IF($CI$11="P1","380","0")+IF($CI$11="L104","0","0")+IF($CI$11="MAL","0","0")+IF($CI$11="RC","0","0")+IF($CJ$11="M","420","0")+IF($CJ$11="P","420","0")+IF($CJ$11="F","420","0")+IF($CJ$11="N","600","0")+IF($CJ$11="M1","380","0")+IF($CJ$11="P1","380","0")+IF($CJ$11="L104","0","0")+IF($CJ$11="MAL","0","0")+IF($CJ$11="RC","0","0")+IF($CK$11="M","420","0")+IF($CK$11="P","420","0")+IF($CK$11="F","420","0")+IF($CK$11="N","600","0")+IF($CK$11="M1","380","0")+IF($CK$11="P1","380","0")+IF($CK$11="L104","0","0")+IF($CK$11="MAL","0","0")+IF($CK$11="RC","0","0")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)</f>
        <v>35:00</v>
      </c>
      <c r="CR11" t="str">
        <f>min_hour( hour_min($CQ$11)+0-2280 + hour_min($CH$11))</f>
        <v>03:00</v>
      </c>
    </row>
    <row r="12" spans="1:9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Q12" t="s">
        <v>75</v>
      </c>
      <c r="R12" t="s">
        <v>74</v>
      </c>
      <c r="S12" t="s">
        <v>74</v>
      </c>
      <c r="T12" t="s">
        <v>75</v>
      </c>
      <c r="U12" t="s">
        <v>73</v>
      </c>
      <c r="V12" t="s">
        <v>74</v>
      </c>
      <c r="W12" t="s">
        <v>74</v>
      </c>
      <c r="X12" t="s">
        <v>1285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  <c r="AA12" t="s">
        <v>75</v>
      </c>
      <c r="AB12" t="s">
        <v>76</v>
      </c>
      <c r="AC12" t="s">
        <v>77</v>
      </c>
      <c r="AD12" t="s">
        <v>73</v>
      </c>
      <c r="AE12" t="s">
        <v>74</v>
      </c>
      <c r="AF12" t="s">
        <v>75</v>
      </c>
      <c r="AG12" t="s">
        <v>75</v>
      </c>
      <c r="AH12" t="s">
        <v>1286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hour_min($AI$12)+0-2280 + hour_min($Z$12))</f>
        <v>10:00</v>
      </c>
      <c r="AK12" t="s">
        <v>75</v>
      </c>
      <c r="AL12" t="s">
        <v>75</v>
      </c>
      <c r="AM12" t="s">
        <v>73</v>
      </c>
      <c r="AN12" t="s">
        <v>75</v>
      </c>
      <c r="AO12" t="s">
        <v>75</v>
      </c>
      <c r="AP12" t="s">
        <v>76</v>
      </c>
      <c r="AQ12" t="s">
        <v>77</v>
      </c>
      <c r="AR12" t="s">
        <v>1287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38:00</v>
      </c>
      <c r="AT12" t="str">
        <f>min_hour( hour_min($AS$12)+0-2280 + hour_min($AJ$12))</f>
        <v>10:00</v>
      </c>
      <c r="AU12" t="s">
        <v>73</v>
      </c>
      <c r="AV12" t="s">
        <v>74</v>
      </c>
      <c r="AW12" t="s">
        <v>75</v>
      </c>
      <c r="AX12" t="s">
        <v>75</v>
      </c>
      <c r="AY12" t="s">
        <v>76</v>
      </c>
      <c r="AZ12" t="s">
        <v>77</v>
      </c>
      <c r="BA12" t="s">
        <v>73</v>
      </c>
      <c r="BB12" t="s">
        <v>1288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31:00</v>
      </c>
      <c r="BD12" t="str">
        <f>min_hour( hour_min($BC$12)+0-2280 + hour_min($AT$12))</f>
        <v>03:00</v>
      </c>
      <c r="BE12" t="s">
        <v>74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1278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hour_min($BM$12)+0-2280 + hour_min($BD$12))</f>
        <v>07:00</v>
      </c>
      <c r="BO12" t="s">
        <v>74</v>
      </c>
      <c r="BP12" t="s">
        <v>75</v>
      </c>
      <c r="BQ12" t="s">
        <v>76</v>
      </c>
      <c r="BR12" t="s">
        <v>77</v>
      </c>
      <c r="BS12" t="s">
        <v>73</v>
      </c>
      <c r="BT12" t="s">
        <v>74</v>
      </c>
      <c r="BU12" t="s">
        <v>75</v>
      </c>
      <c r="BV12" t="s">
        <v>1279</v>
      </c>
      <c r="BW12" t="str">
        <f>min_hour(+IF($BO$12="M","420","0")+IF($BO$12="P","420","0")+IF($BO$12="F","420","0")+IF($BO$12="N","600","0")+IF($BO$12="M1","380","0")+IF($BO$12="P1","380","0")+IF($BO$12="L104","0","0")+IF($BO$12="MAL","0","0")+IF($BO$12="RC","0","0")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)</f>
        <v>38:00</v>
      </c>
      <c r="BX12" t="str">
        <f>min_hour( hour_min($BW$12)+0-2280 + hour_min($BN$12))</f>
        <v>07:00</v>
      </c>
      <c r="BY12" t="s">
        <v>74</v>
      </c>
      <c r="BZ12" t="s">
        <v>75</v>
      </c>
      <c r="CA12" t="s">
        <v>74</v>
      </c>
      <c r="CB12" t="s">
        <v>73</v>
      </c>
      <c r="CC12" t="s">
        <v>74</v>
      </c>
      <c r="CD12" t="s">
        <v>74</v>
      </c>
      <c r="CE12" t="s">
        <v>75</v>
      </c>
      <c r="CF12" t="s">
        <v>1280</v>
      </c>
      <c r="CG12" t="str">
        <f>min_hour(+IF($BY$12="M","420","0")+IF($BY$12="P","420","0")+IF($BY$12="F","420","0")+IF($BY$12="N","600","0")+IF($BY$12="M1","380","0")+IF($BY$12="P1","380","0")+IF($BY$12="L104","0","0")+IF($BY$12="MAL","0","0")+IF($BY$12="RC","0","0")+IF($BZ$12="M","420","0")+IF($BZ$12="P","420","0")+IF($BZ$12="F","420","0")+IF($BZ$12="N","600","0")+IF($BZ$12="M1","380","0")+IF($BZ$12="P1","380","0")+IF($BZ$12="L104","0","0")+IF($BZ$12="MAL","0","0")+IF($BZ$12="RC","0","0")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)</f>
        <v>42:00</v>
      </c>
      <c r="CH12" t="str">
        <f>min_hour( hour_min($CG$12)+0-2280 + hour_min($BX$12))</f>
        <v>11:00</v>
      </c>
      <c r="CI12" t="s">
        <v>76</v>
      </c>
      <c r="CJ12" t="s">
        <v>77</v>
      </c>
      <c r="CK12" t="s">
        <v>73</v>
      </c>
      <c r="CL12" t="s">
        <v>74</v>
      </c>
      <c r="CM12" t="s">
        <v>75</v>
      </c>
      <c r="CN12" t="s">
        <v>75</v>
      </c>
      <c r="CO12" t="s">
        <v>76</v>
      </c>
      <c r="CP12" t="s">
        <v>1281</v>
      </c>
      <c r="CQ12" t="str">
        <f>min_hour(+IF($CI$12="M","420","0")+IF($CI$12="P","420","0")+IF($CI$12="F","420","0")+IF($CI$12="N","600","0")+IF($CI$12="M1","380","0")+IF($CI$12="P1","380","0")+IF($CI$12="L104","0","0")+IF($CI$12="MAL","0","0")+IF($CI$12="RC","0","0")+IF($CJ$12="M","420","0")+IF($CJ$12="P","420","0")+IF($CJ$12="F","420","0")+IF($CJ$12="N","600","0")+IF($CJ$12="M1","380","0")+IF($CJ$12="P1","380","0")+IF($CJ$12="L104","0","0")+IF($CJ$12="MAL","0","0")+IF($CJ$12="RC","0","0")+IF($CK$12="M","420","0")+IF($CK$12="P","420","0")+IF($CK$12="F","420","0")+IF($CK$12="N","600","0")+IF($CK$12="M1","380","0")+IF($CK$12="P1","380","0")+IF($CK$12="L104","0","0")+IF($CK$12="MAL","0","0")+IF($CK$12="RC","0","0")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)</f>
        <v>41:00</v>
      </c>
      <c r="CR12" t="str">
        <f>min_hour( hour_min($CQ$12)+0-2280 + hour_min($CH$12))</f>
        <v>14:00</v>
      </c>
    </row>
    <row r="13" spans="1:9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">
        <v>74</v>
      </c>
      <c r="W13" t="s">
        <v>74</v>
      </c>
      <c r="X13" t="s">
        <v>1325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hour_min($Y$13)+600-2280 + hour_min($P$13))</f>
        <v>14:00</v>
      </c>
      <c r="AA13" t="s">
        <v>74</v>
      </c>
      <c r="AB13" t="s">
        <v>75</v>
      </c>
      <c r="AC13" t="s">
        <v>74</v>
      </c>
      <c r="AD13" t="s">
        <v>73</v>
      </c>
      <c r="AE13" t="s">
        <v>74</v>
      </c>
      <c r="AF13" t="s">
        <v>75</v>
      </c>
      <c r="AG13" t="s">
        <v>74</v>
      </c>
      <c r="AH13" t="s">
        <v>1326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42:00</v>
      </c>
      <c r="AJ13" t="str">
        <f>min_hour( hour_min($AI$13)+0-2280 + hour_min($Z$13))</f>
        <v>18:00</v>
      </c>
      <c r="AK13" t="s">
        <v>74</v>
      </c>
      <c r="AL13" t="s">
        <v>74</v>
      </c>
      <c r="AM13" t="s">
        <v>73</v>
      </c>
      <c r="AN13" t="s">
        <v>75</v>
      </c>
      <c r="AO13" t="s">
        <v>75</v>
      </c>
      <c r="AP13" t="s">
        <v>74</v>
      </c>
      <c r="AQ13" t="s">
        <v>75</v>
      </c>
      <c r="AR13" t="s">
        <v>1327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42:00</v>
      </c>
      <c r="AT13" t="str">
        <f>min_hour( hour_min($AS$13)+0-2280 + hour_min($AJ$13))</f>
        <v>22:00</v>
      </c>
      <c r="AU13" t="s">
        <v>75</v>
      </c>
      <c r="AV13" t="s">
        <v>73</v>
      </c>
      <c r="AW13" t="s">
        <v>74</v>
      </c>
      <c r="AX13" t="s">
        <v>75</v>
      </c>
      <c r="AY13" t="s">
        <v>74</v>
      </c>
      <c r="AZ13" t="s">
        <v>75</v>
      </c>
      <c r="BA13" t="s">
        <v>75</v>
      </c>
      <c r="BB13" t="s">
        <v>1322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42:00</v>
      </c>
      <c r="BD13" t="str">
        <f>min_hour( hour_min($BC$13)+0-2280 + hour_min($AT$13))</f>
        <v>26:00</v>
      </c>
      <c r="BE13" t="s">
        <v>73</v>
      </c>
      <c r="BF13" t="s">
        <v>75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1323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hour_min($BM$13)+0-2280 + hour_min($BD$13))</f>
        <v>23:00</v>
      </c>
      <c r="BO13" t="s">
        <v>75</v>
      </c>
      <c r="BP13" t="s">
        <v>74</v>
      </c>
      <c r="BQ13" t="s">
        <v>75</v>
      </c>
      <c r="BR13" t="s">
        <v>74</v>
      </c>
      <c r="BS13" t="s">
        <v>75</v>
      </c>
      <c r="BT13" t="s">
        <v>73</v>
      </c>
      <c r="BU13" t="s">
        <v>75</v>
      </c>
      <c r="BV13" t="s">
        <v>1324</v>
      </c>
      <c r="BW13" t="str">
        <f>min_hour(+IF($BO$13="M","420","0")+IF($BO$13="P","420","0")+IF($BO$13="F","420","0")+IF($BO$13="N","600","0")+IF($BO$13="M1","380","0")+IF($BO$13="P1","380","0")+IF($BO$13="L104","0","0")+IF($BO$13="MAL","0","0")+IF($BO$13="RC","0","0")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)</f>
        <v>42:00</v>
      </c>
      <c r="BX13" t="str">
        <f>min_hour( hour_min($BW$13)+0-2280 + hour_min($BN$13))</f>
        <v>27:00</v>
      </c>
      <c r="BY13" t="s">
        <v>75</v>
      </c>
      <c r="BZ13" t="s">
        <v>74</v>
      </c>
      <c r="CA13" t="s">
        <v>75</v>
      </c>
      <c r="CB13" t="s">
        <v>75</v>
      </c>
      <c r="CC13" t="s">
        <v>73</v>
      </c>
      <c r="CD13" t="s">
        <v>74</v>
      </c>
      <c r="CE13" t="s">
        <v>74</v>
      </c>
      <c r="CF13" t="s">
        <v>1325</v>
      </c>
      <c r="CG13" t="str">
        <f>min_hour(+IF($BY$13="M","420","0")+IF($BY$13="P","420","0")+IF($BY$13="F","420","0")+IF($BY$13="N","600","0")+IF($BY$13="M1","380","0")+IF($BY$13="P1","380","0")+IF($BY$13="L104","0","0")+IF($BY$13="MAL","0","0")+IF($BY$13="RC","0","0")+IF($BZ$13="M","420","0")+IF($BZ$13="P","420","0")+IF($BZ$13="F","420","0")+IF($BZ$13="N","600","0")+IF($BZ$13="M1","380","0")+IF($BZ$13="P1","380","0")+IF($BZ$13="L104","0","0")+IF($BZ$13="MAL","0","0")+IF($BZ$13="RC","0","0")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)</f>
        <v>42:00</v>
      </c>
      <c r="CH13" t="str">
        <f>min_hour( hour_min($CG$13)+0-2280 + hour_min($BX$13))</f>
        <v>31:00</v>
      </c>
      <c r="CI13" t="s">
        <v>74</v>
      </c>
      <c r="CJ13" t="s">
        <v>75</v>
      </c>
      <c r="CK13" t="s">
        <v>74</v>
      </c>
      <c r="CL13" t="s">
        <v>73</v>
      </c>
      <c r="CM13" t="s">
        <v>74</v>
      </c>
      <c r="CN13" t="s">
        <v>75</v>
      </c>
      <c r="CO13" t="s">
        <v>74</v>
      </c>
      <c r="CP13" t="s">
        <v>1326</v>
      </c>
      <c r="CQ13" t="str">
        <f>min_hour(+IF($CI$13="M","420","0")+IF($CI$13="P","420","0")+IF($CI$13="F","420","0")+IF($CI$13="N","600","0")+IF($CI$13="M1","380","0")+IF($CI$13="P1","380","0")+IF($CI$13="L104","0","0")+IF($CI$13="MAL","0","0")+IF($CI$13="RC","0","0")+IF($CJ$13="M","420","0")+IF($CJ$13="P","420","0")+IF($CJ$13="F","420","0")+IF($CJ$13="N","600","0")+IF($CJ$13="M1","380","0")+IF($CJ$13="P1","380","0")+IF($CJ$13="L104","0","0")+IF($CJ$13="MAL","0","0")+IF($CJ$13="RC","0","0")+IF($CK$13="M","420","0")+IF($CK$13="P","420","0")+IF($CK$13="F","420","0")+IF($CK$13="N","600","0")+IF($CK$13="M1","380","0")+IF($CK$13="P1","380","0")+IF($CK$13="L104","0","0")+IF($CK$13="MAL","0","0")+IF($CK$13="RC","0","0")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)</f>
        <v>42:00</v>
      </c>
      <c r="CR13" t="str">
        <f>min_hour( hour_min($CQ$13)+0-2280 + hour_min($CH$13))</f>
        <v>35:00</v>
      </c>
    </row>
    <row r="14" spans="1:9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Q14" t="s">
        <v>74</v>
      </c>
      <c r="R14" t="s">
        <v>75</v>
      </c>
      <c r="S14" t="s">
        <v>74</v>
      </c>
      <c r="T14" t="s">
        <v>73</v>
      </c>
      <c r="U14" t="s">
        <v>74</v>
      </c>
      <c r="V14" t="s">
        <v>75</v>
      </c>
      <c r="W14" t="s">
        <v>74</v>
      </c>
      <c r="X14" t="s">
        <v>1326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hour_min($Y$14)+-1800-2280 + hour_min($P$14))</f>
        <v>-26:00</v>
      </c>
      <c r="AA14" t="s">
        <v>74</v>
      </c>
      <c r="AB14" t="s">
        <v>74</v>
      </c>
      <c r="AC14" t="s">
        <v>73</v>
      </c>
      <c r="AD14" t="s">
        <v>75</v>
      </c>
      <c r="AE14" t="s">
        <v>75</v>
      </c>
      <c r="AF14" t="s">
        <v>74</v>
      </c>
      <c r="AG14" t="s">
        <v>75</v>
      </c>
      <c r="AH14" t="s">
        <v>1327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hour_min($AI$14)+0-2280 + hour_min($Z$14))</f>
        <v>-22:00</v>
      </c>
      <c r="AK14" t="s">
        <v>75</v>
      </c>
      <c r="AL14" t="s">
        <v>73</v>
      </c>
      <c r="AM14" t="s">
        <v>74</v>
      </c>
      <c r="AN14" t="s">
        <v>75</v>
      </c>
      <c r="AO14" t="s">
        <v>74</v>
      </c>
      <c r="AP14" t="s">
        <v>75</v>
      </c>
      <c r="AQ14" t="s">
        <v>75</v>
      </c>
      <c r="AR14" t="s">
        <v>1322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hour_min($AS$14)+0-2280 + hour_min($AJ$14))</f>
        <v>-18:00</v>
      </c>
      <c r="AU14" t="s">
        <v>73</v>
      </c>
      <c r="AV14" t="s">
        <v>75</v>
      </c>
      <c r="AW14" t="s">
        <v>75</v>
      </c>
      <c r="AX14" t="s">
        <v>74</v>
      </c>
      <c r="AY14" t="s">
        <v>75</v>
      </c>
      <c r="AZ14" t="s">
        <v>75</v>
      </c>
      <c r="BA14" t="s">
        <v>73</v>
      </c>
      <c r="BB14" t="s">
        <v>1323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35:00</v>
      </c>
      <c r="BD14" t="str">
        <f>min_hour( hour_min($BC$14)+0-2280 + hour_min($AT$14))</f>
        <v>-21:00</v>
      </c>
      <c r="BE14" t="s">
        <v>75</v>
      </c>
      <c r="BF14" t="s">
        <v>74</v>
      </c>
      <c r="BG14" t="s">
        <v>75</v>
      </c>
      <c r="BH14" t="s">
        <v>74</v>
      </c>
      <c r="BI14" t="s">
        <v>75</v>
      </c>
      <c r="BJ14" t="s">
        <v>73</v>
      </c>
      <c r="BK14" t="s">
        <v>75</v>
      </c>
      <c r="BL14" t="s">
        <v>1324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42:00</v>
      </c>
      <c r="BN14" t="str">
        <f>min_hour( hour_min($BM$14)+0-2280 + hour_min($BD$14))</f>
        <v>-17:00</v>
      </c>
      <c r="BO14" t="s">
        <v>75</v>
      </c>
      <c r="BP14" t="s">
        <v>74</v>
      </c>
      <c r="BQ14" t="s">
        <v>75</v>
      </c>
      <c r="BR14" t="s">
        <v>75</v>
      </c>
      <c r="BS14" t="s">
        <v>73</v>
      </c>
      <c r="BT14" t="s">
        <v>74</v>
      </c>
      <c r="BU14" t="s">
        <v>74</v>
      </c>
      <c r="BV14" t="s">
        <v>1325</v>
      </c>
      <c r="BW14" t="str">
        <f>min_hour(+IF($BO$14="M","420","0")+IF($BO$14="P","420","0")+IF($BO$14="F","420","0")+IF($BO$14="N","600","0")+IF($BO$14="M1","380","0")+IF($BO$14="P1","380","0")+IF($BO$14="L104","0","0")+IF($BO$14="MAL","0","0")+IF($BO$14="RC","0","0")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)</f>
        <v>42:00</v>
      </c>
      <c r="BX14" t="str">
        <f>min_hour( hour_min($BW$14)+0-2280 + hour_min($BN$14))</f>
        <v>-13:00</v>
      </c>
      <c r="BY14" t="s">
        <v>74</v>
      </c>
      <c r="BZ14" t="s">
        <v>75</v>
      </c>
      <c r="CA14" t="s">
        <v>74</v>
      </c>
      <c r="CB14" t="s">
        <v>73</v>
      </c>
      <c r="CC14" t="s">
        <v>74</v>
      </c>
      <c r="CD14" t="s">
        <v>75</v>
      </c>
      <c r="CE14" t="s">
        <v>74</v>
      </c>
      <c r="CF14" t="s">
        <v>1326</v>
      </c>
      <c r="CG14" t="str">
        <f>min_hour(+IF($BY$14="M","420","0")+IF($BY$14="P","420","0")+IF($BY$14="F","420","0")+IF($BY$14="N","600","0")+IF($BY$14="M1","380","0")+IF($BY$14="P1","380","0")+IF($BY$14="L104","0","0")+IF($BY$14="MAL","0","0")+IF($BY$14="RC","0","0")+IF($BZ$14="M","420","0")+IF($BZ$14="P","420","0")+IF($BZ$14="F","420","0")+IF($BZ$14="N","600","0")+IF($BZ$14="M1","380","0")+IF($BZ$14="P1","380","0")+IF($BZ$14="L104","0","0")+IF($BZ$14="MAL","0","0")+IF($BZ$14="RC","0","0")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)</f>
        <v>42:00</v>
      </c>
      <c r="CH14" t="str">
        <f>min_hour( hour_min($CG$14)+0-2280 + hour_min($BX$14))</f>
        <v>-09:00</v>
      </c>
      <c r="CI14" t="s">
        <v>74</v>
      </c>
      <c r="CJ14" t="s">
        <v>74</v>
      </c>
      <c r="CK14" t="s">
        <v>73</v>
      </c>
      <c r="CL14" t="s">
        <v>75</v>
      </c>
      <c r="CM14" t="s">
        <v>75</v>
      </c>
      <c r="CN14" t="s">
        <v>74</v>
      </c>
      <c r="CO14" t="s">
        <v>75</v>
      </c>
      <c r="CP14" t="s">
        <v>1327</v>
      </c>
      <c r="CQ14" t="str">
        <f>min_hour(+IF($CI$14="M","420","0")+IF($CI$14="P","420","0")+IF($CI$14="F","420","0")+IF($CI$14="N","600","0")+IF($CI$14="M1","380","0")+IF($CI$14="P1","380","0")+IF($CI$14="L104","0","0")+IF($CI$14="MAL","0","0")+IF($CI$14="RC","0","0")+IF($CJ$14="M","420","0")+IF($CJ$14="P","420","0")+IF($CJ$14="F","420","0")+IF($CJ$14="N","600","0")+IF($CJ$14="M1","380","0")+IF($CJ$14="P1","380","0")+IF($CJ$14="L104","0","0")+IF($CJ$14="MAL","0","0")+IF($CJ$14="RC","0","0")+IF($CK$14="M","420","0")+IF($CK$14="P","420","0")+IF($CK$14="F","420","0")+IF($CK$14="N","600","0")+IF($CK$14="M1","380","0")+IF($CK$14="P1","380","0")+IF($CK$14="L104","0","0")+IF($CK$14="MAL","0","0")+IF($CK$14="RC","0","0")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)</f>
        <v>42:00</v>
      </c>
      <c r="CR14" t="str">
        <f>min_hour( hour_min($CQ$14)+0-2280 + hour_min($CH$14))</f>
        <v>-05:00</v>
      </c>
    </row>
    <row r="15" spans="1:9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Q15" t="s">
        <v>75</v>
      </c>
      <c r="R15" t="s">
        <v>75</v>
      </c>
      <c r="S15" t="s">
        <v>75</v>
      </c>
      <c r="T15" t="s">
        <v>76</v>
      </c>
      <c r="U15" t="s">
        <v>77</v>
      </c>
      <c r="V15" t="s">
        <v>73</v>
      </c>
      <c r="W15" t="s">
        <v>74</v>
      </c>
      <c r="X15" t="s">
        <v>1284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38:00</v>
      </c>
      <c r="Z15" t="str">
        <f>min_hour( hour_min($Y$15)+0-2280 + hour_min($P$15))</f>
        <v>00:00</v>
      </c>
      <c r="AA15" t="s">
        <v>75</v>
      </c>
      <c r="AB15" t="s">
        <v>74</v>
      </c>
      <c r="AC15" t="s">
        <v>74</v>
      </c>
      <c r="AD15" t="s">
        <v>75</v>
      </c>
      <c r="AE15" t="s">
        <v>73</v>
      </c>
      <c r="AF15" t="s">
        <v>74</v>
      </c>
      <c r="AG15" t="s">
        <v>74</v>
      </c>
      <c r="AH15" t="s">
        <v>1285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hour_min($AI$15)+0-2280 + hour_min($Z$15))</f>
        <v>04:00</v>
      </c>
      <c r="AK15" t="s">
        <v>75</v>
      </c>
      <c r="AL15" t="s">
        <v>76</v>
      </c>
      <c r="AM15" t="s">
        <v>77</v>
      </c>
      <c r="AN15" t="s">
        <v>73</v>
      </c>
      <c r="AO15" t="s">
        <v>74</v>
      </c>
      <c r="AP15" t="s">
        <v>75</v>
      </c>
      <c r="AQ15" t="s">
        <v>75</v>
      </c>
      <c r="AR15" t="s">
        <v>1286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38:00</v>
      </c>
      <c r="AT15" t="str">
        <f>min_hour( hour_min($AS$15)+0-2280 + hour_min($AJ$15))</f>
        <v>04:00</v>
      </c>
      <c r="AU15" t="s">
        <v>75</v>
      </c>
      <c r="AV15" t="s">
        <v>75</v>
      </c>
      <c r="AW15" t="s">
        <v>73</v>
      </c>
      <c r="AX15" t="s">
        <v>75</v>
      </c>
      <c r="AY15" t="s">
        <v>75</v>
      </c>
      <c r="AZ15" t="s">
        <v>76</v>
      </c>
      <c r="BA15" t="s">
        <v>77</v>
      </c>
      <c r="BB15" t="s">
        <v>1287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38:00</v>
      </c>
      <c r="BD15" t="str">
        <f>min_hour( hour_min($BC$15)+0-2280 + hour_min($AT$15))</f>
        <v>04:00</v>
      </c>
      <c r="BE15" t="s">
        <v>73</v>
      </c>
      <c r="BF15" t="s">
        <v>74</v>
      </c>
      <c r="BG15" t="s">
        <v>75</v>
      </c>
      <c r="BH15" t="s">
        <v>75</v>
      </c>
      <c r="BI15" t="s">
        <v>76</v>
      </c>
      <c r="BJ15" t="s">
        <v>77</v>
      </c>
      <c r="BK15" t="s">
        <v>73</v>
      </c>
      <c r="BL15" t="s">
        <v>1288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31:00</v>
      </c>
      <c r="BN15" t="str">
        <f>min_hour( hour_min($BM$15)+0-2280 + hour_min($BD$15))</f>
        <v>-03:00</v>
      </c>
      <c r="BO15" t="s">
        <v>74</v>
      </c>
      <c r="BP15" t="s">
        <v>75</v>
      </c>
      <c r="BQ15" t="s">
        <v>75</v>
      </c>
      <c r="BR15" t="s">
        <v>75</v>
      </c>
      <c r="BS15" t="s">
        <v>75</v>
      </c>
      <c r="BT15" t="s">
        <v>73</v>
      </c>
      <c r="BU15" t="s">
        <v>75</v>
      </c>
      <c r="BV15" t="s">
        <v>1278</v>
      </c>
      <c r="BW15" t="str">
        <f>min_hour(+IF($BO$15="M","420","0")+IF($BO$15="P","420","0")+IF($BO$15="F","420","0")+IF($BO$15="N","600","0")+IF($BO$15="M1","380","0")+IF($BO$15="P1","380","0")+IF($BO$15="L104","0","0")+IF($BO$15="MAL","0","0")+IF($BO$15="RC","0","0")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)</f>
        <v>42:00</v>
      </c>
      <c r="BX15" t="str">
        <f>min_hour( hour_min($BW$15)+0-2280 + hour_min($BN$15))</f>
        <v>01:00</v>
      </c>
      <c r="BY15" t="s">
        <v>74</v>
      </c>
      <c r="BZ15" t="s">
        <v>75</v>
      </c>
      <c r="CA15" t="s">
        <v>76</v>
      </c>
      <c r="CB15" t="s">
        <v>77</v>
      </c>
      <c r="CC15" t="s">
        <v>73</v>
      </c>
      <c r="CD15" t="s">
        <v>74</v>
      </c>
      <c r="CE15" t="s">
        <v>75</v>
      </c>
      <c r="CF15" t="s">
        <v>1279</v>
      </c>
      <c r="CG15" t="str">
        <f>min_hour(+IF($BY$15="M","420","0")+IF($BY$15="P","420","0")+IF($BY$15="F","420","0")+IF($BY$15="N","600","0")+IF($BY$15="M1","380","0")+IF($BY$15="P1","380","0")+IF($BY$15="L104","0","0")+IF($BY$15="MAL","0","0")+IF($BY$15="RC","0","0")+IF($BZ$15="M","420","0")+IF($BZ$15="P","420","0")+IF($BZ$15="F","420","0")+IF($BZ$15="N","600","0")+IF($BZ$15="M1","380","0")+IF($BZ$15="P1","380","0")+IF($BZ$15="L104","0","0")+IF($BZ$15="MAL","0","0")+IF($BZ$15="RC","0","0")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)</f>
        <v>38:00</v>
      </c>
      <c r="CH15" t="str">
        <f>min_hour( hour_min($CG$15)+0-2280 + hour_min($BX$15))</f>
        <v>01:00</v>
      </c>
      <c r="CI15" t="s">
        <v>74</v>
      </c>
      <c r="CJ15" t="s">
        <v>75</v>
      </c>
      <c r="CK15" t="s">
        <v>74</v>
      </c>
      <c r="CL15" t="s">
        <v>73</v>
      </c>
      <c r="CM15" t="s">
        <v>74</v>
      </c>
      <c r="CN15" t="s">
        <v>74</v>
      </c>
      <c r="CO15" t="s">
        <v>75</v>
      </c>
      <c r="CP15" t="s">
        <v>1280</v>
      </c>
      <c r="CQ15" t="str">
        <f>min_hour(+IF($CI$15="M","420","0")+IF($CI$15="P","420","0")+IF($CI$15="F","420","0")+IF($CI$15="N","600","0")+IF($CI$15="M1","380","0")+IF($CI$15="P1","380","0")+IF($CI$15="L104","0","0")+IF($CI$15="MAL","0","0")+IF($CI$15="RC","0","0")+IF($CJ$15="M","420","0")+IF($CJ$15="P","420","0")+IF($CJ$15="F","420","0")+IF($CJ$15="N","600","0")+IF($CJ$15="M1","380","0")+IF($CJ$15="P1","380","0")+IF($CJ$15="L104","0","0")+IF($CJ$15="MAL","0","0")+IF($CJ$15="RC","0","0")+IF($CK$15="M","420","0")+IF($CK$15="P","420","0")+IF($CK$15="F","420","0")+IF($CK$15="N","600","0")+IF($CK$15="M1","380","0")+IF($CK$15="P1","380","0")+IF($CK$15="L104","0","0")+IF($CK$15="MAL","0","0")+IF($CK$15="RC","0","0")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)</f>
        <v>42:00</v>
      </c>
      <c r="CR15" t="str">
        <f>min_hour( hour_min($CQ$15)+0-2280 + hour_min($CH$15))</f>
        <v>05:00</v>
      </c>
    </row>
    <row r="16" spans="1:9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Q16" t="s">
        <v>75</v>
      </c>
      <c r="R16" t="s">
        <v>75</v>
      </c>
      <c r="S16" t="s">
        <v>73</v>
      </c>
      <c r="T16" t="s">
        <v>75</v>
      </c>
      <c r="U16" t="s">
        <v>75</v>
      </c>
      <c r="V16" t="s">
        <v>76</v>
      </c>
      <c r="W16" t="s">
        <v>77</v>
      </c>
      <c r="X16" t="s">
        <v>1287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hour_min($Y$16)+-480-2280 + hour_min($P$16))</f>
        <v>-08:00</v>
      </c>
      <c r="AA16" t="s">
        <v>73</v>
      </c>
      <c r="AB16" t="s">
        <v>74</v>
      </c>
      <c r="AC16" t="s">
        <v>75</v>
      </c>
      <c r="AD16" t="s">
        <v>75</v>
      </c>
      <c r="AE16" t="s">
        <v>76</v>
      </c>
      <c r="AF16" t="s">
        <v>77</v>
      </c>
      <c r="AG16" t="s">
        <v>73</v>
      </c>
      <c r="AH16" t="s">
        <v>1288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31:00</v>
      </c>
      <c r="AJ16" t="str">
        <f>min_hour( hour_min($AI$16)+0-2280 + hour_min($Z$16))</f>
        <v>-15:00</v>
      </c>
      <c r="AK16" t="s">
        <v>74</v>
      </c>
      <c r="AL16" t="s">
        <v>75</v>
      </c>
      <c r="AM16" t="s">
        <v>75</v>
      </c>
      <c r="AN16" t="s">
        <v>75</v>
      </c>
      <c r="AO16" t="s">
        <v>75</v>
      </c>
      <c r="AP16" t="s">
        <v>73</v>
      </c>
      <c r="AQ16" t="s">
        <v>75</v>
      </c>
      <c r="AR16" t="s">
        <v>1278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42:00</v>
      </c>
      <c r="AT16" t="str">
        <f>min_hour( hour_min($AS$16)+0-2280 + hour_min($AJ$16))</f>
        <v>-11:00</v>
      </c>
      <c r="AU16" t="s">
        <v>74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75</v>
      </c>
      <c r="BB16" t="s">
        <v>1279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hour_min($BC$16)+0-2280 + hour_min($AT$16))</f>
        <v>-11:00</v>
      </c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1280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hour_min($BM$16)+0-2280 + hour_min($BD$16))</f>
        <v>-07:00</v>
      </c>
      <c r="BO16" t="s">
        <v>76</v>
      </c>
      <c r="BP16" t="s">
        <v>77</v>
      </c>
      <c r="BQ16" t="s">
        <v>73</v>
      </c>
      <c r="BR16" t="s">
        <v>74</v>
      </c>
      <c r="BS16" t="s">
        <v>75</v>
      </c>
      <c r="BT16" t="s">
        <v>75</v>
      </c>
      <c r="BU16" t="s">
        <v>76</v>
      </c>
      <c r="BV16" t="s">
        <v>1281</v>
      </c>
      <c r="BW16" t="str">
        <f>min_hour(+IF($BO$16="M","420","0")+IF($BO$16="P","420","0")+IF($BO$16="F","420","0")+IF($BO$16="N","600","0")+IF($BO$16="M1","380","0")+IF($BO$16="P1","380","0")+IF($BO$16="L104","0","0")+IF($BO$16="MAL","0","0")+IF($BO$16="RC","0","0")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)</f>
        <v>41:00</v>
      </c>
      <c r="BX16" t="str">
        <f>min_hour( hour_min($BW$16)+0-2280 + hour_min($BN$16))</f>
        <v>-04:00</v>
      </c>
      <c r="BY16" t="s">
        <v>77</v>
      </c>
      <c r="BZ16" t="s">
        <v>73</v>
      </c>
      <c r="CA16" t="s">
        <v>74</v>
      </c>
      <c r="CB16" t="s">
        <v>74</v>
      </c>
      <c r="CC16" t="s">
        <v>75</v>
      </c>
      <c r="CD16" t="s">
        <v>75</v>
      </c>
      <c r="CE16" t="s">
        <v>74</v>
      </c>
      <c r="CF16" t="s">
        <v>1282</v>
      </c>
      <c r="CG16" t="str">
        <f>min_hour(+IF($BY$16="M","420","0")+IF($BY$16="P","420","0")+IF($BY$16="F","420","0")+IF($BY$16="N","600","0")+IF($BY$16="M1","380","0")+IF($BY$16="P1","380","0")+IF($BY$16="L104","0","0")+IF($BY$16="MAL","0","0")+IF($BY$16="RC","0","0")+IF($BZ$16="M","420","0")+IF($BZ$16="P","420","0")+IF($BZ$16="F","420","0")+IF($BZ$16="N","600","0")+IF($BZ$16="M1","380","0")+IF($BZ$16="P1","380","0")+IF($BZ$16="L104","0","0")+IF($BZ$16="MAL","0","0")+IF($BZ$16="RC","0","0")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)</f>
        <v>35:00</v>
      </c>
      <c r="CH16" t="str">
        <f>min_hour( hour_min($CG$16)+0-2280 + hour_min($BX$16))</f>
        <v>-07:00</v>
      </c>
      <c r="CI16" t="s">
        <v>73</v>
      </c>
      <c r="CJ16" t="s">
        <v>74</v>
      </c>
      <c r="CK16" t="s">
        <v>75</v>
      </c>
      <c r="CL16" t="s">
        <v>74</v>
      </c>
      <c r="CM16" t="s">
        <v>74</v>
      </c>
      <c r="CN16" t="s">
        <v>75</v>
      </c>
      <c r="CO16" t="s">
        <v>73</v>
      </c>
      <c r="CP16" t="s">
        <v>1283</v>
      </c>
      <c r="CQ16" t="str">
        <f>min_hour(+IF($CI$16="M","420","0")+IF($CI$16="P","420","0")+IF($CI$16="F","420","0")+IF($CI$16="N","600","0")+IF($CI$16="M1","380","0")+IF($CI$16="P1","380","0")+IF($CI$16="L104","0","0")+IF($CI$16="MAL","0","0")+IF($CI$16="RC","0","0")+IF($CJ$16="M","420","0")+IF($CJ$16="P","420","0")+IF($CJ$16="F","420","0")+IF($CJ$16="N","600","0")+IF($CJ$16="M1","380","0")+IF($CJ$16="P1","380","0")+IF($CJ$16="L104","0","0")+IF($CJ$16="MAL","0","0")+IF($CJ$16="RC","0","0")+IF($CK$16="M","420","0")+IF($CK$16="P","420","0")+IF($CK$16="F","420","0")+IF($CK$16="N","600","0")+IF($CK$16="M1","380","0")+IF($CK$16="P1","380","0")+IF($CK$16="L104","0","0")+IF($CK$16="MAL","0","0")+IF($CK$16="RC","0","0")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)</f>
        <v>35:00</v>
      </c>
      <c r="CR16" t="str">
        <f>min_hour( hour_min($CQ$16)+0-2280 + hour_min($CH$16))</f>
        <v>-10:00</v>
      </c>
    </row>
    <row r="17" spans="1:9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Q17" t="s">
        <v>74</v>
      </c>
      <c r="R17" t="s">
        <v>75</v>
      </c>
      <c r="S17" t="s">
        <v>76</v>
      </c>
      <c r="T17" t="s">
        <v>77</v>
      </c>
      <c r="U17" t="s">
        <v>73</v>
      </c>
      <c r="V17" t="s">
        <v>74</v>
      </c>
      <c r="W17" t="s">
        <v>75</v>
      </c>
      <c r="X17" t="s">
        <v>1279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hour_min($Y$17)+120-2280 + hour_min($P$17))</f>
        <v>02:00</v>
      </c>
      <c r="AA17" t="s">
        <v>74</v>
      </c>
      <c r="AB17" t="s">
        <v>75</v>
      </c>
      <c r="AC17" t="s">
        <v>74</v>
      </c>
      <c r="AD17" t="s">
        <v>73</v>
      </c>
      <c r="AE17" t="s">
        <v>74</v>
      </c>
      <c r="AF17" t="s">
        <v>74</v>
      </c>
      <c r="AG17" t="s">
        <v>75</v>
      </c>
      <c r="AH17" t="s">
        <v>1280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42:00</v>
      </c>
      <c r="AJ17" t="str">
        <f>min_hour( hour_min($AI$17)+0-2280 + hour_min($Z$17))</f>
        <v>06:00</v>
      </c>
      <c r="AK17" t="s">
        <v>76</v>
      </c>
      <c r="AL17" t="s">
        <v>77</v>
      </c>
      <c r="AM17" t="s">
        <v>73</v>
      </c>
      <c r="AN17" t="s">
        <v>74</v>
      </c>
      <c r="AO17" t="s">
        <v>75</v>
      </c>
      <c r="AP17" t="s">
        <v>75</v>
      </c>
      <c r="AQ17" t="s">
        <v>76</v>
      </c>
      <c r="AR17" t="s">
        <v>1281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41:00</v>
      </c>
      <c r="AT17" t="str">
        <f>min_hour( hour_min($AS$17)+0-2280 + hour_min($AJ$17))</f>
        <v>09:00</v>
      </c>
      <c r="AU17" t="s">
        <v>77</v>
      </c>
      <c r="AV17" t="s">
        <v>73</v>
      </c>
      <c r="AW17" t="s">
        <v>74</v>
      </c>
      <c r="AX17" t="s">
        <v>74</v>
      </c>
      <c r="AY17" t="s">
        <v>75</v>
      </c>
      <c r="AZ17" t="s">
        <v>75</v>
      </c>
      <c r="BA17" t="s">
        <v>74</v>
      </c>
      <c r="BB17" t="s">
        <v>1282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35:00</v>
      </c>
      <c r="BD17" t="str">
        <f>min_hour( hour_min($BC$17)+0-2280 + hour_min($AT$17))</f>
        <v>06:00</v>
      </c>
      <c r="BE17" t="s">
        <v>73</v>
      </c>
      <c r="BF17" t="s">
        <v>74</v>
      </c>
      <c r="BG17" t="s">
        <v>75</v>
      </c>
      <c r="BH17" t="s">
        <v>74</v>
      </c>
      <c r="BI17" t="s">
        <v>74</v>
      </c>
      <c r="BJ17" t="s">
        <v>75</v>
      </c>
      <c r="BK17" t="s">
        <v>73</v>
      </c>
      <c r="BL17" t="s">
        <v>1283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hour_min($BM$17)+0-2280 + hour_min($BD$17))</f>
        <v>03:00</v>
      </c>
      <c r="BO17" t="s">
        <v>75</v>
      </c>
      <c r="BP17" t="s">
        <v>75</v>
      </c>
      <c r="BQ17" t="s">
        <v>75</v>
      </c>
      <c r="BR17" t="s">
        <v>76</v>
      </c>
      <c r="BS17" t="s">
        <v>77</v>
      </c>
      <c r="BT17" t="s">
        <v>73</v>
      </c>
      <c r="BU17" t="s">
        <v>74</v>
      </c>
      <c r="BV17" t="s">
        <v>1284</v>
      </c>
      <c r="BW17" t="str">
        <f>min_hour(+IF($BO$17="M","420","0")+IF($BO$17="P","420","0")+IF($BO$17="F","420","0")+IF($BO$17="N","600","0")+IF($BO$17="M1","380","0")+IF($BO$17="P1","380","0")+IF($BO$17="L104","0","0")+IF($BO$17="MAL","0","0")+IF($BO$17="RC","0","0")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)</f>
        <v>38:00</v>
      </c>
      <c r="BX17" t="str">
        <f>min_hour( hour_min($BW$17)+0-2280 + hour_min($BN$17))</f>
        <v>03:00</v>
      </c>
      <c r="BY17" t="s">
        <v>75</v>
      </c>
      <c r="BZ17" t="s">
        <v>74</v>
      </c>
      <c r="CA17" t="s">
        <v>74</v>
      </c>
      <c r="CB17" t="s">
        <v>75</v>
      </c>
      <c r="CC17" t="s">
        <v>73</v>
      </c>
      <c r="CD17" t="s">
        <v>74</v>
      </c>
      <c r="CE17" t="s">
        <v>74</v>
      </c>
      <c r="CF17" t="s">
        <v>1285</v>
      </c>
      <c r="CG17" t="str">
        <f>min_hour(+IF($BY$17="M","420","0")+IF($BY$17="P","420","0")+IF($BY$17="F","420","0")+IF($BY$17="N","600","0")+IF($BY$17="M1","380","0")+IF($BY$17="P1","380","0")+IF($BY$17="L104","0","0")+IF($BY$17="MAL","0","0")+IF($BY$17="RC","0","0")+IF($BZ$17="M","420","0")+IF($BZ$17="P","420","0")+IF($BZ$17="F","420","0")+IF($BZ$17="N","600","0")+IF($BZ$17="M1","380","0")+IF($BZ$17="P1","380","0")+IF($BZ$17="L104","0","0")+IF($BZ$17="MAL","0","0")+IF($BZ$17="RC","0","0")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)</f>
        <v>42:00</v>
      </c>
      <c r="CH17" t="str">
        <f>min_hour( hour_min($CG$17)+0-2280 + hour_min($BX$17))</f>
        <v>07:00</v>
      </c>
      <c r="CI17" t="s">
        <v>75</v>
      </c>
      <c r="CJ17" t="s">
        <v>76</v>
      </c>
      <c r="CK17" t="s">
        <v>77</v>
      </c>
      <c r="CL17" t="s">
        <v>73</v>
      </c>
      <c r="CM17" t="s">
        <v>74</v>
      </c>
      <c r="CN17" t="s">
        <v>75</v>
      </c>
      <c r="CO17" t="s">
        <v>75</v>
      </c>
      <c r="CP17" t="s">
        <v>1286</v>
      </c>
      <c r="CQ17" t="str">
        <f>min_hour(+IF($CI$17="M","420","0")+IF($CI$17="P","420","0")+IF($CI$17="F","420","0")+IF($CI$17="N","600","0")+IF($CI$17="M1","380","0")+IF($CI$17="P1","380","0")+IF($CI$17="L104","0","0")+IF($CI$17="MAL","0","0")+IF($CI$17="RC","0","0")+IF($CJ$17="M","420","0")+IF($CJ$17="P","420","0")+IF($CJ$17="F","420","0")+IF($CJ$17="N","600","0")+IF($CJ$17="M1","380","0")+IF($CJ$17="P1","380","0")+IF($CJ$17="L104","0","0")+IF($CJ$17="MAL","0","0")+IF($CJ$17="RC","0","0")+IF($CK$17="M","420","0")+IF($CK$17="P","420","0")+IF($CK$17="F","420","0")+IF($CK$17="N","600","0")+IF($CK$17="M1","380","0")+IF($CK$17="P1","380","0")+IF($CK$17="L104","0","0")+IF($CK$17="MAL","0","0")+IF($CK$17="RC","0","0")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)</f>
        <v>38:00</v>
      </c>
      <c r="CR17" t="str">
        <f>min_hour( hour_min($CQ$17)+0-2280 + hour_min($CH$17))</f>
        <v>07:00</v>
      </c>
    </row>
    <row r="18" spans="1:9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Q18" t="s">
        <v>74</v>
      </c>
      <c r="R18" t="s">
        <v>75</v>
      </c>
      <c r="S18" t="s">
        <v>74</v>
      </c>
      <c r="T18" t="s">
        <v>73</v>
      </c>
      <c r="U18" t="s">
        <v>74</v>
      </c>
      <c r="V18" t="s">
        <v>74</v>
      </c>
      <c r="W18" t="s">
        <v>75</v>
      </c>
      <c r="X18" t="s">
        <v>1280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42:00</v>
      </c>
      <c r="Z18" t="str">
        <f>min_hour( hour_min($Y$18)+360-2280 + hour_min($P$18))</f>
        <v>10:00</v>
      </c>
      <c r="AA18" t="s">
        <v>76</v>
      </c>
      <c r="AB18" t="s">
        <v>77</v>
      </c>
      <c r="AC18" t="s">
        <v>73</v>
      </c>
      <c r="AD18" t="s">
        <v>74</v>
      </c>
      <c r="AE18" t="s">
        <v>75</v>
      </c>
      <c r="AF18" t="s">
        <v>75</v>
      </c>
      <c r="AG18" t="s">
        <v>76</v>
      </c>
      <c r="AH18" t="s">
        <v>1281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41:00</v>
      </c>
      <c r="AJ18" t="str">
        <f>min_hour( hour_min($AI$18)+0-2280 + hour_min($Z$18))</f>
        <v>13:00</v>
      </c>
      <c r="AK18" t="s">
        <v>77</v>
      </c>
      <c r="AL18" t="s">
        <v>73</v>
      </c>
      <c r="AM18" t="s">
        <v>74</v>
      </c>
      <c r="AN18" t="s">
        <v>74</v>
      </c>
      <c r="AO18" t="s">
        <v>75</v>
      </c>
      <c r="AP18" t="s">
        <v>75</v>
      </c>
      <c r="AQ18" t="s">
        <v>74</v>
      </c>
      <c r="AR18" t="s">
        <v>1282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35:00</v>
      </c>
      <c r="AT18" t="str">
        <f>min_hour( hour_min($AS$18)+0-2280 + hour_min($AJ$18))</f>
        <v>10:00</v>
      </c>
      <c r="AU18" t="s">
        <v>73</v>
      </c>
      <c r="AV18" t="s">
        <v>74</v>
      </c>
      <c r="AW18" t="s">
        <v>75</v>
      </c>
      <c r="AX18" t="s">
        <v>74</v>
      </c>
      <c r="AY18" t="s">
        <v>74</v>
      </c>
      <c r="AZ18" t="s">
        <v>75</v>
      </c>
      <c r="BA18" t="s">
        <v>73</v>
      </c>
      <c r="BB18" t="s">
        <v>1283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hour_min($BC$18)+0-2280 + hour_min($AT$18))</f>
        <v>07:00</v>
      </c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1284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hour_min($BM$18)+0-2280 + hour_min($BD$18))</f>
        <v>07:00</v>
      </c>
      <c r="BO18" t="s">
        <v>75</v>
      </c>
      <c r="BP18" t="s">
        <v>74</v>
      </c>
      <c r="BQ18" t="s">
        <v>74</v>
      </c>
      <c r="BR18" t="s">
        <v>75</v>
      </c>
      <c r="BS18" t="s">
        <v>73</v>
      </c>
      <c r="BT18" t="s">
        <v>74</v>
      </c>
      <c r="BU18" t="s">
        <v>74</v>
      </c>
      <c r="BV18" t="s">
        <v>1285</v>
      </c>
      <c r="BW18" t="str">
        <f>min_hour(+IF($BO$18="M","420","0")+IF($BO$18="P","420","0")+IF($BO$18="F","420","0")+IF($BO$18="N","600","0")+IF($BO$18="M1","380","0")+IF($BO$18="P1","380","0")+IF($BO$18="L104","0","0")+IF($BO$18="MAL","0","0")+IF($BO$18="RC","0","0")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)</f>
        <v>42:00</v>
      </c>
      <c r="BX18" t="str">
        <f>min_hour( hour_min($BW$18)+0-2280 + hour_min($BN$18))</f>
        <v>11:00</v>
      </c>
      <c r="BY18" t="s">
        <v>75</v>
      </c>
      <c r="BZ18" t="s">
        <v>76</v>
      </c>
      <c r="CA18" t="s">
        <v>77</v>
      </c>
      <c r="CB18" t="s">
        <v>73</v>
      </c>
      <c r="CC18" t="s">
        <v>74</v>
      </c>
      <c r="CD18" t="s">
        <v>75</v>
      </c>
      <c r="CE18" t="s">
        <v>75</v>
      </c>
      <c r="CF18" t="s">
        <v>1286</v>
      </c>
      <c r="CG18" t="str">
        <f>min_hour(+IF($BY$18="M","420","0")+IF($BY$18="P","420","0")+IF($BY$18="F","420","0")+IF($BY$18="N","600","0")+IF($BY$18="M1","380","0")+IF($BY$18="P1","380","0")+IF($BY$18="L104","0","0")+IF($BY$18="MAL","0","0")+IF($BY$18="RC","0","0")+IF($BZ$18="M","420","0")+IF($BZ$18="P","420","0")+IF($BZ$18="F","420","0")+IF($BZ$18="N","600","0")+IF($BZ$18="M1","380","0")+IF($BZ$18="P1","380","0")+IF($BZ$18="L104","0","0")+IF($BZ$18="MAL","0","0")+IF($BZ$18="RC","0","0")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)</f>
        <v>38:00</v>
      </c>
      <c r="CH18" t="str">
        <f>min_hour( hour_min($CG$18)+0-2280 + hour_min($BX$18))</f>
        <v>11:00</v>
      </c>
      <c r="CI18" t="s">
        <v>75</v>
      </c>
      <c r="CJ18" t="s">
        <v>75</v>
      </c>
      <c r="CK18" t="s">
        <v>73</v>
      </c>
      <c r="CL18" t="s">
        <v>75</v>
      </c>
      <c r="CM18" t="s">
        <v>75</v>
      </c>
      <c r="CN18" t="s">
        <v>76</v>
      </c>
      <c r="CO18" t="s">
        <v>77</v>
      </c>
      <c r="CP18" t="s">
        <v>1287</v>
      </c>
      <c r="CQ18" t="str">
        <f>min_hour(+IF($CI$18="M","420","0")+IF($CI$18="P","420","0")+IF($CI$18="F","420","0")+IF($CI$18="N","600","0")+IF($CI$18="M1","380","0")+IF($CI$18="P1","380","0")+IF($CI$18="L104","0","0")+IF($CI$18="MAL","0","0")+IF($CI$18="RC","0","0")+IF($CJ$18="M","420","0")+IF($CJ$18="P","420","0")+IF($CJ$18="F","420","0")+IF($CJ$18="N","600","0")+IF($CJ$18="M1","380","0")+IF($CJ$18="P1","380","0")+IF($CJ$18="L104","0","0")+IF($CJ$18="MAL","0","0")+IF($CJ$18="RC","0","0")+IF($CK$18="M","420","0")+IF($CK$18="P","420","0")+IF($CK$18="F","420","0")+IF($CK$18="N","600","0")+IF($CK$18="M1","380","0")+IF($CK$18="P1","380","0")+IF($CK$18="L104","0","0")+IF($CK$18="MAL","0","0")+IF($CK$18="RC","0","0")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)</f>
        <v>38:00</v>
      </c>
      <c r="CR18" t="str">
        <f>min_hour( hour_min($CQ$18)+0-2280 + hour_min($CH$18))</f>
        <v>11:00</v>
      </c>
    </row>
    <row r="19" spans="1:9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">
        <v>75</v>
      </c>
      <c r="W19" t="s">
        <v>75</v>
      </c>
      <c r="X19" t="s">
        <v>1286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38:00</v>
      </c>
      <c r="Z19" t="str">
        <f>min_hour( hour_min($Y$19)+0-2280 + hour_min($P$19))</f>
        <v>00:00</v>
      </c>
      <c r="AA19" t="s">
        <v>75</v>
      </c>
      <c r="AB19" t="s">
        <v>75</v>
      </c>
      <c r="AC19" t="s">
        <v>73</v>
      </c>
      <c r="AD19" t="s">
        <v>75</v>
      </c>
      <c r="AE19" t="s">
        <v>75</v>
      </c>
      <c r="AF19" t="s">
        <v>76</v>
      </c>
      <c r="AG19" t="s">
        <v>77</v>
      </c>
      <c r="AH19" t="s">
        <v>1287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38:00</v>
      </c>
      <c r="AJ19" t="str">
        <f>min_hour( hour_min($AI$19)+0-2280 + hour_min($Z$19))</f>
        <v>00:00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77</v>
      </c>
      <c r="AQ19" t="s">
        <v>73</v>
      </c>
      <c r="AR19" t="s">
        <v>1288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31:00</v>
      </c>
      <c r="AT19" t="str">
        <f>min_hour( hour_min($AS$19)+0-2280 + hour_min($AJ$19))</f>
        <v>-07:00</v>
      </c>
      <c r="AU19" t="s">
        <v>74</v>
      </c>
      <c r="AV19" t="s">
        <v>75</v>
      </c>
      <c r="AW19" t="s">
        <v>75</v>
      </c>
      <c r="AX19" t="s">
        <v>75</v>
      </c>
      <c r="AY19" t="s">
        <v>75</v>
      </c>
      <c r="AZ19" t="s">
        <v>73</v>
      </c>
      <c r="BA19" t="s">
        <v>75</v>
      </c>
      <c r="BB19" t="s">
        <v>1278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42:00</v>
      </c>
      <c r="BD19" t="str">
        <f>min_hour( hour_min($BC$19)+0-2280 + hour_min($AT$19))</f>
        <v>-03:00</v>
      </c>
      <c r="BE19" t="s">
        <v>74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1279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hour_min($BM$19)+0-2280 + hour_min($BD$19))</f>
        <v>-03:00</v>
      </c>
      <c r="BO19" t="s">
        <v>74</v>
      </c>
      <c r="BP19" t="s">
        <v>75</v>
      </c>
      <c r="BQ19" t="s">
        <v>74</v>
      </c>
      <c r="BR19" t="s">
        <v>73</v>
      </c>
      <c r="BS19" t="s">
        <v>74</v>
      </c>
      <c r="BT19" t="s">
        <v>74</v>
      </c>
      <c r="BU19" t="s">
        <v>75</v>
      </c>
      <c r="BV19" t="s">
        <v>1280</v>
      </c>
      <c r="BW19" t="str">
        <f>min_hour(+IF($BO$19="M","420","0")+IF($BO$19="P","420","0")+IF($BO$19="F","420","0")+IF($BO$19="N","600","0")+IF($BO$19="M1","380","0")+IF($BO$19="P1","380","0")+IF($BO$19="L104","0","0")+IF($BO$19="MAL","0","0")+IF($BO$19="RC","0","0")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)</f>
        <v>42:00</v>
      </c>
      <c r="BX19" t="str">
        <f>min_hour( hour_min($BW$19)+0-2280 + hour_min($BN$19))</f>
        <v>01:00</v>
      </c>
      <c r="BY19" t="s">
        <v>76</v>
      </c>
      <c r="BZ19" t="s">
        <v>77</v>
      </c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1281</v>
      </c>
      <c r="CG19" t="str">
        <f>min_hour(+IF($BY$19="M","420","0")+IF($BY$19="P","420","0")+IF($BY$19="F","420","0")+IF($BY$19="N","600","0")+IF($BY$19="M1","380","0")+IF($BY$19="P1","380","0")+IF($BY$19="L104","0","0")+IF($BY$19="MAL","0","0")+IF($BY$19="RC","0","0")+IF($BZ$19="M","420","0")+IF($BZ$19="P","420","0")+IF($BZ$19="F","420","0")+IF($BZ$19="N","600","0")+IF($BZ$19="M1","380","0")+IF($BZ$19="P1","380","0")+IF($BZ$19="L104","0","0")+IF($BZ$19="MAL","0","0")+IF($BZ$19="RC","0","0")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)</f>
        <v>41:00</v>
      </c>
      <c r="CH19" t="str">
        <f>min_hour( hour_min($CG$19)+0-2280 + hour_min($BX$19))</f>
        <v>04:00</v>
      </c>
      <c r="CI19" t="s">
        <v>77</v>
      </c>
      <c r="CJ19" t="s">
        <v>73</v>
      </c>
      <c r="CK19" t="s">
        <v>74</v>
      </c>
      <c r="CL19" t="s">
        <v>74</v>
      </c>
      <c r="CM19" t="s">
        <v>75</v>
      </c>
      <c r="CN19" t="s">
        <v>75</v>
      </c>
      <c r="CO19" t="s">
        <v>74</v>
      </c>
      <c r="CP19" t="s">
        <v>1282</v>
      </c>
      <c r="CQ19" t="str">
        <f>min_hour(+IF($CI$19="M","420","0")+IF($CI$19="P","420","0")+IF($CI$19="F","420","0")+IF($CI$19="N","600","0")+IF($CI$19="M1","380","0")+IF($CI$19="P1","380","0")+IF($CI$19="L104","0","0")+IF($CI$19="MAL","0","0")+IF($CI$19="RC","0","0")+IF($CJ$19="M","420","0")+IF($CJ$19="P","420","0")+IF($CJ$19="F","420","0")+IF($CJ$19="N","600","0")+IF($CJ$19="M1","380","0")+IF($CJ$19="P1","380","0")+IF($CJ$19="L104","0","0")+IF($CJ$19="MAL","0","0")+IF($CJ$19="RC","0","0")+IF($CK$19="M","420","0")+IF($CK$19="P","420","0")+IF($CK$19="F","420","0")+IF($CK$19="N","600","0")+IF($CK$19="M1","380","0")+IF($CK$19="P1","380","0")+IF($CK$19="L104","0","0")+IF($CK$19="MAL","0","0")+IF($CK$19="RC","0","0")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)</f>
        <v>35:00</v>
      </c>
      <c r="CR19" t="str">
        <f>min_hour( hour_min($CQ$19)+0-2280 + hour_min($CH$19))</f>
        <v>01:00</v>
      </c>
    </row>
    <row r="20" spans="1:9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Q20" t="s">
        <v>75</v>
      </c>
      <c r="R20" t="s">
        <v>73</v>
      </c>
      <c r="S20" t="s">
        <v>74</v>
      </c>
      <c r="T20" t="s">
        <v>75</v>
      </c>
      <c r="U20" t="s">
        <v>74</v>
      </c>
      <c r="V20" t="s">
        <v>75</v>
      </c>
      <c r="W20" t="s">
        <v>75</v>
      </c>
      <c r="X20" t="s">
        <v>1322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42:00</v>
      </c>
      <c r="Z20" t="str">
        <f>min_hour( hour_min($Y$20)+120-2280 + hour_min($P$20))</f>
        <v>06:00</v>
      </c>
      <c r="AA20" t="s">
        <v>73</v>
      </c>
      <c r="AB20" t="s">
        <v>75</v>
      </c>
      <c r="AC20" t="s">
        <v>75</v>
      </c>
      <c r="AD20" t="s">
        <v>74</v>
      </c>
      <c r="AE20" t="s">
        <v>75</v>
      </c>
      <c r="AF20" t="s">
        <v>75</v>
      </c>
      <c r="AG20" t="s">
        <v>73</v>
      </c>
      <c r="AH20" t="s">
        <v>1323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35:00</v>
      </c>
      <c r="AJ20" t="str">
        <f>min_hour( hour_min($AI$20)+0-2280 + hour_min($Z$20))</f>
        <v>03:00</v>
      </c>
      <c r="AK20" t="s">
        <v>75</v>
      </c>
      <c r="AL20" t="s">
        <v>74</v>
      </c>
      <c r="AM20" t="s">
        <v>75</v>
      </c>
      <c r="AN20" t="s">
        <v>74</v>
      </c>
      <c r="AO20" t="s">
        <v>75</v>
      </c>
      <c r="AP20" t="s">
        <v>73</v>
      </c>
      <c r="AQ20" t="s">
        <v>75</v>
      </c>
      <c r="AR20" t="s">
        <v>1324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42:00</v>
      </c>
      <c r="AT20" t="str">
        <f>min_hour( hour_min($AS$20)+0-2280 + hour_min($AJ$20))</f>
        <v>07:00</v>
      </c>
      <c r="AU20" t="s">
        <v>75</v>
      </c>
      <c r="AV20" t="s">
        <v>74</v>
      </c>
      <c r="AW20" t="s">
        <v>75</v>
      </c>
      <c r="AX20" t="s">
        <v>75</v>
      </c>
      <c r="AY20" t="s">
        <v>73</v>
      </c>
      <c r="AZ20" t="s">
        <v>74</v>
      </c>
      <c r="BA20" t="s">
        <v>74</v>
      </c>
      <c r="BB20" t="s">
        <v>1325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hour_min($BC$20)+0-2280 + hour_min($AT$20))</f>
        <v>11:00</v>
      </c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75</v>
      </c>
      <c r="BK20" t="s">
        <v>74</v>
      </c>
      <c r="BL20" t="s">
        <v>1326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hour_min($BM$20)+0-2280 + hour_min($BD$20))</f>
        <v>15:00</v>
      </c>
      <c r="BO20" t="s">
        <v>74</v>
      </c>
      <c r="BP20" t="s">
        <v>74</v>
      </c>
      <c r="BQ20" t="s">
        <v>73</v>
      </c>
      <c r="BR20" t="s">
        <v>75</v>
      </c>
      <c r="BS20" t="s">
        <v>75</v>
      </c>
      <c r="BT20" t="s">
        <v>74</v>
      </c>
      <c r="BU20" t="s">
        <v>75</v>
      </c>
      <c r="BV20" t="s">
        <v>1327</v>
      </c>
      <c r="BW20" t="str">
        <f>min_hour(+IF($BO$20="M","420","0")+IF($BO$20="P","420","0")+IF($BO$20="F","420","0")+IF($BO$20="N","600","0")+IF($BO$20="M1","380","0")+IF($BO$20="P1","380","0")+IF($BO$20="L104","0","0")+IF($BO$20="MAL","0","0")+IF($BO$20="RC","0","0")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)</f>
        <v>42:00</v>
      </c>
      <c r="BX20" t="str">
        <f>min_hour( hour_min($BW$20)+0-2280 + hour_min($BN$20))</f>
        <v>19:00</v>
      </c>
      <c r="BY20" t="s">
        <v>75</v>
      </c>
      <c r="BZ20" t="s">
        <v>73</v>
      </c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1322</v>
      </c>
      <c r="CG20" t="str">
        <f>min_hour(+IF($BY$20="M","420","0")+IF($BY$20="P","420","0")+IF($BY$20="F","420","0")+IF($BY$20="N","600","0")+IF($BY$20="M1","380","0")+IF($BY$20="P1","380","0")+IF($BY$20="L104","0","0")+IF($BY$20="MAL","0","0")+IF($BY$20="RC","0","0")+IF($BZ$20="M","420","0")+IF($BZ$20="P","420","0")+IF($BZ$20="F","420","0")+IF($BZ$20="N","600","0")+IF($BZ$20="M1","380","0")+IF($BZ$20="P1","380","0")+IF($BZ$20="L104","0","0")+IF($BZ$20="MAL","0","0")+IF($BZ$20="RC","0","0")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)</f>
        <v>42:00</v>
      </c>
      <c r="CH20" t="str">
        <f>min_hour( hour_min($CG$20)+0-2280 + hour_min($BX$20))</f>
        <v>23:00</v>
      </c>
      <c r="CI20" t="s">
        <v>73</v>
      </c>
      <c r="CJ20" t="s">
        <v>75</v>
      </c>
      <c r="CK20" t="s">
        <v>75</v>
      </c>
      <c r="CL20" t="s">
        <v>74</v>
      </c>
      <c r="CM20" t="s">
        <v>75</v>
      </c>
      <c r="CN20" t="s">
        <v>75</v>
      </c>
      <c r="CO20" t="s">
        <v>73</v>
      </c>
      <c r="CP20" t="s">
        <v>1323</v>
      </c>
      <c r="CQ20" t="str">
        <f>min_hour(+IF($CI$20="M","420","0")+IF($CI$20="P","420","0")+IF($CI$20="F","420","0")+IF($CI$20="N","600","0")+IF($CI$20="M1","380","0")+IF($CI$20="P1","380","0")+IF($CI$20="L104","0","0")+IF($CI$20="MAL","0","0")+IF($CI$20="RC","0","0")+IF($CJ$20="M","420","0")+IF($CJ$20="P","420","0")+IF($CJ$20="F","420","0")+IF($CJ$20="N","600","0")+IF($CJ$20="M1","380","0")+IF($CJ$20="P1","380","0")+IF($CJ$20="L104","0","0")+IF($CJ$20="MAL","0","0")+IF($CJ$20="RC","0","0")+IF($CK$20="M","420","0")+IF($CK$20="P","420","0")+IF($CK$20="F","420","0")+IF($CK$20="N","600","0")+IF($CK$20="M1","380","0")+IF($CK$20="P1","380","0")+IF($CK$20="L104","0","0")+IF($CK$20="MAL","0","0")+IF($CK$20="RC","0","0")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)</f>
        <v>35:00</v>
      </c>
      <c r="CR20" t="str">
        <f>min_hour( hour_min($CQ$20)+0-2280 + hour_min($CH$20))</f>
        <v>20:00</v>
      </c>
    </row>
    <row r="21" spans="1:9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Q21" t="s">
        <v>73</v>
      </c>
      <c r="R21" t="s">
        <v>74</v>
      </c>
      <c r="S21" t="s">
        <v>75</v>
      </c>
      <c r="T21" t="s">
        <v>74</v>
      </c>
      <c r="U21" t="s">
        <v>74</v>
      </c>
      <c r="V21" t="s">
        <v>75</v>
      </c>
      <c r="W21" t="s">
        <v>73</v>
      </c>
      <c r="X21" t="s">
        <v>1283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35:00</v>
      </c>
      <c r="Z21" t="str">
        <f>min_hour( hour_min($Y$21)+360-2280 + hour_min($P$21))</f>
        <v>03:00</v>
      </c>
      <c r="AA21" t="s">
        <v>75</v>
      </c>
      <c r="AB21" t="s">
        <v>75</v>
      </c>
      <c r="AC21" t="s">
        <v>75</v>
      </c>
      <c r="AD21" t="s">
        <v>76</v>
      </c>
      <c r="AE21" t="s">
        <v>77</v>
      </c>
      <c r="AF21" t="s">
        <v>73</v>
      </c>
      <c r="AG21" t="s">
        <v>74</v>
      </c>
      <c r="AH21" t="s">
        <v>1284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38:00</v>
      </c>
      <c r="AJ21" t="str">
        <f>min_hour( hour_min($AI$21)+0-2280 + hour_min($Z$21))</f>
        <v>03:00</v>
      </c>
      <c r="AK21" t="s">
        <v>75</v>
      </c>
      <c r="AL21" t="s">
        <v>74</v>
      </c>
      <c r="AM21" t="s">
        <v>74</v>
      </c>
      <c r="AN21" t="s">
        <v>75</v>
      </c>
      <c r="AO21" t="s">
        <v>73</v>
      </c>
      <c r="AP21" t="s">
        <v>74</v>
      </c>
      <c r="AQ21" t="s">
        <v>74</v>
      </c>
      <c r="AR21" t="s">
        <v>1285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hour_min($AS$21)+0-2280 + hour_min($AJ$21))</f>
        <v>07:00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75</v>
      </c>
      <c r="BB21" t="s">
        <v>1286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38:00</v>
      </c>
      <c r="BD21" t="str">
        <f>min_hour( hour_min($BC$21)+0-2280 + hour_min($AT$21))</f>
        <v>07:00</v>
      </c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1287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38:00</v>
      </c>
      <c r="BN21" t="str">
        <f>min_hour( hour_min($BM$21)+0-2280 + hour_min($BD$21))</f>
        <v>07:00</v>
      </c>
      <c r="BO21" t="s">
        <v>73</v>
      </c>
      <c r="BP21" t="s">
        <v>74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1288</v>
      </c>
      <c r="BW21" t="str">
        <f>min_hour(+IF($BO$21="M","420","0")+IF($BO$21="P","420","0")+IF($BO$21="F","420","0")+IF($BO$21="N","600","0")+IF($BO$21="M1","380","0")+IF($BO$21="P1","380","0")+IF($BO$21="L104","0","0")+IF($BO$21="MAL","0","0")+IF($BO$21="RC","0","0")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)</f>
        <v>31:00</v>
      </c>
      <c r="BX21" t="str">
        <f>min_hour( hour_min($BW$21)+0-2280 + hour_min($BN$21))</f>
        <v>00:00</v>
      </c>
      <c r="BY21" t="s">
        <v>74</v>
      </c>
      <c r="BZ21" t="s">
        <v>75</v>
      </c>
      <c r="CA21" t="s">
        <v>75</v>
      </c>
      <c r="CB21" t="s">
        <v>75</v>
      </c>
      <c r="CC21" t="s">
        <v>75</v>
      </c>
      <c r="CD21" t="s">
        <v>73</v>
      </c>
      <c r="CE21" t="s">
        <v>75</v>
      </c>
      <c r="CF21" t="s">
        <v>1278</v>
      </c>
      <c r="CG21" t="str">
        <f>min_hour(+IF($BY$21="M","420","0")+IF($BY$21="P","420","0")+IF($BY$21="F","420","0")+IF($BY$21="N","600","0")+IF($BY$21="M1","380","0")+IF($BY$21="P1","380","0")+IF($BY$21="L104","0","0")+IF($BY$21="MAL","0","0")+IF($BY$21="RC","0","0")+IF($BZ$21="M","420","0")+IF($BZ$21="P","420","0")+IF($BZ$21="F","420","0")+IF($BZ$21="N","600","0")+IF($BZ$21="M1","380","0")+IF($BZ$21="P1","380","0")+IF($BZ$21="L104","0","0")+IF($BZ$21="MAL","0","0")+IF($BZ$21="RC","0","0")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)</f>
        <v>42:00</v>
      </c>
      <c r="CH21" t="str">
        <f>min_hour( hour_min($CG$21)+0-2280 + hour_min($BX$21))</f>
        <v>04:00</v>
      </c>
      <c r="CI21" t="s">
        <v>74</v>
      </c>
      <c r="CJ21" t="s">
        <v>75</v>
      </c>
      <c r="CK21" t="s">
        <v>76</v>
      </c>
      <c r="CL21" t="s">
        <v>77</v>
      </c>
      <c r="CM21" t="s">
        <v>73</v>
      </c>
      <c r="CN21" t="s">
        <v>74</v>
      </c>
      <c r="CO21" t="s">
        <v>75</v>
      </c>
      <c r="CP21" t="s">
        <v>1279</v>
      </c>
      <c r="CQ21" t="str">
        <f>min_hour(+IF($CI$21="M","420","0")+IF($CI$21="P","420","0")+IF($CI$21="F","420","0")+IF($CI$21="N","600","0")+IF($CI$21="M1","380","0")+IF($CI$21="P1","380","0")+IF($CI$21="L104","0","0")+IF($CI$21="MAL","0","0")+IF($CI$21="RC","0","0")+IF($CJ$21="M","420","0")+IF($CJ$21="P","420","0")+IF($CJ$21="F","420","0")+IF($CJ$21="N","600","0")+IF($CJ$21="M1","380","0")+IF($CJ$21="P1","380","0")+IF($CJ$21="L104","0","0")+IF($CJ$21="MAL","0","0")+IF($CJ$21="RC","0","0")+IF($CK$21="M","420","0")+IF($CK$21="P","420","0")+IF($CK$21="F","420","0")+IF($CK$21="N","600","0")+IF($CK$21="M1","380","0")+IF($CK$21="P1","380","0")+IF($CK$21="L104","0","0")+IF($CK$21="MAL","0","0")+IF($CK$21="RC","0","0")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)</f>
        <v>38:00</v>
      </c>
      <c r="CR21" t="str">
        <f>min_hour( hour_min($CQ$21)+0-2280 + hour_min($CH$21))</f>
        <v>04:00</v>
      </c>
    </row>
    <row r="22" spans="1:9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Q22" t="s">
        <v>75</v>
      </c>
      <c r="R22" t="s">
        <v>74</v>
      </c>
      <c r="S22" t="s">
        <v>75</v>
      </c>
      <c r="T22" t="s">
        <v>74</v>
      </c>
      <c r="U22" t="s">
        <v>75</v>
      </c>
      <c r="V22" t="s">
        <v>73</v>
      </c>
      <c r="W22" t="s">
        <v>75</v>
      </c>
      <c r="X22" t="s">
        <v>1324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42:00</v>
      </c>
      <c r="Z22" t="str">
        <f>min_hour( hour_min($Y$22)+-1860-2280 + hour_min($P$22))</f>
        <v>-27:00</v>
      </c>
      <c r="AA22" t="s">
        <v>75</v>
      </c>
      <c r="AB22" t="s">
        <v>74</v>
      </c>
      <c r="AC22" t="s">
        <v>75</v>
      </c>
      <c r="AD22" t="s">
        <v>75</v>
      </c>
      <c r="AE22" t="s">
        <v>73</v>
      </c>
      <c r="AF22" t="s">
        <v>74</v>
      </c>
      <c r="AG22" t="s">
        <v>74</v>
      </c>
      <c r="AH22" t="s">
        <v>1325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42:00</v>
      </c>
      <c r="AJ22" t="str">
        <f>min_hour( hour_min($AI$22)+0-2280 + hour_min($Z$22))</f>
        <v>-23:00</v>
      </c>
      <c r="AK22" t="s">
        <v>74</v>
      </c>
      <c r="AL22" t="s">
        <v>75</v>
      </c>
      <c r="AM22" t="s">
        <v>74</v>
      </c>
      <c r="AN22" t="s">
        <v>73</v>
      </c>
      <c r="AO22" t="s">
        <v>74</v>
      </c>
      <c r="AP22" t="s">
        <v>75</v>
      </c>
      <c r="AQ22" t="s">
        <v>74</v>
      </c>
      <c r="AR22" t="s">
        <v>1326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hour_min($AS$22)+0-2280 + hour_min($AJ$22))</f>
        <v>-19:00</v>
      </c>
      <c r="AU22" t="s">
        <v>74</v>
      </c>
      <c r="AV22" t="s">
        <v>74</v>
      </c>
      <c r="AW22" t="s">
        <v>73</v>
      </c>
      <c r="AX22" t="s">
        <v>75</v>
      </c>
      <c r="AY22" t="s">
        <v>75</v>
      </c>
      <c r="AZ22" t="s">
        <v>74</v>
      </c>
      <c r="BA22" t="s">
        <v>75</v>
      </c>
      <c r="BB22" t="s">
        <v>1327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42:00</v>
      </c>
      <c r="BD22" t="str">
        <f>min_hour( hour_min($BC$22)+0-2280 + hour_min($AT$22))</f>
        <v>-15:00</v>
      </c>
      <c r="BE22" t="s">
        <v>75</v>
      </c>
      <c r="BF22" t="s">
        <v>73</v>
      </c>
      <c r="BG22" t="s">
        <v>74</v>
      </c>
      <c r="BH22" t="s">
        <v>75</v>
      </c>
      <c r="BI22" t="s">
        <v>74</v>
      </c>
      <c r="BJ22" t="s">
        <v>75</v>
      </c>
      <c r="BK22" t="s">
        <v>75</v>
      </c>
      <c r="BL22" t="s">
        <v>1322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hour_min($BM$22)+0-2280 + hour_min($BD$22))</f>
        <v>-11:00</v>
      </c>
      <c r="BO22" t="s">
        <v>73</v>
      </c>
      <c r="BP22" t="s">
        <v>75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1323</v>
      </c>
      <c r="BW22" t="str">
        <f>min_hour(+IF($BO$22="M","420","0")+IF($BO$22="P","420","0")+IF($BO$22="F","420","0")+IF($BO$22="N","600","0")+IF($BO$22="M1","380","0")+IF($BO$22="P1","380","0")+IF($BO$22="L104","0","0")+IF($BO$22="MAL","0","0")+IF($BO$22="RC","0","0")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)</f>
        <v>35:00</v>
      </c>
      <c r="BX22" t="str">
        <f>min_hour( hour_min($BW$22)+0-2280 + hour_min($BN$22))</f>
        <v>-14:00</v>
      </c>
      <c r="BY22" t="s">
        <v>75</v>
      </c>
      <c r="BZ22" t="s">
        <v>74</v>
      </c>
      <c r="CA22" t="s">
        <v>75</v>
      </c>
      <c r="CB22" t="s">
        <v>74</v>
      </c>
      <c r="CC22" t="s">
        <v>75</v>
      </c>
      <c r="CD22" t="s">
        <v>73</v>
      </c>
      <c r="CE22" t="s">
        <v>75</v>
      </c>
      <c r="CF22" t="s">
        <v>1324</v>
      </c>
      <c r="CG22" t="str">
        <f>min_hour(+IF($BY$22="M","420","0")+IF($BY$22="P","420","0")+IF($BY$22="F","420","0")+IF($BY$22="N","600","0")+IF($BY$22="M1","380","0")+IF($BY$22="P1","380","0")+IF($BY$22="L104","0","0")+IF($BY$22="MAL","0","0")+IF($BY$22="RC","0","0")+IF($BZ$22="M","420","0")+IF($BZ$22="P","420","0")+IF($BZ$22="F","420","0")+IF($BZ$22="N","600","0")+IF($BZ$22="M1","380","0")+IF($BZ$22="P1","380","0")+IF($BZ$22="L104","0","0")+IF($BZ$22="MAL","0","0")+IF($BZ$22="RC","0","0")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)</f>
        <v>42:00</v>
      </c>
      <c r="CH22" t="str">
        <f>min_hour( hour_min($CG$22)+0-2280 + hour_min($BX$22))</f>
        <v>-10:00</v>
      </c>
      <c r="CI22" t="s">
        <v>75</v>
      </c>
      <c r="CJ22" t="s">
        <v>74</v>
      </c>
      <c r="CK22" t="s">
        <v>75</v>
      </c>
      <c r="CL22" t="s">
        <v>75</v>
      </c>
      <c r="CM22" t="s">
        <v>73</v>
      </c>
      <c r="CN22" t="s">
        <v>74</v>
      </c>
      <c r="CO22" t="s">
        <v>74</v>
      </c>
      <c r="CP22" t="s">
        <v>1325</v>
      </c>
      <c r="CQ22" t="str">
        <f>min_hour(+IF($CI$22="M","420","0")+IF($CI$22="P","420","0")+IF($CI$22="F","420","0")+IF($CI$22="N","600","0")+IF($CI$22="M1","380","0")+IF($CI$22="P1","380","0")+IF($CI$22="L104","0","0")+IF($CI$22="MAL","0","0")+IF($CI$22="RC","0","0")+IF($CJ$22="M","420","0")+IF($CJ$22="P","420","0")+IF($CJ$22="F","420","0")+IF($CJ$22="N","600","0")+IF($CJ$22="M1","380","0")+IF($CJ$22="P1","380","0")+IF($CJ$22="L104","0","0")+IF($CJ$22="MAL","0","0")+IF($CJ$22="RC","0","0")+IF($CK$22="M","420","0")+IF($CK$22="P","420","0")+IF($CK$22="F","420","0")+IF($CK$22="N","600","0")+IF($CK$22="M1","380","0")+IF($CK$22="P1","380","0")+IF($CK$22="L104","0","0")+IF($CK$22="MAL","0","0")+IF($CK$22="RC","0","0")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)</f>
        <v>42:00</v>
      </c>
      <c r="CR22" t="str">
        <f>min_hour( hour_min($CQ$22)+0-2280 + hour_min($CH$22))</f>
        <v>-06:00</v>
      </c>
    </row>
    <row r="23" spans="1:9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">
        <v>75</v>
      </c>
      <c r="W23" t="s">
        <v>73</v>
      </c>
      <c r="X23" t="s">
        <v>1323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35:00</v>
      </c>
      <c r="Z23" t="str">
        <f>min_hour( hour_min($Y$23)+1800-2280 + hour_min($P$23))</f>
        <v>27:00</v>
      </c>
      <c r="AA23" t="s">
        <v>75</v>
      </c>
      <c r="AB23" t="s">
        <v>73</v>
      </c>
      <c r="AC23" t="s">
        <v>75</v>
      </c>
      <c r="AD23" t="s">
        <v>74</v>
      </c>
      <c r="AE23" t="s">
        <v>75</v>
      </c>
      <c r="AF23" t="s">
        <v>73</v>
      </c>
      <c r="AG23" t="s">
        <v>75</v>
      </c>
      <c r="AH23" t="s">
        <v>1324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35:00</v>
      </c>
      <c r="AJ23" t="str">
        <f>min_hour( hour_min($AI$23)+0-2280 + hour_min($Z$23))</f>
        <v>24:00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74</v>
      </c>
      <c r="AQ23" t="s">
        <v>74</v>
      </c>
      <c r="AR23" t="s">
        <v>1325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hour_min($AS$23)+0-2280 + hour_min($AJ$23))</f>
        <v>28:00</v>
      </c>
      <c r="AU23" t="s">
        <v>74</v>
      </c>
      <c r="AV23" t="s">
        <v>75</v>
      </c>
      <c r="AW23" t="s">
        <v>74</v>
      </c>
      <c r="AX23" t="s">
        <v>73</v>
      </c>
      <c r="AY23" t="s">
        <v>74</v>
      </c>
      <c r="AZ23" t="s">
        <v>75</v>
      </c>
      <c r="BA23" t="s">
        <v>74</v>
      </c>
      <c r="BB23" t="s">
        <v>1326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hour_min($BC$23)+0-2280 + hour_min($AT$23))</f>
        <v>32:00</v>
      </c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1327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hour_min($BM$23)+0-2280 + hour_min($BD$23))</f>
        <v>36:00</v>
      </c>
      <c r="BO23" t="s">
        <v>75</v>
      </c>
      <c r="BP23" t="s">
        <v>73</v>
      </c>
      <c r="BQ23" t="s">
        <v>74</v>
      </c>
      <c r="BR23" t="s">
        <v>75</v>
      </c>
      <c r="BS23" t="s">
        <v>74</v>
      </c>
      <c r="BT23" t="s">
        <v>75</v>
      </c>
      <c r="BU23" t="s">
        <v>75</v>
      </c>
      <c r="BV23" t="s">
        <v>1322</v>
      </c>
      <c r="BW23" t="str">
        <f>min_hour(+IF($BO$23="M","420","0")+IF($BO$23="P","420","0")+IF($BO$23="F","420","0")+IF($BO$23="N","600","0")+IF($BO$23="M1","380","0")+IF($BO$23="P1","380","0")+IF($BO$23="L104","0","0")+IF($BO$23="MAL","0","0")+IF($BO$23="RC","0","0")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)</f>
        <v>42:00</v>
      </c>
      <c r="BX23" t="str">
        <f>min_hour( hour_min($BW$23)+0-2280 + hour_min($BN$23))</f>
        <v>40:00</v>
      </c>
      <c r="BY23" t="s">
        <v>73</v>
      </c>
      <c r="BZ23" t="s">
        <v>75</v>
      </c>
      <c r="CA23" t="s">
        <v>75</v>
      </c>
      <c r="CB23" t="s">
        <v>74</v>
      </c>
      <c r="CC23" t="s">
        <v>75</v>
      </c>
      <c r="CD23" t="s">
        <v>75</v>
      </c>
      <c r="CE23" t="s">
        <v>73</v>
      </c>
      <c r="CF23" t="s">
        <v>1323</v>
      </c>
      <c r="CG23" t="str">
        <f>min_hour(+IF($BY$23="M","420","0")+IF($BY$23="P","420","0")+IF($BY$23="F","420","0")+IF($BY$23="N","600","0")+IF($BY$23="M1","380","0")+IF($BY$23="P1","380","0")+IF($BY$23="L104","0","0")+IF($BY$23="MAL","0","0")+IF($BY$23="RC","0","0")+IF($BZ$23="M","420","0")+IF($BZ$23="P","420","0")+IF($BZ$23="F","420","0")+IF($BZ$23="N","600","0")+IF($BZ$23="M1","380","0")+IF($BZ$23="P1","380","0")+IF($BZ$23="L104","0","0")+IF($BZ$23="MAL","0","0")+IF($BZ$23="RC","0","0")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)</f>
        <v>35:00</v>
      </c>
      <c r="CH23" t="str">
        <f>min_hour( hour_min($CG$23)+0-2280 + hour_min($BX$23))</f>
        <v>37:00</v>
      </c>
      <c r="CI23" t="s">
        <v>75</v>
      </c>
      <c r="CJ23" t="s">
        <v>74</v>
      </c>
      <c r="CK23" t="s">
        <v>75</v>
      </c>
      <c r="CL23" t="s">
        <v>74</v>
      </c>
      <c r="CM23" t="s">
        <v>75</v>
      </c>
      <c r="CN23" t="s">
        <v>73</v>
      </c>
      <c r="CO23" t="s">
        <v>75</v>
      </c>
      <c r="CP23" t="s">
        <v>1324</v>
      </c>
      <c r="CQ23" t="str">
        <f>min_hour(+IF($CI$23="M","420","0")+IF($CI$23="P","420","0")+IF($CI$23="F","420","0")+IF($CI$23="N","600","0")+IF($CI$23="M1","380","0")+IF($CI$23="P1","380","0")+IF($CI$23="L104","0","0")+IF($CI$23="MAL","0","0")+IF($CI$23="RC","0","0")+IF($CJ$23="M","420","0")+IF($CJ$23="P","420","0")+IF($CJ$23="F","420","0")+IF($CJ$23="N","600","0")+IF($CJ$23="M1","380","0")+IF($CJ$23="P1","380","0")+IF($CJ$23="L104","0","0")+IF($CJ$23="MAL","0","0")+IF($CJ$23="RC","0","0")+IF($CK$23="M","420","0")+IF($CK$23="P","420","0")+IF($CK$23="F","420","0")+IF($CK$23="N","600","0")+IF($CK$23="M1","380","0")+IF($CK$23="P1","380","0")+IF($CK$23="L104","0","0")+IF($CK$23="MAL","0","0")+IF($CK$23="RC","0","0")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)</f>
        <v>42:00</v>
      </c>
      <c r="CR23" t="str">
        <f>min_hour( hour_min($CQ$23)+0-2280 + hour_min($CH$23))</f>
        <v>41:00</v>
      </c>
    </row>
    <row r="24" spans="1:9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">
        <v>77</v>
      </c>
      <c r="W24" t="s">
        <v>73</v>
      </c>
      <c r="X24" t="s">
        <v>1288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31:00</v>
      </c>
      <c r="Z24" t="str">
        <f>min_hour( hour_min($Y$24)+100-2280 + hour_min($P$24))</f>
        <v>-05:20</v>
      </c>
      <c r="AA24" t="s">
        <v>74</v>
      </c>
      <c r="AB24" t="s">
        <v>75</v>
      </c>
      <c r="AC24" t="s">
        <v>75</v>
      </c>
      <c r="AD24" t="s">
        <v>75</v>
      </c>
      <c r="AE24" t="s">
        <v>75</v>
      </c>
      <c r="AF24" t="s">
        <v>73</v>
      </c>
      <c r="AG24" t="s">
        <v>75</v>
      </c>
      <c r="AH24" t="s">
        <v>1278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hour_min($AI$24)+0-2280 + hour_min($Z$24))</f>
        <v>-01:20</v>
      </c>
      <c r="AK24" t="s">
        <v>74</v>
      </c>
      <c r="AL24" t="s">
        <v>75</v>
      </c>
      <c r="AM24" t="s">
        <v>76</v>
      </c>
      <c r="AN24" t="s">
        <v>77</v>
      </c>
      <c r="AO24" t="s">
        <v>73</v>
      </c>
      <c r="AP24" t="s">
        <v>74</v>
      </c>
      <c r="AQ24" t="s">
        <v>75</v>
      </c>
      <c r="AR24" t="s">
        <v>1279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38:00</v>
      </c>
      <c r="AT24" t="str">
        <f>min_hour( hour_min($AS$24)+0-2280 + hour_min($AJ$24))</f>
        <v>-01:20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74</v>
      </c>
      <c r="BA24" t="s">
        <v>75</v>
      </c>
      <c r="BB24" t="s">
        <v>1280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hour_min($BC$24)+0-2280 + hour_min($AT$24))</f>
        <v>02:40</v>
      </c>
      <c r="BE24" t="s">
        <v>76</v>
      </c>
      <c r="BF24" t="s">
        <v>77</v>
      </c>
      <c r="BG24" t="s">
        <v>73</v>
      </c>
      <c r="BH24" t="s">
        <v>74</v>
      </c>
      <c r="BI24" t="s">
        <v>75</v>
      </c>
      <c r="BJ24" t="s">
        <v>75</v>
      </c>
      <c r="BK24" t="s">
        <v>76</v>
      </c>
      <c r="BL24" t="s">
        <v>1281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41:00</v>
      </c>
      <c r="BN24" t="str">
        <f>min_hour( hour_min($BM$24)+0-2280 + hour_min($BD$24))</f>
        <v>05:40</v>
      </c>
      <c r="BO24" t="s">
        <v>77</v>
      </c>
      <c r="BP24" t="s">
        <v>73</v>
      </c>
      <c r="BQ24" t="s">
        <v>74</v>
      </c>
      <c r="BR24" t="s">
        <v>74</v>
      </c>
      <c r="BS24" t="s">
        <v>75</v>
      </c>
      <c r="BT24" t="s">
        <v>75</v>
      </c>
      <c r="BU24" t="s">
        <v>74</v>
      </c>
      <c r="BV24" t="s">
        <v>1282</v>
      </c>
      <c r="BW24" t="str">
        <f>min_hour(+IF($BO$24="M","420","0")+IF($BO$24="P","420","0")+IF($BO$24="F","420","0")+IF($BO$24="N","600","0")+IF($BO$24="M1","380","0")+IF($BO$24="P1","380","0")+IF($BO$24="L104","0","0")+IF($BO$24="MAL","0","0")+IF($BO$24="RC","0","0")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)</f>
        <v>35:00</v>
      </c>
      <c r="BX24" t="str">
        <f>min_hour( hour_min($BW$24)+0-2280 + hour_min($BN$24))</f>
        <v>02:40</v>
      </c>
      <c r="BY24" t="s">
        <v>73</v>
      </c>
      <c r="BZ24" t="s">
        <v>74</v>
      </c>
      <c r="CA24" t="s">
        <v>75</v>
      </c>
      <c r="CB24" t="s">
        <v>74</v>
      </c>
      <c r="CC24" t="s">
        <v>74</v>
      </c>
      <c r="CD24" t="s">
        <v>75</v>
      </c>
      <c r="CE24" t="s">
        <v>73</v>
      </c>
      <c r="CF24" t="s">
        <v>1283</v>
      </c>
      <c r="CG24" t="str">
        <f>min_hour(+IF($BY$24="M","420","0")+IF($BY$24="P","420","0")+IF($BY$24="F","420","0")+IF($BY$24="N","600","0")+IF($BY$24="M1","380","0")+IF($BY$24="P1","380","0")+IF($BY$24="L104","0","0")+IF($BY$24="MAL","0","0")+IF($BY$24="RC","0","0")+IF($BZ$24="M","420","0")+IF($BZ$24="P","420","0")+IF($BZ$24="F","420","0")+IF($BZ$24="N","600","0")+IF($BZ$24="M1","380","0")+IF($BZ$24="P1","380","0")+IF($BZ$24="L104","0","0")+IF($BZ$24="MAL","0","0")+IF($BZ$24="RC","0","0")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)</f>
        <v>35:00</v>
      </c>
      <c r="CH24" t="str">
        <f>min_hour( hour_min($CG$24)+0-2280 + hour_min($BX$24))</f>
        <v>00:20</v>
      </c>
      <c r="CI24" t="s">
        <v>75</v>
      </c>
      <c r="CJ24" t="s">
        <v>75</v>
      </c>
      <c r="CK24" t="s">
        <v>75</v>
      </c>
      <c r="CL24" t="s">
        <v>76</v>
      </c>
      <c r="CM24" t="s">
        <v>77</v>
      </c>
      <c r="CN24" t="s">
        <v>73</v>
      </c>
      <c r="CO24" t="s">
        <v>74</v>
      </c>
      <c r="CP24" t="s">
        <v>1284</v>
      </c>
      <c r="CQ24" t="str">
        <f>min_hour(+IF($CI$24="M","420","0")+IF($CI$24="P","420","0")+IF($CI$24="F","420","0")+IF($CI$24="N","600","0")+IF($CI$24="M1","380","0")+IF($CI$24="P1","380","0")+IF($CI$24="L104","0","0")+IF($CI$24="MAL","0","0")+IF($CI$24="RC","0","0")+IF($CJ$24="M","420","0")+IF($CJ$24="P","420","0")+IF($CJ$24="F","420","0")+IF($CJ$24="N","600","0")+IF($CJ$24="M1","380","0")+IF($CJ$24="P1","380","0")+IF($CJ$24="L104","0","0")+IF($CJ$24="MAL","0","0")+IF($CJ$24="RC","0","0")+IF($CK$24="M","420","0")+IF($CK$24="P","420","0")+IF($CK$24="F","420","0")+IF($CK$24="N","600","0")+IF($CK$24="M1","380","0")+IF($CK$24="P1","380","0")+IF($CK$24="L104","0","0")+IF($CK$24="MAL","0","0")+IF($CK$24="RC","0","0")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)</f>
        <v>38:00</v>
      </c>
      <c r="CR24" t="str">
        <f>min_hour( hour_min($CQ$24)+0-2280 + hour_min($CH$24))</f>
        <v>00:20</v>
      </c>
    </row>
    <row r="25" spans="1:9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Q25" t="s">
        <v>75</v>
      </c>
      <c r="R25" t="s">
        <v>73</v>
      </c>
      <c r="S25" t="s">
        <v>74</v>
      </c>
      <c r="T25" t="s">
        <v>75</v>
      </c>
      <c r="U25" t="s">
        <v>74</v>
      </c>
      <c r="V25" t="s">
        <v>75</v>
      </c>
      <c r="W25" t="s">
        <v>75</v>
      </c>
      <c r="X25" t="s">
        <v>1322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42:00</v>
      </c>
      <c r="Z25" t="str">
        <f>min_hour( hour_min($Y$25)+60-2280 + hour_min($P$25))</f>
        <v>05:00</v>
      </c>
      <c r="AA25" t="s">
        <v>73</v>
      </c>
      <c r="AB25" t="s">
        <v>75</v>
      </c>
      <c r="AC25" t="s">
        <v>75</v>
      </c>
      <c r="AD25" t="s">
        <v>74</v>
      </c>
      <c r="AE25" t="s">
        <v>75</v>
      </c>
      <c r="AF25" t="s">
        <v>75</v>
      </c>
      <c r="AG25" t="s">
        <v>73</v>
      </c>
      <c r="AH25" t="s">
        <v>1323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35:00</v>
      </c>
      <c r="AJ25" t="str">
        <f>min_hour( hour_min($AI$25)+0-2280 + hour_min($Z$25))</f>
        <v>02:00</v>
      </c>
      <c r="AK25" t="s">
        <v>75</v>
      </c>
      <c r="AL25" t="s">
        <v>74</v>
      </c>
      <c r="AM25" t="s">
        <v>75</v>
      </c>
      <c r="AN25" t="s">
        <v>74</v>
      </c>
      <c r="AO25" t="s">
        <v>75</v>
      </c>
      <c r="AP25" t="s">
        <v>73</v>
      </c>
      <c r="AQ25" t="s">
        <v>75</v>
      </c>
      <c r="AR25" t="s">
        <v>1324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42:00</v>
      </c>
      <c r="AT25" t="str">
        <f>min_hour( hour_min($AS$25)+0-2280 + hour_min($AJ$25))</f>
        <v>06:00</v>
      </c>
      <c r="AU25" t="s">
        <v>75</v>
      </c>
      <c r="AV25" t="s">
        <v>74</v>
      </c>
      <c r="AW25" t="s">
        <v>75</v>
      </c>
      <c r="AX25" t="s">
        <v>75</v>
      </c>
      <c r="AY25" t="s">
        <v>73</v>
      </c>
      <c r="AZ25" t="s">
        <v>74</v>
      </c>
      <c r="BA25" t="s">
        <v>74</v>
      </c>
      <c r="BB25" t="s">
        <v>1325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hour_min($BC$25)+0-2280 + hour_min($AT$25))</f>
        <v>10:00</v>
      </c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1326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hour_min($BM$25)+0-2280 + hour_min($BD$25))</f>
        <v>14:00</v>
      </c>
      <c r="BO25" t="s">
        <v>74</v>
      </c>
      <c r="BP25" t="s">
        <v>74</v>
      </c>
      <c r="BQ25" t="s">
        <v>73</v>
      </c>
      <c r="BR25" t="s">
        <v>75</v>
      </c>
      <c r="BS25" t="s">
        <v>75</v>
      </c>
      <c r="BT25" t="s">
        <v>74</v>
      </c>
      <c r="BU25" t="s">
        <v>75</v>
      </c>
      <c r="BV25" t="s">
        <v>1327</v>
      </c>
      <c r="BW25" t="str">
        <f>min_hour(+IF($BO$25="M","420","0")+IF($BO$25="P","420","0")+IF($BO$25="F","420","0")+IF($BO$25="N","600","0")+IF($BO$25="M1","380","0")+IF($BO$25="P1","380","0")+IF($BO$25="L104","0","0")+IF($BO$25="MAL","0","0")+IF($BO$25="RC","0","0")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)</f>
        <v>42:00</v>
      </c>
      <c r="BX25" t="str">
        <f>min_hour( hour_min($BW$25)+0-2280 + hour_min($BN$25))</f>
        <v>18:00</v>
      </c>
      <c r="BY25" t="s">
        <v>75</v>
      </c>
      <c r="BZ25" t="s">
        <v>73</v>
      </c>
      <c r="CA25" t="s">
        <v>74</v>
      </c>
      <c r="CB25" t="s">
        <v>75</v>
      </c>
      <c r="CC25" t="s">
        <v>74</v>
      </c>
      <c r="CD25" t="s">
        <v>75</v>
      </c>
      <c r="CE25" t="s">
        <v>75</v>
      </c>
      <c r="CF25" t="s">
        <v>1322</v>
      </c>
      <c r="CG25" t="str">
        <f>min_hour(+IF($BY$25="M","420","0")+IF($BY$25="P","420","0")+IF($BY$25="F","420","0")+IF($BY$25="N","600","0")+IF($BY$25="M1","380","0")+IF($BY$25="P1","380","0")+IF($BY$25="L104","0","0")+IF($BY$25="MAL","0","0")+IF($BY$25="RC","0","0")+IF($BZ$25="M","420","0")+IF($BZ$25="P","420","0")+IF($BZ$25="F","420","0")+IF($BZ$25="N","600","0")+IF($BZ$25="M1","380","0")+IF($BZ$25="P1","380","0")+IF($BZ$25="L104","0","0")+IF($BZ$25="MAL","0","0")+IF($BZ$25="RC","0","0")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)</f>
        <v>42:00</v>
      </c>
      <c r="CH25" t="str">
        <f>min_hour( hour_min($CG$25)+0-2280 + hour_min($BX$25))</f>
        <v>22:00</v>
      </c>
      <c r="CI25" t="s">
        <v>73</v>
      </c>
      <c r="CJ25" t="s">
        <v>75</v>
      </c>
      <c r="CK25" t="s">
        <v>75</v>
      </c>
      <c r="CL25" t="s">
        <v>74</v>
      </c>
      <c r="CM25" t="s">
        <v>75</v>
      </c>
      <c r="CN25" t="s">
        <v>75</v>
      </c>
      <c r="CO25" t="s">
        <v>73</v>
      </c>
      <c r="CP25" t="s">
        <v>1323</v>
      </c>
      <c r="CQ25" t="str">
        <f>min_hour(+IF($CI$25="M","420","0")+IF($CI$25="P","420","0")+IF($CI$25="F","420","0")+IF($CI$25="N","600","0")+IF($CI$25="M1","380","0")+IF($CI$25="P1","380","0")+IF($CI$25="L104","0","0")+IF($CI$25="MAL","0","0")+IF($CI$25="RC","0","0")+IF($CJ$25="M","420","0")+IF($CJ$25="P","420","0")+IF($CJ$25="F","420","0")+IF($CJ$25="N","600","0")+IF($CJ$25="M1","380","0")+IF($CJ$25="P1","380","0")+IF($CJ$25="L104","0","0")+IF($CJ$25="MAL","0","0")+IF($CJ$25="RC","0","0")+IF($CK$25="M","420","0")+IF($CK$25="P","420","0")+IF($CK$25="F","420","0")+IF($CK$25="N","600","0")+IF($CK$25="M1","380","0")+IF($CK$25="P1","380","0")+IF($CK$25="L104","0","0")+IF($CK$25="MAL","0","0")+IF($CK$25="RC","0","0")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)</f>
        <v>35:00</v>
      </c>
      <c r="CR25" t="str">
        <f>min_hour( hour_min($CQ$25)+0-2280 + hour_min($CH$25))</f>
        <v>19:00</v>
      </c>
    </row>
    <row r="26" spans="1:9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  <c r="X26" t="s">
        <v>1278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hour_min($Y$26)+-720-2280 + hour_min($P$26))</f>
        <v>-08:00</v>
      </c>
      <c r="AA26" t="s">
        <v>74</v>
      </c>
      <c r="AB26" t="s">
        <v>75</v>
      </c>
      <c r="AC26" t="s">
        <v>76</v>
      </c>
      <c r="AD26" t="s">
        <v>77</v>
      </c>
      <c r="AE26" t="s">
        <v>73</v>
      </c>
      <c r="AF26" t="s">
        <v>74</v>
      </c>
      <c r="AG26" t="s">
        <v>75</v>
      </c>
      <c r="AH26" t="s">
        <v>1279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38:00</v>
      </c>
      <c r="AJ26" t="str">
        <f>min_hour( hour_min($AI$26)+0-2280 + hour_min($Z$26))</f>
        <v>-08:00</v>
      </c>
      <c r="AK26" t="s">
        <v>74</v>
      </c>
      <c r="AL26" t="s">
        <v>75</v>
      </c>
      <c r="AM26" t="s">
        <v>74</v>
      </c>
      <c r="AN26" t="s">
        <v>73</v>
      </c>
      <c r="AO26" t="s">
        <v>74</v>
      </c>
      <c r="AP26" t="s">
        <v>74</v>
      </c>
      <c r="AQ26" t="s">
        <v>75</v>
      </c>
      <c r="AR26" t="s">
        <v>1280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hour_min($AS$26)+0-2280 + hour_min($AJ$26))</f>
        <v>-04:00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76</v>
      </c>
      <c r="BB26" t="s">
        <v>1281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41:00</v>
      </c>
      <c r="BD26" t="str">
        <f>min_hour( hour_min($BC$26)+0-2280 + hour_min($AT$26))</f>
        <v>-01:00</v>
      </c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1282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35:00</v>
      </c>
      <c r="BN26" t="str">
        <f>min_hour( hour_min($BM$26)+0-2280 + hour_min($BD$26))</f>
        <v>-04:00</v>
      </c>
      <c r="BO26" t="s">
        <v>73</v>
      </c>
      <c r="BP26" t="s">
        <v>74</v>
      </c>
      <c r="BQ26" t="s">
        <v>75</v>
      </c>
      <c r="BR26" t="s">
        <v>74</v>
      </c>
      <c r="BS26" t="s">
        <v>74</v>
      </c>
      <c r="BT26" t="s">
        <v>75</v>
      </c>
      <c r="BU26" t="s">
        <v>73</v>
      </c>
      <c r="BV26" t="s">
        <v>1283</v>
      </c>
      <c r="BW26" t="str">
        <f>min_hour(+IF($BO$26="M","420","0")+IF($BO$26="P","420","0")+IF($BO$26="F","420","0")+IF($BO$26="N","600","0")+IF($BO$26="M1","380","0")+IF($BO$26="P1","380","0")+IF($BO$26="L104","0","0")+IF($BO$26="MAL","0","0")+IF($BO$26="RC","0","0")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)</f>
        <v>35:00</v>
      </c>
      <c r="BX26" t="str">
        <f>min_hour( hour_min($BW$26)+0-2280 + hour_min($BN$26))</f>
        <v>-07:00</v>
      </c>
      <c r="BY26" t="s">
        <v>75</v>
      </c>
      <c r="BZ26" t="s">
        <v>75</v>
      </c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1284</v>
      </c>
      <c r="CG26" t="str">
        <f>min_hour(+IF($BY$26="M","420","0")+IF($BY$26="P","420","0")+IF($BY$26="F","420","0")+IF($BY$26="N","600","0")+IF($BY$26="M1","380","0")+IF($BY$26="P1","380","0")+IF($BY$26="L104","0","0")+IF($BY$26="MAL","0","0")+IF($BY$26="RC","0","0")+IF($BZ$26="M","420","0")+IF($BZ$26="P","420","0")+IF($BZ$26="F","420","0")+IF($BZ$26="N","600","0")+IF($BZ$26="M1","380","0")+IF($BZ$26="P1","380","0")+IF($BZ$26="L104","0","0")+IF($BZ$26="MAL","0","0")+IF($BZ$26="RC","0","0")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)</f>
        <v>38:00</v>
      </c>
      <c r="CH26" t="str">
        <f>min_hour( hour_min($CG$26)+0-2280 + hour_min($BX$26))</f>
        <v>-07:00</v>
      </c>
      <c r="CI26" t="s">
        <v>75</v>
      </c>
      <c r="CJ26" t="s">
        <v>74</v>
      </c>
      <c r="CK26" t="s">
        <v>74</v>
      </c>
      <c r="CL26" t="s">
        <v>75</v>
      </c>
      <c r="CM26" t="s">
        <v>73</v>
      </c>
      <c r="CN26" t="s">
        <v>74</v>
      </c>
      <c r="CO26" t="s">
        <v>74</v>
      </c>
      <c r="CP26" t="s">
        <v>1285</v>
      </c>
      <c r="CQ26" t="str">
        <f>min_hour(+IF($CI$26="M","420","0")+IF($CI$26="P","420","0")+IF($CI$26="F","420","0")+IF($CI$26="N","600","0")+IF($CI$26="M1","380","0")+IF($CI$26="P1","380","0")+IF($CI$26="L104","0","0")+IF($CI$26="MAL","0","0")+IF($CI$26="RC","0","0")+IF($CJ$26="M","420","0")+IF($CJ$26="P","420","0")+IF($CJ$26="F","420","0")+IF($CJ$26="N","600","0")+IF($CJ$26="M1","380","0")+IF($CJ$26="P1","380","0")+IF($CJ$26="L104","0","0")+IF($CJ$26="MAL","0","0")+IF($CJ$26="RC","0","0")+IF($CK$26="M","420","0")+IF($CK$26="P","420","0")+IF($CK$26="F","420","0")+IF($CK$26="N","600","0")+IF($CK$26="M1","380","0")+IF($CK$26="P1","380","0")+IF($CK$26="L104","0","0")+IF($CK$26="MAL","0","0")+IF($CK$26="RC","0","0")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)</f>
        <v>42:00</v>
      </c>
      <c r="CR26" t="str">
        <f>min_hour( hour_min($CQ$26)+0-2280 + hour_min($CH$26))</f>
        <v>-03:00</v>
      </c>
    </row>
    <row r="27" spans="1:9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Q27" t="s">
        <v>74</v>
      </c>
      <c r="R27" t="s">
        <v>74</v>
      </c>
      <c r="S27" t="s">
        <v>73</v>
      </c>
      <c r="T27" t="s">
        <v>75</v>
      </c>
      <c r="U27" t="s">
        <v>75</v>
      </c>
      <c r="V27" t="s">
        <v>74</v>
      </c>
      <c r="W27" t="s">
        <v>75</v>
      </c>
      <c r="X27" t="s">
        <v>1327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hour_min($Y$27)+640-2280 + hour_min($P$27))</f>
        <v>14:40</v>
      </c>
      <c r="AA27" t="s">
        <v>75</v>
      </c>
      <c r="AB27" t="s">
        <v>73</v>
      </c>
      <c r="AC27" t="s">
        <v>74</v>
      </c>
      <c r="AD27" t="s">
        <v>75</v>
      </c>
      <c r="AE27" t="s">
        <v>74</v>
      </c>
      <c r="AF27" t="s">
        <v>75</v>
      </c>
      <c r="AG27" t="s">
        <v>75</v>
      </c>
      <c r="AH27" t="s">
        <v>1322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42:00</v>
      </c>
      <c r="AJ27" t="str">
        <f>min_hour( hour_min($AI$27)+0-2280 + hour_min($Z$27))</f>
        <v>18:40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75</v>
      </c>
      <c r="AQ27" t="s">
        <v>73</v>
      </c>
      <c r="AR27" t="s">
        <v>1323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35:00</v>
      </c>
      <c r="AT27" t="str">
        <f>min_hour( hour_min($AS$27)+0-2280 + hour_min($AJ$27))</f>
        <v>15:40</v>
      </c>
      <c r="AU27" t="s">
        <v>75</v>
      </c>
      <c r="AV27" t="s">
        <v>74</v>
      </c>
      <c r="AW27" t="s">
        <v>75</v>
      </c>
      <c r="AX27" t="s">
        <v>74</v>
      </c>
      <c r="AY27" t="s">
        <v>75</v>
      </c>
      <c r="AZ27" t="s">
        <v>73</v>
      </c>
      <c r="BA27" t="s">
        <v>75</v>
      </c>
      <c r="BB27" t="s">
        <v>1324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42:00</v>
      </c>
      <c r="BD27" t="str">
        <f>min_hour( hour_min($BC$27)+0-2280 + hour_min($AT$27))</f>
        <v>19:40</v>
      </c>
      <c r="BE27" t="s">
        <v>75</v>
      </c>
      <c r="BF27" t="s">
        <v>74</v>
      </c>
      <c r="BG27" t="s">
        <v>75</v>
      </c>
      <c r="BH27" t="s">
        <v>75</v>
      </c>
      <c r="BI27" t="s">
        <v>73</v>
      </c>
      <c r="BJ27" t="s">
        <v>74</v>
      </c>
      <c r="BK27" t="s">
        <v>74</v>
      </c>
      <c r="BL27" t="s">
        <v>1325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hour_min($BM$27)+0-2280 + hour_min($BD$27))</f>
        <v>23:40</v>
      </c>
      <c r="BO27" t="s">
        <v>74</v>
      </c>
      <c r="BP27" t="s">
        <v>75</v>
      </c>
      <c r="BQ27" t="s">
        <v>74</v>
      </c>
      <c r="BR27" t="s">
        <v>73</v>
      </c>
      <c r="BS27" t="s">
        <v>74</v>
      </c>
      <c r="BT27" t="s">
        <v>75</v>
      </c>
      <c r="BU27" t="s">
        <v>74</v>
      </c>
      <c r="BV27" t="s">
        <v>1326</v>
      </c>
      <c r="BW27" t="str">
        <f>min_hour(+IF($BO$27="M","420","0")+IF($BO$27="P","420","0")+IF($BO$27="F","420","0")+IF($BO$27="N","600","0")+IF($BO$27="M1","380","0")+IF($BO$27="P1","380","0")+IF($BO$27="L104","0","0")+IF($BO$27="MAL","0","0")+IF($BO$27="RC","0","0")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)</f>
        <v>42:00</v>
      </c>
      <c r="BX27" t="str">
        <f>min_hour( hour_min($BW$27)+0-2280 + hour_min($BN$27))</f>
        <v>27:40</v>
      </c>
      <c r="BY27" t="s">
        <v>74</v>
      </c>
      <c r="BZ27" t="s">
        <v>74</v>
      </c>
      <c r="CA27" t="s">
        <v>73</v>
      </c>
      <c r="CB27" t="s">
        <v>75</v>
      </c>
      <c r="CC27" t="s">
        <v>75</v>
      </c>
      <c r="CD27" t="s">
        <v>74</v>
      </c>
      <c r="CE27" t="s">
        <v>75</v>
      </c>
      <c r="CF27" t="s">
        <v>1327</v>
      </c>
      <c r="CG27" t="str">
        <f>min_hour(+IF($BY$27="M","420","0")+IF($BY$27="P","420","0")+IF($BY$27="F","420","0")+IF($BY$27="N","600","0")+IF($BY$27="M1","380","0")+IF($BY$27="P1","380","0")+IF($BY$27="L104","0","0")+IF($BY$27="MAL","0","0")+IF($BY$27="RC","0","0")+IF($BZ$27="M","420","0")+IF($BZ$27="P","420","0")+IF($BZ$27="F","420","0")+IF($BZ$27="N","600","0")+IF($BZ$27="M1","380","0")+IF($BZ$27="P1","380","0")+IF($BZ$27="L104","0","0")+IF($BZ$27="MAL","0","0")+IF($BZ$27="RC","0","0")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)</f>
        <v>42:00</v>
      </c>
      <c r="CH27" t="str">
        <f>min_hour( hour_min($CG$27)+0-2280 + hour_min($BX$27))</f>
        <v>31:40</v>
      </c>
      <c r="CI27" t="s">
        <v>75</v>
      </c>
      <c r="CJ27" t="s">
        <v>73</v>
      </c>
      <c r="CK27" t="s">
        <v>74</v>
      </c>
      <c r="CL27" t="s">
        <v>75</v>
      </c>
      <c r="CM27" t="s">
        <v>74</v>
      </c>
      <c r="CN27" t="s">
        <v>75</v>
      </c>
      <c r="CO27" t="s">
        <v>75</v>
      </c>
      <c r="CP27" t="s">
        <v>1322</v>
      </c>
      <c r="CQ27" t="str">
        <f>min_hour(+IF($CI$27="M","420","0")+IF($CI$27="P","420","0")+IF($CI$27="F","420","0")+IF($CI$27="N","600","0")+IF($CI$27="M1","380","0")+IF($CI$27="P1","380","0")+IF($CI$27="L104","0","0")+IF($CI$27="MAL","0","0")+IF($CI$27="RC","0","0")+IF($CJ$27="M","420","0")+IF($CJ$27="P","420","0")+IF($CJ$27="F","420","0")+IF($CJ$27="N","600","0")+IF($CJ$27="M1","380","0")+IF($CJ$27="P1","380","0")+IF($CJ$27="L104","0","0")+IF($CJ$27="MAL","0","0")+IF($CJ$27="RC","0","0")+IF($CK$27="M","420","0")+IF($CK$27="P","420","0")+IF($CK$27="F","420","0")+IF($CK$27="N","600","0")+IF($CK$27="M1","380","0")+IF($CK$27="P1","380","0")+IF($CK$27="L104","0","0")+IF($CK$27="MAL","0","0")+IF($CK$27="RC","0","0")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)</f>
        <v>42:00</v>
      </c>
      <c r="CR27" t="str">
        <f>min_hour( hour_min($CQ$27)+0-2280 + hour_min($CH$27))</f>
        <v>35:40</v>
      </c>
    </row>
    <row r="28" spans="1:9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Q28" t="s">
        <v>77</v>
      </c>
      <c r="R28" t="s">
        <v>73</v>
      </c>
      <c r="S28" t="s">
        <v>74</v>
      </c>
      <c r="T28" t="s">
        <v>74</v>
      </c>
      <c r="U28" t="s">
        <v>75</v>
      </c>
      <c r="V28" t="s">
        <v>75</v>
      </c>
      <c r="W28" t="s">
        <v>74</v>
      </c>
      <c r="X28" t="s">
        <v>1282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35:00</v>
      </c>
      <c r="Z28" t="str">
        <f>min_hour( hour_min($Y$28)+360-2280 + hour_min($P$28))</f>
        <v>03:00</v>
      </c>
      <c r="AA28" t="s">
        <v>73</v>
      </c>
      <c r="AB28" t="s">
        <v>74</v>
      </c>
      <c r="AC28" t="s">
        <v>75</v>
      </c>
      <c r="AD28" t="s">
        <v>74</v>
      </c>
      <c r="AE28" t="s">
        <v>74</v>
      </c>
      <c r="AF28" t="s">
        <v>75</v>
      </c>
      <c r="AG28" t="s">
        <v>73</v>
      </c>
      <c r="AH28" t="s">
        <v>1283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35:00</v>
      </c>
      <c r="AJ28" t="str">
        <f>min_hour( hour_min($AI$28)+0-2280 + hour_min($Z$28))</f>
        <v>00:00</v>
      </c>
      <c r="AK28" t="s">
        <v>75</v>
      </c>
      <c r="AL28" t="s">
        <v>75</v>
      </c>
      <c r="AM28" t="s">
        <v>75</v>
      </c>
      <c r="AN28" t="s">
        <v>76</v>
      </c>
      <c r="AO28" t="s">
        <v>77</v>
      </c>
      <c r="AP28" t="s">
        <v>73</v>
      </c>
      <c r="AQ28" t="s">
        <v>74</v>
      </c>
      <c r="AR28" t="s">
        <v>1284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38:00</v>
      </c>
      <c r="AT28" t="str">
        <f>min_hour( hour_min($AS$28)+0-2280 + hour_min($AJ$28))</f>
        <v>00:00</v>
      </c>
      <c r="AU28" t="s">
        <v>75</v>
      </c>
      <c r="AV28" t="s">
        <v>74</v>
      </c>
      <c r="AW28" t="s">
        <v>74</v>
      </c>
      <c r="AX28" t="s">
        <v>75</v>
      </c>
      <c r="AY28" t="s">
        <v>73</v>
      </c>
      <c r="AZ28" t="s">
        <v>74</v>
      </c>
      <c r="BA28" t="s">
        <v>74</v>
      </c>
      <c r="BB28" t="s">
        <v>1285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hour_min($BC$28)+0-2280 + hour_min($AT$28))</f>
        <v>04:00</v>
      </c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hour_min($BM$28)+0-2280 + hour_min($BD$28))</f>
        <v>04:00</v>
      </c>
      <c r="BO28" t="s">
        <v>75</v>
      </c>
      <c r="BP28" t="s">
        <v>75</v>
      </c>
      <c r="BQ28" t="s">
        <v>73</v>
      </c>
      <c r="BR28" t="s">
        <v>75</v>
      </c>
      <c r="BS28" t="s">
        <v>75</v>
      </c>
      <c r="BT28" t="s">
        <v>76</v>
      </c>
      <c r="BU28" t="s">
        <v>77</v>
      </c>
      <c r="BV28" t="s">
        <v>1287</v>
      </c>
      <c r="BW28" t="str">
        <f>min_hour(+IF($BO$28="M","420","0")+IF($BO$28="P","420","0")+IF($BO$28="F","420","0")+IF($BO$28="N","600","0")+IF($BO$28="M1","380","0")+IF($BO$28="P1","380","0")+IF($BO$28="L104","0","0")+IF($BO$28="MAL","0","0")+IF($BO$28="RC","0","0")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)</f>
        <v>38:00</v>
      </c>
      <c r="BX28" t="str">
        <f>min_hour( hour_min($BW$28)+0-2280 + hour_min($BN$28))</f>
        <v>04:00</v>
      </c>
      <c r="BY28" t="s">
        <v>73</v>
      </c>
      <c r="BZ28" t="s">
        <v>74</v>
      </c>
      <c r="CA28" t="s">
        <v>75</v>
      </c>
      <c r="CB28" t="s">
        <v>75</v>
      </c>
      <c r="CC28" t="s">
        <v>76</v>
      </c>
      <c r="CD28" t="s">
        <v>77</v>
      </c>
      <c r="CE28" t="s">
        <v>73</v>
      </c>
      <c r="CF28" t="s">
        <v>1288</v>
      </c>
      <c r="CG28" t="str">
        <f>min_hour(+IF($BY$28="M","420","0")+IF($BY$28="P","420","0")+IF($BY$28="F","420","0")+IF($BY$28="N","600","0")+IF($BY$28="M1","380","0")+IF($BY$28="P1","380","0")+IF($BY$28="L104","0","0")+IF($BY$28="MAL","0","0")+IF($BY$28="RC","0","0")+IF($BZ$28="M","420","0")+IF($BZ$28="P","420","0")+IF($BZ$28="F","420","0")+IF($BZ$28="N","600","0")+IF($BZ$28="M1","380","0")+IF($BZ$28="P1","380","0")+IF($BZ$28="L104","0","0")+IF($BZ$28="MAL","0","0")+IF($BZ$28="RC","0","0")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)</f>
        <v>31:00</v>
      </c>
      <c r="CH28" t="str">
        <f>min_hour( hour_min($CG$28)+0-2280 + hour_min($BX$28))</f>
        <v>-03:00</v>
      </c>
      <c r="CI28" t="s">
        <v>74</v>
      </c>
      <c r="CJ28" t="s">
        <v>75</v>
      </c>
      <c r="CK28" t="s">
        <v>75</v>
      </c>
      <c r="CL28" t="s">
        <v>75</v>
      </c>
      <c r="CM28" t="s">
        <v>75</v>
      </c>
      <c r="CN28" t="s">
        <v>73</v>
      </c>
      <c r="CO28" t="s">
        <v>75</v>
      </c>
      <c r="CP28" t="s">
        <v>1278</v>
      </c>
      <c r="CQ28" t="str">
        <f>min_hour(+IF($CI$28="M","420","0")+IF($CI$28="P","420","0")+IF($CI$28="F","420","0")+IF($CI$28="N","600","0")+IF($CI$28="M1","380","0")+IF($CI$28="P1","380","0")+IF($CI$28="L104","0","0")+IF($CI$28="MAL","0","0")+IF($CI$28="RC","0","0")+IF($CJ$28="M","420","0")+IF($CJ$28="P","420","0")+IF($CJ$28="F","420","0")+IF($CJ$28="N","600","0")+IF($CJ$28="M1","380","0")+IF($CJ$28="P1","380","0")+IF($CJ$28="L104","0","0")+IF($CJ$28="MAL","0","0")+IF($CJ$28="RC","0","0")+IF($CK$28="M","420","0")+IF($CK$28="P","420","0")+IF($CK$28="F","420","0")+IF($CK$28="N","600","0")+IF($CK$28="M1","380","0")+IF($CK$28="P1","380","0")+IF($CK$28="L104","0","0")+IF($CK$28="MAL","0","0")+IF($CK$28="RC","0","0")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)</f>
        <v>42:00</v>
      </c>
      <c r="CR28" t="str">
        <f>min_hour( hour_min($CQ$28)+0-2280 + hour_min($CH$28))</f>
        <v>01:00</v>
      </c>
    </row>
    <row r="29" spans="1:9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Q29" t="s">
        <v>75</v>
      </c>
      <c r="R29" t="s">
        <v>74</v>
      </c>
      <c r="S29" t="s">
        <v>74</v>
      </c>
      <c r="T29" t="s">
        <v>75</v>
      </c>
      <c r="U29" t="s">
        <v>73</v>
      </c>
      <c r="V29" t="s">
        <v>74</v>
      </c>
      <c r="W29" t="s">
        <v>74</v>
      </c>
      <c r="X29" t="s">
        <v>1285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42:00</v>
      </c>
      <c r="Z29" t="str">
        <f>min_hour( hour_min($Y$29)+-660-2280 + hour_min($P$29))</f>
        <v>-07:00</v>
      </c>
      <c r="AA29" t="s">
        <v>75</v>
      </c>
      <c r="AB29" t="s">
        <v>76</v>
      </c>
      <c r="AC29" t="s">
        <v>77</v>
      </c>
      <c r="AD29" t="s">
        <v>73</v>
      </c>
      <c r="AE29" t="s">
        <v>74</v>
      </c>
      <c r="AF29" t="s">
        <v>75</v>
      </c>
      <c r="AG29" t="s">
        <v>75</v>
      </c>
      <c r="AH29" t="s">
        <v>1286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38:00</v>
      </c>
      <c r="AJ29" t="str">
        <f>min_hour( hour_min($AI$29)+0-2280 + hour_min($Z$29))</f>
        <v>-07:00</v>
      </c>
      <c r="AK29" t="s">
        <v>75</v>
      </c>
      <c r="AL29" t="s">
        <v>75</v>
      </c>
      <c r="AM29" t="s">
        <v>73</v>
      </c>
      <c r="AN29" t="s">
        <v>75</v>
      </c>
      <c r="AO29" t="s">
        <v>75</v>
      </c>
      <c r="AP29" t="s">
        <v>76</v>
      </c>
      <c r="AQ29" t="s">
        <v>77</v>
      </c>
      <c r="AR29" t="s">
        <v>1287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hour_min($AS$29)+0-2280 + hour_min($AJ$29))</f>
        <v>-07:00</v>
      </c>
      <c r="AU29" t="s">
        <v>73</v>
      </c>
      <c r="AV29" t="s">
        <v>74</v>
      </c>
      <c r="AW29" t="s">
        <v>75</v>
      </c>
      <c r="AX29" t="s">
        <v>75</v>
      </c>
      <c r="AY29" t="s">
        <v>76</v>
      </c>
      <c r="AZ29" t="s">
        <v>77</v>
      </c>
      <c r="BA29" t="s">
        <v>73</v>
      </c>
      <c r="BB29" t="s">
        <v>1288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31:00</v>
      </c>
      <c r="BD29" t="str">
        <f>min_hour( hour_min($BC$29)+0-2280 + hour_min($AT$29))</f>
        <v>-14:00</v>
      </c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1278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hour_min($BM$29)+0-2280 + hour_min($BD$29))</f>
        <v>-10:00</v>
      </c>
      <c r="BO29" t="s">
        <v>74</v>
      </c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1279</v>
      </c>
      <c r="BW29" t="str">
        <f>min_hour(+IF($BO$29="M","420","0")+IF($BO$29="P","420","0")+IF($BO$29="F","420","0")+IF($BO$29="N","600","0")+IF($BO$29="M1","380","0")+IF($BO$29="P1","380","0")+IF($BO$29="L104","0","0")+IF($BO$29="MAL","0","0")+IF($BO$29="RC","0","0")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)</f>
        <v>38:00</v>
      </c>
      <c r="BX29" t="str">
        <f>min_hour( hour_min($BW$29)+0-2280 + hour_min($BN$29))</f>
        <v>-10:00</v>
      </c>
      <c r="BY29" t="s">
        <v>74</v>
      </c>
      <c r="BZ29" t="s">
        <v>75</v>
      </c>
      <c r="CA29" t="s">
        <v>74</v>
      </c>
      <c r="CB29" t="s">
        <v>73</v>
      </c>
      <c r="CC29" t="s">
        <v>74</v>
      </c>
      <c r="CD29" t="s">
        <v>74</v>
      </c>
      <c r="CE29" t="s">
        <v>75</v>
      </c>
      <c r="CF29" t="s">
        <v>1280</v>
      </c>
      <c r="CG29" t="str">
        <f>min_hour(+IF($BY$29="M","420","0")+IF($BY$29="P","420","0")+IF($BY$29="F","420","0")+IF($BY$29="N","600","0")+IF($BY$29="M1","380","0")+IF($BY$29="P1","380","0")+IF($BY$29="L104","0","0")+IF($BY$29="MAL","0","0")+IF($BY$29="RC","0","0")+IF($BZ$29="M","420","0")+IF($BZ$29="P","420","0")+IF($BZ$29="F","420","0")+IF($BZ$29="N","600","0")+IF($BZ$29="M1","380","0")+IF($BZ$29="P1","380","0")+IF($BZ$29="L104","0","0")+IF($BZ$29="MAL","0","0")+IF($BZ$29="RC","0","0")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)</f>
        <v>42:00</v>
      </c>
      <c r="CH29" t="str">
        <f>min_hour( hour_min($CG$29)+0-2280 + hour_min($BX$29))</f>
        <v>-06:00</v>
      </c>
      <c r="CI29" t="s">
        <v>76</v>
      </c>
      <c r="CJ29" t="s">
        <v>77</v>
      </c>
      <c r="CK29" t="s">
        <v>73</v>
      </c>
      <c r="CL29" t="s">
        <v>74</v>
      </c>
      <c r="CM29" t="s">
        <v>75</v>
      </c>
      <c r="CN29" t="s">
        <v>75</v>
      </c>
      <c r="CO29" t="s">
        <v>76</v>
      </c>
      <c r="CP29" t="s">
        <v>1281</v>
      </c>
      <c r="CQ29" t="str">
        <f>min_hour(+IF($CI$29="M","420","0")+IF($CI$29="P","420","0")+IF($CI$29="F","420","0")+IF($CI$29="N","600","0")+IF($CI$29="M1","380","0")+IF($CI$29="P1","380","0")+IF($CI$29="L104","0","0")+IF($CI$29="MAL","0","0")+IF($CI$29="RC","0","0")+IF($CJ$29="M","420","0")+IF($CJ$29="P","420","0")+IF($CJ$29="F","420","0")+IF($CJ$29="N","600","0")+IF($CJ$29="M1","380","0")+IF($CJ$29="P1","380","0")+IF($CJ$29="L104","0","0")+IF($CJ$29="MAL","0","0")+IF($CJ$29="RC","0","0")+IF($CK$29="M","420","0")+IF($CK$29="P","420","0")+IF($CK$29="F","420","0")+IF($CK$29="N","600","0")+IF($CK$29="M1","380","0")+IF($CK$29="P1","380","0")+IF($CK$29="L104","0","0")+IF($CK$29="MAL","0","0")+IF($CK$29="RC","0","0")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)</f>
        <v>41:00</v>
      </c>
      <c r="CR29" t="str">
        <f>min_hour( hour_min($CQ$29)+0-2280 + hour_min($CH$29))</f>
        <v>-03:00</v>
      </c>
    </row>
    <row r="30" spans="1:9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Q30" t="s">
        <v>76</v>
      </c>
      <c r="R30" t="s">
        <v>77</v>
      </c>
      <c r="S30" t="s">
        <v>73</v>
      </c>
      <c r="T30" t="s">
        <v>74</v>
      </c>
      <c r="U30" t="s">
        <v>75</v>
      </c>
      <c r="V30" t="s">
        <v>75</v>
      </c>
      <c r="W30" t="s">
        <v>76</v>
      </c>
      <c r="X30" t="s">
        <v>1281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41:00</v>
      </c>
      <c r="Z30" t="str">
        <f>min_hour( hour_min($Y$30)+360-2280 + hour_min($P$30))</f>
        <v>09:00</v>
      </c>
      <c r="AA30" t="s">
        <v>77</v>
      </c>
      <c r="AB30" t="s">
        <v>73</v>
      </c>
      <c r="AC30" t="s">
        <v>74</v>
      </c>
      <c r="AD30" t="s">
        <v>74</v>
      </c>
      <c r="AE30" t="s">
        <v>75</v>
      </c>
      <c r="AF30" t="s">
        <v>75</v>
      </c>
      <c r="AG30" t="s">
        <v>74</v>
      </c>
      <c r="AH30" t="s">
        <v>1282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35:00</v>
      </c>
      <c r="AJ30" t="str">
        <f>min_hour( hour_min($AI$30)+0-2280 + hour_min($Z$30))</f>
        <v>06:00</v>
      </c>
      <c r="AK30" t="s">
        <v>73</v>
      </c>
      <c r="AL30" t="s">
        <v>74</v>
      </c>
      <c r="AM30" t="s">
        <v>75</v>
      </c>
      <c r="AN30" t="s">
        <v>74</v>
      </c>
      <c r="AO30" t="s">
        <v>74</v>
      </c>
      <c r="AP30" t="s">
        <v>75</v>
      </c>
      <c r="AQ30" t="s">
        <v>73</v>
      </c>
      <c r="AR30" t="s">
        <v>1283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35:00</v>
      </c>
      <c r="AT30" t="str">
        <f>min_hour( hour_min($AS$30)+0-2280 + hour_min($AJ$30))</f>
        <v>03:00</v>
      </c>
      <c r="AU30" t="s">
        <v>75</v>
      </c>
      <c r="AV30" t="s">
        <v>75</v>
      </c>
      <c r="AW30" t="s">
        <v>75</v>
      </c>
      <c r="AX30" t="s">
        <v>76</v>
      </c>
      <c r="AY30" t="s">
        <v>77</v>
      </c>
      <c r="AZ30" t="s">
        <v>73</v>
      </c>
      <c r="BA30" t="s">
        <v>74</v>
      </c>
      <c r="BB30" t="s">
        <v>1284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38:00</v>
      </c>
      <c r="BD30" t="str">
        <f>min_hour( hour_min($BC$30)+0-2280 + hour_min($AT$30))</f>
        <v>03:00</v>
      </c>
      <c r="BE30" t="s">
        <v>75</v>
      </c>
      <c r="BF30" t="s">
        <v>74</v>
      </c>
      <c r="BG30" t="s">
        <v>74</v>
      </c>
      <c r="BH30" t="s">
        <v>75</v>
      </c>
      <c r="BI30" t="s">
        <v>73</v>
      </c>
      <c r="BJ30" t="s">
        <v>74</v>
      </c>
      <c r="BK30" t="s">
        <v>74</v>
      </c>
      <c r="BL30" t="s">
        <v>1285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hour_min($BM$30)+0-2280 + hour_min($BD$30))</f>
        <v>07:00</v>
      </c>
      <c r="BO30" t="s">
        <v>75</v>
      </c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1286</v>
      </c>
      <c r="BW30" t="str">
        <f>min_hour(+IF($BO$30="M","420","0")+IF($BO$30="P","420","0")+IF($BO$30="F","420","0")+IF($BO$30="N","600","0")+IF($BO$30="M1","380","0")+IF($BO$30="P1","380","0")+IF($BO$30="L104","0","0")+IF($BO$30="MAL","0","0")+IF($BO$30="RC","0","0")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)</f>
        <v>38:00</v>
      </c>
      <c r="BX30" t="str">
        <f>min_hour( hour_min($BW$30)+0-2280 + hour_min($BN$30))</f>
        <v>07:00</v>
      </c>
      <c r="BY30" t="s">
        <v>75</v>
      </c>
      <c r="BZ30" t="s">
        <v>75</v>
      </c>
      <c r="CA30" t="s">
        <v>73</v>
      </c>
      <c r="CB30" t="s">
        <v>75</v>
      </c>
      <c r="CC30" t="s">
        <v>75</v>
      </c>
      <c r="CD30" t="s">
        <v>76</v>
      </c>
      <c r="CE30" t="s">
        <v>77</v>
      </c>
      <c r="CF30" t="s">
        <v>1287</v>
      </c>
      <c r="CG30" t="str">
        <f>min_hour(+IF($BY$30="M","420","0")+IF($BY$30="P","420","0")+IF($BY$30="F","420","0")+IF($BY$30="N","600","0")+IF($BY$30="M1","380","0")+IF($BY$30="P1","380","0")+IF($BY$30="L104","0","0")+IF($BY$30="MAL","0","0")+IF($BY$30="RC","0","0")+IF($BZ$30="M","420","0")+IF($BZ$30="P","420","0")+IF($BZ$30="F","420","0")+IF($BZ$30="N","600","0")+IF($BZ$30="M1","380","0")+IF($BZ$30="P1","380","0")+IF($BZ$30="L104","0","0")+IF($BZ$30="MAL","0","0")+IF($BZ$30="RC","0","0")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)</f>
        <v>38:00</v>
      </c>
      <c r="CH30" t="str">
        <f>min_hour( hour_min($CG$30)+0-2280 + hour_min($BX$30))</f>
        <v>07:00</v>
      </c>
      <c r="CI30" t="s">
        <v>73</v>
      </c>
      <c r="CJ30" t="s">
        <v>74</v>
      </c>
      <c r="CK30" t="s">
        <v>75</v>
      </c>
      <c r="CL30" t="s">
        <v>75</v>
      </c>
      <c r="CM30" t="s">
        <v>76</v>
      </c>
      <c r="CN30" t="s">
        <v>77</v>
      </c>
      <c r="CO30" t="s">
        <v>73</v>
      </c>
      <c r="CP30" t="s">
        <v>1288</v>
      </c>
      <c r="CQ30" t="str">
        <f>min_hour(+IF($CI$30="M","420","0")+IF($CI$30="P","420","0")+IF($CI$30="F","420","0")+IF($CI$30="N","600","0")+IF($CI$30="M1","380","0")+IF($CI$30="P1","380","0")+IF($CI$30="L104","0","0")+IF($CI$30="MAL","0","0")+IF($CI$30="RC","0","0")+IF($CJ$30="M","420","0")+IF($CJ$30="P","420","0")+IF($CJ$30="F","420","0")+IF($CJ$30="N","600","0")+IF($CJ$30="M1","380","0")+IF($CJ$30="P1","380","0")+IF($CJ$30="L104","0","0")+IF($CJ$30="MAL","0","0")+IF($CJ$30="RC","0","0")+IF($CK$30="M","420","0")+IF($CK$30="P","420","0")+IF($CK$30="F","420","0")+IF($CK$30="N","600","0")+IF($CK$30="M1","380","0")+IF($CK$30="P1","380","0")+IF($CK$30="L104","0","0")+IF($CK$30="MAL","0","0")+IF($CK$30="RC","0","0")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)</f>
        <v>31:00</v>
      </c>
      <c r="CR30" t="str">
        <f>min_hour( hour_min($CQ$30)+0-2280 + hour_min($CH$30))</f>
        <v>00:00</v>
      </c>
    </row>
    <row r="31" spans="1:9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hour_min($Y$31)+60-2280 + hour_min($P$31))</f>
        <v>04:00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hour_min($AI$31)+0-2280 + hour_min($Z$31))</f>
        <v>01:00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hour_min($AS$31)+0-2280 + hour_min($AJ$31))</f>
        <v>-02:00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hour_min($BC$31)+0-2280 + hour_min($AT$31))</f>
        <v>-02:00</v>
      </c>
      <c r="BE31" t="s">
        <v>75</v>
      </c>
      <c r="BF31" t="s">
        <v>74</v>
      </c>
      <c r="BG31" t="s">
        <v>74</v>
      </c>
      <c r="BH31" t="s">
        <v>75</v>
      </c>
      <c r="BI31" t="s">
        <v>73</v>
      </c>
      <c r="BJ31" t="s">
        <v>74</v>
      </c>
      <c r="BK31" t="s">
        <v>74</v>
      </c>
      <c r="BL31" t="s">
        <v>1285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hour_min($BM$31)+0-2280 + hour_min($BD$31))</f>
        <v>02:00</v>
      </c>
      <c r="BO31" t="s">
        <v>75</v>
      </c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1286</v>
      </c>
      <c r="BW31" t="str">
        <f>min_hour(+IF($BO$31="M","420","0")+IF($BO$31="P","420","0")+IF($BO$31="F","420","0")+IF($BO$31="N","600","0")+IF($BO$31="M1","380","0")+IF($BO$31="P1","380","0")+IF($BO$31="L104","0","0")+IF($BO$31="MAL","0","0")+IF($BO$31="RC","0","0")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)</f>
        <v>38:00</v>
      </c>
      <c r="BX31" t="str">
        <f>min_hour( hour_min($BW$31)+0-2280 + hour_min($BN$31))</f>
        <v>02:00</v>
      </c>
      <c r="BY31" t="s">
        <v>75</v>
      </c>
      <c r="BZ31" t="s">
        <v>75</v>
      </c>
      <c r="CA31" t="s">
        <v>73</v>
      </c>
      <c r="CB31" t="s">
        <v>75</v>
      </c>
      <c r="CC31" t="s">
        <v>75</v>
      </c>
      <c r="CD31" t="s">
        <v>76</v>
      </c>
      <c r="CE31" t="s">
        <v>77</v>
      </c>
      <c r="CF31" t="s">
        <v>1287</v>
      </c>
      <c r="CG31" t="str">
        <f>min_hour(+IF($BY$31="M","420","0")+IF($BY$31="P","420","0")+IF($BY$31="F","420","0")+IF($BY$31="N","600","0")+IF($BY$31="M1","380","0")+IF($BY$31="P1","380","0")+IF($BY$31="L104","0","0")+IF($BY$31="MAL","0","0")+IF($BY$31="RC","0","0")+IF($BZ$31="M","420","0")+IF($BZ$31="P","420","0")+IF($BZ$31="F","420","0")+IF($BZ$31="N","600","0")+IF($BZ$31="M1","380","0")+IF($BZ$31="P1","380","0")+IF($BZ$31="L104","0","0")+IF($BZ$31="MAL","0","0")+IF($BZ$31="RC","0","0")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)</f>
        <v>38:00</v>
      </c>
      <c r="CH31" t="str">
        <f>min_hour( hour_min($CG$31)+0-2280 + hour_min($BX$31))</f>
        <v>02:00</v>
      </c>
      <c r="CI31" t="s">
        <v>73</v>
      </c>
      <c r="CJ31" t="s">
        <v>74</v>
      </c>
      <c r="CK31" t="s">
        <v>75</v>
      </c>
      <c r="CL31" t="s">
        <v>75</v>
      </c>
      <c r="CM31" t="s">
        <v>76</v>
      </c>
      <c r="CN31" t="s">
        <v>77</v>
      </c>
      <c r="CO31" t="s">
        <v>73</v>
      </c>
      <c r="CP31" t="s">
        <v>1288</v>
      </c>
      <c r="CQ31" t="str">
        <f>min_hour(+IF($CI$31="M","420","0")+IF($CI$31="P","420","0")+IF($CI$31="F","420","0")+IF($CI$31="N","600","0")+IF($CI$31="M1","380","0")+IF($CI$31="P1","380","0")+IF($CI$31="L104","0","0")+IF($CI$31="MAL","0","0")+IF($CI$31="RC","0","0")+IF($CJ$31="M","420","0")+IF($CJ$31="P","420","0")+IF($CJ$31="F","420","0")+IF($CJ$31="N","600","0")+IF($CJ$31="M1","380","0")+IF($CJ$31="P1","380","0")+IF($CJ$31="L104","0","0")+IF($CJ$31="MAL","0","0")+IF($CJ$31="RC","0","0")+IF($CK$31="M","420","0")+IF($CK$31="P","420","0")+IF($CK$31="F","420","0")+IF($CK$31="N","600","0")+IF($CK$31="M1","380","0")+IF($CK$31="P1","380","0")+IF($CK$31="L104","0","0")+IF($CK$31="MAL","0","0")+IF($CK$31="RC","0","0")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)</f>
        <v>31:00</v>
      </c>
      <c r="CR31" t="str">
        <f>min_hour( hour_min($CQ$31)+0-2280 + hour_min($CH$31))</f>
        <v>-05:00</v>
      </c>
    </row>
    <row r="32" spans="1:9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Q32" t="s">
        <v>74</v>
      </c>
      <c r="R32" t="s">
        <v>75</v>
      </c>
      <c r="S32" t="s">
        <v>74</v>
      </c>
      <c r="T32" t="s">
        <v>73</v>
      </c>
      <c r="U32" t="s">
        <v>74</v>
      </c>
      <c r="V32" t="s">
        <v>74</v>
      </c>
      <c r="W32" t="s">
        <v>75</v>
      </c>
      <c r="X32" t="s">
        <v>1280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42:00</v>
      </c>
      <c r="Z32" t="str">
        <f>min_hour( hour_min($Y$32)+-840-2280 + hour_min($P$32))</f>
        <v>-10:00</v>
      </c>
      <c r="AA32" t="s">
        <v>76</v>
      </c>
      <c r="AB32" t="s">
        <v>77</v>
      </c>
      <c r="AC32" t="s">
        <v>73</v>
      </c>
      <c r="AD32" t="s">
        <v>74</v>
      </c>
      <c r="AE32" t="s">
        <v>75</v>
      </c>
      <c r="AF32" t="s">
        <v>75</v>
      </c>
      <c r="AG32" t="s">
        <v>76</v>
      </c>
      <c r="AH32" t="s">
        <v>1281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41:00</v>
      </c>
      <c r="AJ32" t="str">
        <f>min_hour( hour_min($AI$32)+0-2280 + hour_min($Z$32))</f>
        <v>-07:00</v>
      </c>
      <c r="AK32" t="s">
        <v>77</v>
      </c>
      <c r="AL32" t="s">
        <v>73</v>
      </c>
      <c r="AM32" t="s">
        <v>74</v>
      </c>
      <c r="AN32" t="s">
        <v>74</v>
      </c>
      <c r="AO32" t="s">
        <v>75</v>
      </c>
      <c r="AP32" t="s">
        <v>75</v>
      </c>
      <c r="AQ32" t="s">
        <v>74</v>
      </c>
      <c r="AR32" t="s">
        <v>1282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hour_min($AS$32)+0-2280 + hour_min($AJ$32))</f>
        <v>-10:00</v>
      </c>
      <c r="AU32" t="s">
        <v>73</v>
      </c>
      <c r="AV32" t="s">
        <v>74</v>
      </c>
      <c r="AW32" t="s">
        <v>75</v>
      </c>
      <c r="AX32" t="s">
        <v>74</v>
      </c>
      <c r="AY32" t="s">
        <v>74</v>
      </c>
      <c r="AZ32" t="s">
        <v>75</v>
      </c>
      <c r="BA32" t="s">
        <v>73</v>
      </c>
      <c r="BB32" t="s">
        <v>1283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35:00</v>
      </c>
      <c r="BD32" t="str">
        <f>min_hour( hour_min($BC$32)+0-2280 + hour_min($AT$32))</f>
        <v>-13:00</v>
      </c>
      <c r="BE32" t="s">
        <v>75</v>
      </c>
      <c r="BF32" t="s">
        <v>75</v>
      </c>
      <c r="BG32" t="s">
        <v>75</v>
      </c>
      <c r="BH32" t="s">
        <v>76</v>
      </c>
      <c r="BI32" t="s">
        <v>77</v>
      </c>
      <c r="BJ32" t="s">
        <v>73</v>
      </c>
      <c r="BK32" t="s">
        <v>74</v>
      </c>
      <c r="BL32" t="s">
        <v>1284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hour_min($BM$32)+0-2280 + hour_min($BD$32))</f>
        <v>-13:00</v>
      </c>
      <c r="BO32" t="s">
        <v>75</v>
      </c>
      <c r="BP32" t="s">
        <v>74</v>
      </c>
      <c r="BQ32" t="s">
        <v>74</v>
      </c>
      <c r="BR32" t="s">
        <v>75</v>
      </c>
      <c r="BS32" t="s">
        <v>73</v>
      </c>
      <c r="BT32" t="s">
        <v>74</v>
      </c>
      <c r="BU32" t="s">
        <v>74</v>
      </c>
      <c r="BV32" t="s">
        <v>1285</v>
      </c>
      <c r="BW32" t="str">
        <f>min_hour(+IF($BO$32="M","420","0")+IF($BO$32="P","420","0")+IF($BO$32="F","420","0")+IF($BO$32="N","600","0")+IF($BO$32="M1","380","0")+IF($BO$32="P1","380","0")+IF($BO$32="L104","0","0")+IF($BO$32="MAL","0","0")+IF($BO$32="RC","0","0")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)</f>
        <v>42:00</v>
      </c>
      <c r="BX32" t="str">
        <f>min_hour( hour_min($BW$32)+0-2280 + hour_min($BN$32))</f>
        <v>-09:00</v>
      </c>
      <c r="BY32" t="s">
        <v>75</v>
      </c>
      <c r="BZ32" t="s">
        <v>76</v>
      </c>
      <c r="CA32" t="s">
        <v>77</v>
      </c>
      <c r="CB32" t="s">
        <v>73</v>
      </c>
      <c r="CC32" t="s">
        <v>74</v>
      </c>
      <c r="CD32" t="s">
        <v>75</v>
      </c>
      <c r="CE32" t="s">
        <v>75</v>
      </c>
      <c r="CF32" t="s">
        <v>1286</v>
      </c>
      <c r="CG32" t="str">
        <f>min_hour(+IF($BY$32="M","420","0")+IF($BY$32="P","420","0")+IF($BY$32="F","420","0")+IF($BY$32="N","600","0")+IF($BY$32="M1","380","0")+IF($BY$32="P1","380","0")+IF($BY$32="L104","0","0")+IF($BY$32="MAL","0","0")+IF($BY$32="RC","0","0")+IF($BZ$32="M","420","0")+IF($BZ$32="P","420","0")+IF($BZ$32="F","420","0")+IF($BZ$32="N","600","0")+IF($BZ$32="M1","380","0")+IF($BZ$32="P1","380","0")+IF($BZ$32="L104","0","0")+IF($BZ$32="MAL","0","0")+IF($BZ$32="RC","0","0")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)</f>
        <v>38:00</v>
      </c>
      <c r="CH32" t="str">
        <f>min_hour( hour_min($CG$32)+0-2280 + hour_min($BX$32))</f>
        <v>-09:00</v>
      </c>
      <c r="CI32" t="s">
        <v>75</v>
      </c>
      <c r="CJ32" t="s">
        <v>75</v>
      </c>
      <c r="CK32" t="s">
        <v>73</v>
      </c>
      <c r="CL32" t="s">
        <v>75</v>
      </c>
      <c r="CM32" t="s">
        <v>75</v>
      </c>
      <c r="CN32" t="s">
        <v>76</v>
      </c>
      <c r="CO32" t="s">
        <v>77</v>
      </c>
      <c r="CP32" t="s">
        <v>1287</v>
      </c>
      <c r="CQ32" t="str">
        <f>min_hour(+IF($CI$32="M","420","0")+IF($CI$32="P","420","0")+IF($CI$32="F","420","0")+IF($CI$32="N","600","0")+IF($CI$32="M1","380","0")+IF($CI$32="P1","380","0")+IF($CI$32="L104","0","0")+IF($CI$32="MAL","0","0")+IF($CI$32="RC","0","0")+IF($CJ$32="M","420","0")+IF($CJ$32="P","420","0")+IF($CJ$32="F","420","0")+IF($CJ$32="N","600","0")+IF($CJ$32="M1","380","0")+IF($CJ$32="P1","380","0")+IF($CJ$32="L104","0","0")+IF($CJ$32="MAL","0","0")+IF($CJ$32="RC","0","0")+IF($CK$32="M","420","0")+IF($CK$32="P","420","0")+IF($CK$32="F","420","0")+IF($CK$32="N","600","0")+IF($CK$32="M1","380","0")+IF($CK$32="P1","380","0")+IF($CK$32="L104","0","0")+IF($CK$32="MAL","0","0")+IF($CK$32="RC","0","0")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)</f>
        <v>38:00</v>
      </c>
      <c r="CR32" t="str">
        <f>min_hour( hour_min($CQ$32)+0-2280 + hour_min($CH$32))</f>
        <v>-09:00</v>
      </c>
    </row>
    <row r="33" spans="1:9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75</v>
      </c>
      <c r="V33" t="s">
        <v>76</v>
      </c>
      <c r="W33" t="s">
        <v>77</v>
      </c>
      <c r="X33" t="s">
        <v>1287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38:00</v>
      </c>
      <c r="Z33" t="str">
        <f>min_hour( hour_min($Y$33)+-300-2280 + hour_min($P$33))</f>
        <v>-05:00</v>
      </c>
      <c r="AA33" t="s">
        <v>73</v>
      </c>
      <c r="AB33" t="s">
        <v>74</v>
      </c>
      <c r="AC33" t="s">
        <v>75</v>
      </c>
      <c r="AD33" t="s">
        <v>75</v>
      </c>
      <c r="AE33" t="s">
        <v>76</v>
      </c>
      <c r="AF33" t="s">
        <v>77</v>
      </c>
      <c r="AG33" t="s">
        <v>73</v>
      </c>
      <c r="AH33" t="s">
        <v>1288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31:00</v>
      </c>
      <c r="AJ33" t="str">
        <f>min_hour( hour_min($AI$33)+0-2280 + hour_min($Z$33))</f>
        <v>-12:00</v>
      </c>
      <c r="AK33" t="s">
        <v>74</v>
      </c>
      <c r="AL33" t="s">
        <v>75</v>
      </c>
      <c r="AM33" t="s">
        <v>75</v>
      </c>
      <c r="AN33" t="s">
        <v>75</v>
      </c>
      <c r="AO33" t="s">
        <v>75</v>
      </c>
      <c r="AP33" t="s">
        <v>73</v>
      </c>
      <c r="AQ33" t="s">
        <v>75</v>
      </c>
      <c r="AR33" t="s">
        <v>1278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42:00</v>
      </c>
      <c r="AT33" t="str">
        <f>min_hour( hour_min($AS$33)+0-2280 + hour_min($AJ$33))</f>
        <v>-08:00</v>
      </c>
      <c r="AU33" t="s">
        <v>74</v>
      </c>
      <c r="AV33" t="s">
        <v>75</v>
      </c>
      <c r="AW33" t="s">
        <v>76</v>
      </c>
      <c r="AX33" t="s">
        <v>77</v>
      </c>
      <c r="AY33" t="s">
        <v>73</v>
      </c>
      <c r="AZ33" t="s">
        <v>74</v>
      </c>
      <c r="BA33" t="s">
        <v>75</v>
      </c>
      <c r="BB33" t="s">
        <v>1279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38:00</v>
      </c>
      <c r="BD33" t="str">
        <f>min_hour( hour_min($BC$33)+0-2280 + hour_min($AT$33))</f>
        <v>-08:00</v>
      </c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74</v>
      </c>
      <c r="BK33" t="s">
        <v>75</v>
      </c>
      <c r="BL33" t="s">
        <v>1280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hour_min($BM$33)+0-2280 + hour_min($BD$33))</f>
        <v>-04:00</v>
      </c>
      <c r="BO33" t="s">
        <v>76</v>
      </c>
      <c r="BP33" t="s">
        <v>77</v>
      </c>
      <c r="BQ33" t="s">
        <v>73</v>
      </c>
      <c r="BR33" t="s">
        <v>74</v>
      </c>
      <c r="BS33" t="s">
        <v>75</v>
      </c>
      <c r="BT33" t="s">
        <v>75</v>
      </c>
      <c r="BU33" t="s">
        <v>76</v>
      </c>
      <c r="BV33" t="s">
        <v>1281</v>
      </c>
      <c r="BW33" t="str">
        <f>min_hour(+IF($BO$33="M","420","0")+IF($BO$33="P","420","0")+IF($BO$33="F","420","0")+IF($BO$33="N","600","0")+IF($BO$33="M1","380","0")+IF($BO$33="P1","380","0")+IF($BO$33="L104","0","0")+IF($BO$33="MAL","0","0")+IF($BO$33="RC","0","0")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)</f>
        <v>41:00</v>
      </c>
      <c r="BX33" t="str">
        <f>min_hour( hour_min($BW$33)+0-2280 + hour_min($BN$33))</f>
        <v>-01:00</v>
      </c>
      <c r="BY33" t="s">
        <v>77</v>
      </c>
      <c r="BZ33" t="s">
        <v>73</v>
      </c>
      <c r="CA33" t="s">
        <v>74</v>
      </c>
      <c r="CB33" t="s">
        <v>74</v>
      </c>
      <c r="CC33" t="s">
        <v>75</v>
      </c>
      <c r="CD33" t="s">
        <v>75</v>
      </c>
      <c r="CE33" t="s">
        <v>74</v>
      </c>
      <c r="CF33" t="s">
        <v>1282</v>
      </c>
      <c r="CG33" t="str">
        <f>min_hour(+IF($BY$33="M","420","0")+IF($BY$33="P","420","0")+IF($BY$33="F","420","0")+IF($BY$33="N","600","0")+IF($BY$33="M1","380","0")+IF($BY$33="P1","380","0")+IF($BY$33="L104","0","0")+IF($BY$33="MAL","0","0")+IF($BY$33="RC","0","0")+IF($BZ$33="M","420","0")+IF($BZ$33="P","420","0")+IF($BZ$33="F","420","0")+IF($BZ$33="N","600","0")+IF($BZ$33="M1","380","0")+IF($BZ$33="P1","380","0")+IF($BZ$33="L104","0","0")+IF($BZ$33="MAL","0","0")+IF($BZ$33="RC","0","0")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)</f>
        <v>35:00</v>
      </c>
      <c r="CH33" t="str">
        <f>min_hour( hour_min($CG$33)+0-2280 + hour_min($BX$33))</f>
        <v>-04:00</v>
      </c>
      <c r="CI33" t="s">
        <v>73</v>
      </c>
      <c r="CJ33" t="s">
        <v>74</v>
      </c>
      <c r="CK33" t="s">
        <v>75</v>
      </c>
      <c r="CL33" t="s">
        <v>74</v>
      </c>
      <c r="CM33" t="s">
        <v>74</v>
      </c>
      <c r="CN33" t="s">
        <v>75</v>
      </c>
      <c r="CO33" t="s">
        <v>73</v>
      </c>
      <c r="CP33" t="s">
        <v>1283</v>
      </c>
      <c r="CQ33" t="str">
        <f>min_hour(+IF($CI$33="M","420","0")+IF($CI$33="P","420","0")+IF($CI$33="F","420","0")+IF($CI$33="N","600","0")+IF($CI$33="M1","380","0")+IF($CI$33="P1","380","0")+IF($CI$33="L104","0","0")+IF($CI$33="MAL","0","0")+IF($CI$33="RC","0","0")+IF($CJ$33="M","420","0")+IF($CJ$33="P","420","0")+IF($CJ$33="F","420","0")+IF($CJ$33="N","600","0")+IF($CJ$33="M1","380","0")+IF($CJ$33="P1","380","0")+IF($CJ$33="L104","0","0")+IF($CJ$33="MAL","0","0")+IF($CJ$33="RC","0","0")+IF($CK$33="M","420","0")+IF($CK$33="P","420","0")+IF($CK$33="F","420","0")+IF($CK$33="N","600","0")+IF($CK$33="M1","380","0")+IF($CK$33="P1","380","0")+IF($CK$33="L104","0","0")+IF($CK$33="MAL","0","0")+IF($CK$33="RC","0","0")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)</f>
        <v>35:00</v>
      </c>
      <c r="CR33" t="str">
        <f>min_hour( hour_min($CQ$33)+0-2280 + hour_min($CH$33))</f>
        <v>-07:00</v>
      </c>
    </row>
    <row r="34" spans="1:9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Q34" t="s">
        <v>74</v>
      </c>
      <c r="R34" t="s">
        <v>75</v>
      </c>
      <c r="S34" t="s">
        <v>74</v>
      </c>
      <c r="T34" t="s">
        <v>73</v>
      </c>
      <c r="U34" t="s">
        <v>74</v>
      </c>
      <c r="V34" t="s">
        <v>75</v>
      </c>
      <c r="W34" t="s">
        <v>74</v>
      </c>
      <c r="X34" t="s">
        <v>1326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42:00</v>
      </c>
      <c r="Z34" t="str">
        <f>min_hour( hour_min($Y$34)+420-2280 + hour_min($P$34))</f>
        <v>11:00</v>
      </c>
      <c r="AA34" t="s">
        <v>74</v>
      </c>
      <c r="AB34" t="s">
        <v>74</v>
      </c>
      <c r="AC34" t="s">
        <v>73</v>
      </c>
      <c r="AD34" t="s">
        <v>75</v>
      </c>
      <c r="AE34" t="s">
        <v>75</v>
      </c>
      <c r="AF34" t="s">
        <v>74</v>
      </c>
      <c r="AG34" t="s">
        <v>75</v>
      </c>
      <c r="AH34" t="s">
        <v>1327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42:00</v>
      </c>
      <c r="AJ34" t="str">
        <f>min_hour( hour_min($AI$34)+0-2280 + hour_min($Z$34))</f>
        <v>15:00</v>
      </c>
      <c r="AK34" t="s">
        <v>75</v>
      </c>
      <c r="AL34" t="s">
        <v>73</v>
      </c>
      <c r="AM34" t="s">
        <v>74</v>
      </c>
      <c r="AN34" t="s">
        <v>75</v>
      </c>
      <c r="AO34" t="s">
        <v>74</v>
      </c>
      <c r="AP34" t="s">
        <v>75</v>
      </c>
      <c r="AQ34" t="s">
        <v>75</v>
      </c>
      <c r="AR34" t="s">
        <v>1322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hour_min($AS$34)+0-2280 + hour_min($AJ$34))</f>
        <v>19:00</v>
      </c>
      <c r="AU34" t="s">
        <v>73</v>
      </c>
      <c r="AV34" t="s">
        <v>75</v>
      </c>
      <c r="AW34" t="s">
        <v>75</v>
      </c>
      <c r="AX34" t="s">
        <v>74</v>
      </c>
      <c r="AY34" t="s">
        <v>75</v>
      </c>
      <c r="AZ34" t="s">
        <v>75</v>
      </c>
      <c r="BA34" t="s">
        <v>73</v>
      </c>
      <c r="BB34" t="s">
        <v>1323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35:00</v>
      </c>
      <c r="BD34" t="str">
        <f>min_hour( hour_min($BC$34)+0-2280 + hour_min($AT$34))</f>
        <v>16:00</v>
      </c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1324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hour_min($BM$34)+0-2280 + hour_min($BD$34))</f>
        <v>20:00</v>
      </c>
      <c r="BO34" t="s">
        <v>75</v>
      </c>
      <c r="BP34" t="s">
        <v>74</v>
      </c>
      <c r="BQ34" t="s">
        <v>75</v>
      </c>
      <c r="BR34" t="s">
        <v>75</v>
      </c>
      <c r="BS34" t="s">
        <v>73</v>
      </c>
      <c r="BT34" t="s">
        <v>74</v>
      </c>
      <c r="BU34" t="s">
        <v>74</v>
      </c>
      <c r="BV34" t="s">
        <v>1325</v>
      </c>
      <c r="BW34" t="str">
        <f>min_hour(+IF($BO$34="M","420","0")+IF($BO$34="P","420","0")+IF($BO$34="F","420","0")+IF($BO$34="N","600","0")+IF($BO$34="M1","380","0")+IF($BO$34="P1","380","0")+IF($BO$34="L104","0","0")+IF($BO$34="MAL","0","0")+IF($BO$34="RC","0","0")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)</f>
        <v>42:00</v>
      </c>
      <c r="BX34" t="str">
        <f>min_hour( hour_min($BW$34)+0-2280 + hour_min($BN$34))</f>
        <v>24:00</v>
      </c>
      <c r="BY34" t="s">
        <v>74</v>
      </c>
      <c r="BZ34" t="s">
        <v>75</v>
      </c>
      <c r="CA34" t="s">
        <v>74</v>
      </c>
      <c r="CB34" t="s">
        <v>73</v>
      </c>
      <c r="CC34" t="s">
        <v>74</v>
      </c>
      <c r="CD34" t="s">
        <v>75</v>
      </c>
      <c r="CE34" t="s">
        <v>74</v>
      </c>
      <c r="CF34" t="s">
        <v>1326</v>
      </c>
      <c r="CG34" t="str">
        <f>min_hour(+IF($BY$34="M","420","0")+IF($BY$34="P","420","0")+IF($BY$34="F","420","0")+IF($BY$34="N","600","0")+IF($BY$34="M1","380","0")+IF($BY$34="P1","380","0")+IF($BY$34="L104","0","0")+IF($BY$34="MAL","0","0")+IF($BY$34="RC","0","0")+IF($BZ$34="M","420","0")+IF($BZ$34="P","420","0")+IF($BZ$34="F","420","0")+IF($BZ$34="N","600","0")+IF($BZ$34="M1","380","0")+IF($BZ$34="P1","380","0")+IF($BZ$34="L104","0","0")+IF($BZ$34="MAL","0","0")+IF($BZ$34="RC","0","0")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)</f>
        <v>42:00</v>
      </c>
      <c r="CH34" t="str">
        <f>min_hour( hour_min($CG$34)+0-2280 + hour_min($BX$34))</f>
        <v>28:00</v>
      </c>
      <c r="CI34" t="s">
        <v>74</v>
      </c>
      <c r="CJ34" t="s">
        <v>74</v>
      </c>
      <c r="CK34" t="s">
        <v>73</v>
      </c>
      <c r="CL34" t="s">
        <v>75</v>
      </c>
      <c r="CM34" t="s">
        <v>75</v>
      </c>
      <c r="CN34" t="s">
        <v>74</v>
      </c>
      <c r="CO34" t="s">
        <v>75</v>
      </c>
      <c r="CP34" t="s">
        <v>1327</v>
      </c>
      <c r="CQ34" t="str">
        <f>min_hour(+IF($CI$34="M","420","0")+IF($CI$34="P","420","0")+IF($CI$34="F","420","0")+IF($CI$34="N","600","0")+IF($CI$34="M1","380","0")+IF($CI$34="P1","380","0")+IF($CI$34="L104","0","0")+IF($CI$34="MAL","0","0")+IF($CI$34="RC","0","0")+IF($CJ$34="M","420","0")+IF($CJ$34="P","420","0")+IF($CJ$34="F","420","0")+IF($CJ$34="N","600","0")+IF($CJ$34="M1","380","0")+IF($CJ$34="P1","380","0")+IF($CJ$34="L104","0","0")+IF($CJ$34="MAL","0","0")+IF($CJ$34="RC","0","0")+IF($CK$34="M","420","0")+IF($CK$34="P","420","0")+IF($CK$34="F","420","0")+IF($CK$34="N","600","0")+IF($CK$34="M1","380","0")+IF($CK$34="P1","380","0")+IF($CK$34="L104","0","0")+IF($CK$34="MAL","0","0")+IF($CK$34="RC","0","0")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)</f>
        <v>42:00</v>
      </c>
      <c r="CR34" t="str">
        <f>min_hour( hour_min($CQ$34)+0-2280 + hour_min($CH$34))</f>
        <v>32:00</v>
      </c>
    </row>
    <row r="35" spans="1:9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Q35" t="s">
        <v>74</v>
      </c>
      <c r="R35" t="s">
        <v>73</v>
      </c>
      <c r="S35" t="s">
        <v>74</v>
      </c>
      <c r="T35" t="s">
        <v>75</v>
      </c>
      <c r="U35" t="s">
        <v>74</v>
      </c>
      <c r="V35" t="s">
        <v>75</v>
      </c>
      <c r="W35" t="s">
        <v>75</v>
      </c>
      <c r="X35" t="s">
        <v>1322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  <c r="AA35" t="s">
        <v>73</v>
      </c>
      <c r="AB35" t="s">
        <v>75</v>
      </c>
      <c r="AC35" t="s">
        <v>75</v>
      </c>
      <c r="AD35" t="s">
        <v>74</v>
      </c>
      <c r="AE35" t="s">
        <v>75</v>
      </c>
      <c r="AF35" t="s">
        <v>75</v>
      </c>
      <c r="AG35" t="s">
        <v>73</v>
      </c>
      <c r="AH35" t="s">
        <v>1323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35:00</v>
      </c>
      <c r="AJ35" t="str">
        <f>min_hour( hour_min($AI$35)+0-2280 + hour_min($Z$35))</f>
        <v>00:00</v>
      </c>
      <c r="AK35" t="s">
        <v>75</v>
      </c>
      <c r="AL35" t="s">
        <v>74</v>
      </c>
      <c r="AM35" t="s">
        <v>75</v>
      </c>
      <c r="AN35" t="s">
        <v>74</v>
      </c>
      <c r="AO35" t="s">
        <v>75</v>
      </c>
      <c r="AP35" t="s">
        <v>73</v>
      </c>
      <c r="AQ35" t="s">
        <v>75</v>
      </c>
      <c r="AR35" t="s">
        <v>1324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hour_min($AS$35)+0-2280 + hour_min($AJ$35))</f>
        <v>04:00</v>
      </c>
      <c r="AU35" t="s">
        <v>75</v>
      </c>
      <c r="AV35" t="s">
        <v>74</v>
      </c>
      <c r="AW35" t="s">
        <v>75</v>
      </c>
      <c r="AX35" t="s">
        <v>75</v>
      </c>
      <c r="AY35" t="s">
        <v>73</v>
      </c>
      <c r="AZ35" t="s">
        <v>74</v>
      </c>
      <c r="BA35" t="s">
        <v>74</v>
      </c>
      <c r="BB35" t="s">
        <v>1325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42:00</v>
      </c>
      <c r="BD35" t="str">
        <f>min_hour( hour_min($BC$35)+0-2280 + hour_min($AT$35))</f>
        <v>08:00</v>
      </c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1326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hour_min($BM$35)+0-2280 + hour_min($BD$35))</f>
        <v>12:00</v>
      </c>
      <c r="BO35" t="s">
        <v>74</v>
      </c>
      <c r="BP35" t="s">
        <v>74</v>
      </c>
      <c r="BQ35" t="s">
        <v>73</v>
      </c>
      <c r="BR35" t="s">
        <v>75</v>
      </c>
      <c r="BS35" t="s">
        <v>75</v>
      </c>
      <c r="BT35" t="s">
        <v>74</v>
      </c>
      <c r="BU35" t="s">
        <v>75</v>
      </c>
      <c r="BV35" t="s">
        <v>1327</v>
      </c>
      <c r="BW35" t="str">
        <f>min_hour(+IF($BO$35="M","420","0")+IF($BO$35="P","420","0")+IF($BO$35="F","420","0")+IF($BO$35="N","600","0")+IF($BO$35="M1","380","0")+IF($BO$35="P1","380","0")+IF($BO$35="L104","0","0")+IF($BO$35="MAL","0","0")+IF($BO$35="RC","0","0")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)</f>
        <v>42:00</v>
      </c>
      <c r="BX35" t="str">
        <f>min_hour( hour_min($BW$35)+0-2280 + hour_min($BN$35))</f>
        <v>16:00</v>
      </c>
      <c r="BY35" t="s">
        <v>75</v>
      </c>
      <c r="BZ35" t="s">
        <v>73</v>
      </c>
      <c r="CA35" t="s">
        <v>74</v>
      </c>
      <c r="CB35" t="s">
        <v>75</v>
      </c>
      <c r="CC35" t="s">
        <v>74</v>
      </c>
      <c r="CD35" t="s">
        <v>75</v>
      </c>
      <c r="CE35" t="s">
        <v>75</v>
      </c>
      <c r="CF35" t="s">
        <v>1322</v>
      </c>
      <c r="CG35" t="str">
        <f>min_hour(+IF($BY$35="M","420","0")+IF($BY$35="P","420","0")+IF($BY$35="F","420","0")+IF($BY$35="N","600","0")+IF($BY$35="M1","380","0")+IF($BY$35="P1","380","0")+IF($BY$35="L104","0","0")+IF($BY$35="MAL","0","0")+IF($BY$35="RC","0","0")+IF($BZ$35="M","420","0")+IF($BZ$35="P","420","0")+IF($BZ$35="F","420","0")+IF($BZ$35="N","600","0")+IF($BZ$35="M1","380","0")+IF($BZ$35="P1","380","0")+IF($BZ$35="L104","0","0")+IF($BZ$35="MAL","0","0")+IF($BZ$35="RC","0","0")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)</f>
        <v>42:00</v>
      </c>
      <c r="CH35" t="str">
        <f>min_hour( hour_min($CG$35)+0-2280 + hour_min($BX$35))</f>
        <v>20:00</v>
      </c>
      <c r="CI35" t="s">
        <v>73</v>
      </c>
      <c r="CJ35" t="s">
        <v>75</v>
      </c>
      <c r="CK35" t="s">
        <v>75</v>
      </c>
      <c r="CL35" t="s">
        <v>74</v>
      </c>
      <c r="CM35" t="s">
        <v>75</v>
      </c>
      <c r="CN35" t="s">
        <v>75</v>
      </c>
      <c r="CO35" t="s">
        <v>73</v>
      </c>
      <c r="CP35" t="s">
        <v>1323</v>
      </c>
      <c r="CQ35" t="str">
        <f>min_hour(+IF($CI$35="M","420","0")+IF($CI$35="P","420","0")+IF($CI$35="F","420","0")+IF($CI$35="N","600","0")+IF($CI$35="M1","380","0")+IF($CI$35="P1","380","0")+IF($CI$35="L104","0","0")+IF($CI$35="MAL","0","0")+IF($CI$35="RC","0","0")+IF($CJ$35="M","420","0")+IF($CJ$35="P","420","0")+IF($CJ$35="F","420","0")+IF($CJ$35="N","600","0")+IF($CJ$35="M1","380","0")+IF($CJ$35="P1","380","0")+IF($CJ$35="L104","0","0")+IF($CJ$35="MAL","0","0")+IF($CJ$35="RC","0","0")+IF($CK$35="M","420","0")+IF($CK$35="P","420","0")+IF($CK$35="F","420","0")+IF($CK$35="N","600","0")+IF($CK$35="M1","380","0")+IF($CK$35="P1","380","0")+IF($CK$35="L104","0","0")+IF($CK$35="MAL","0","0")+IF($CK$35="RC","0","0")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)</f>
        <v>35:00</v>
      </c>
      <c r="CR35" t="str">
        <f>min_hour( hour_min($CQ$35)+0-2280 + hour_min($CH$35))</f>
        <v>17:00</v>
      </c>
    </row>
    <row r="36" spans="1:9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">
        <v>74</v>
      </c>
      <c r="W36" t="s">
        <v>74</v>
      </c>
      <c r="X36" t="s">
        <v>1325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hour_min($Y$36)+-480-2280 + hour_min($P$36))</f>
        <v>-04:00</v>
      </c>
      <c r="AA36" t="s">
        <v>74</v>
      </c>
      <c r="AB36" t="s">
        <v>75</v>
      </c>
      <c r="AC36" t="s">
        <v>74</v>
      </c>
      <c r="AD36" t="s">
        <v>73</v>
      </c>
      <c r="AE36" t="s">
        <v>74</v>
      </c>
      <c r="AF36" t="s">
        <v>75</v>
      </c>
      <c r="AG36" t="s">
        <v>74</v>
      </c>
      <c r="AH36" t="s">
        <v>1326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42:00</v>
      </c>
      <c r="AJ36" t="str">
        <f>min_hour( hour_min($AI$36)+0-2280 + hour_min($Z$36))</f>
        <v>00:00</v>
      </c>
      <c r="AK36" t="s">
        <v>74</v>
      </c>
      <c r="AL36" t="s">
        <v>74</v>
      </c>
      <c r="AM36" t="s">
        <v>73</v>
      </c>
      <c r="AN36" t="s">
        <v>75</v>
      </c>
      <c r="AO36" t="s">
        <v>75</v>
      </c>
      <c r="AP36" t="s">
        <v>74</v>
      </c>
      <c r="AQ36" t="s">
        <v>75</v>
      </c>
      <c r="AR36" t="s">
        <v>1327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hour_min($AS$36)+0-2280 + hour_min($AJ$36))</f>
        <v>04:00</v>
      </c>
      <c r="AU36" t="s">
        <v>75</v>
      </c>
      <c r="AV36" t="s">
        <v>73</v>
      </c>
      <c r="AW36" t="s">
        <v>74</v>
      </c>
      <c r="AX36" t="s">
        <v>75</v>
      </c>
      <c r="AY36" t="s">
        <v>74</v>
      </c>
      <c r="AZ36" t="s">
        <v>75</v>
      </c>
      <c r="BA36" t="s">
        <v>75</v>
      </c>
      <c r="BB36" t="s">
        <v>1322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hour_min($BC$36)+0-2280 + hour_min($AT$36))</f>
        <v>08:00</v>
      </c>
      <c r="BE36" t="s">
        <v>73</v>
      </c>
      <c r="BF36" t="s">
        <v>75</v>
      </c>
      <c r="BG36" t="s">
        <v>75</v>
      </c>
      <c r="BH36" t="s">
        <v>74</v>
      </c>
      <c r="BI36" t="s">
        <v>75</v>
      </c>
      <c r="BJ36" t="s">
        <v>75</v>
      </c>
      <c r="BK36" t="s">
        <v>73</v>
      </c>
      <c r="BL36" t="s">
        <v>1323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hour_min($BM$36)+0-2280 + hour_min($BD$36))</f>
        <v>05:00</v>
      </c>
      <c r="BO36" t="s">
        <v>75</v>
      </c>
      <c r="BP36" t="s">
        <v>74</v>
      </c>
      <c r="BQ36" t="s">
        <v>75</v>
      </c>
      <c r="BR36" t="s">
        <v>74</v>
      </c>
      <c r="BS36" t="s">
        <v>75</v>
      </c>
      <c r="BT36" t="s">
        <v>73</v>
      </c>
      <c r="BU36" t="s">
        <v>75</v>
      </c>
      <c r="BV36" t="s">
        <v>1324</v>
      </c>
      <c r="BW36" t="str">
        <f>min_hour(+IF($BO$36="M","420","0")+IF($BO$36="P","420","0")+IF($BO$36="F","420","0")+IF($BO$36="N","600","0")+IF($BO$36="M1","380","0")+IF($BO$36="P1","380","0")+IF($BO$36="L104","0","0")+IF($BO$36="MAL","0","0")+IF($BO$36="RC","0","0")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)</f>
        <v>42:00</v>
      </c>
      <c r="BX36" t="str">
        <f>min_hour( hour_min($BW$36)+0-2280 + hour_min($BN$36))</f>
        <v>09:00</v>
      </c>
      <c r="BY36" t="s">
        <v>75</v>
      </c>
      <c r="BZ36" t="s">
        <v>74</v>
      </c>
      <c r="CA36" t="s">
        <v>75</v>
      </c>
      <c r="CB36" t="s">
        <v>75</v>
      </c>
      <c r="CC36" t="s">
        <v>73</v>
      </c>
      <c r="CD36" t="s">
        <v>74</v>
      </c>
      <c r="CE36" t="s">
        <v>74</v>
      </c>
      <c r="CF36" t="s">
        <v>1325</v>
      </c>
      <c r="CG36" t="str">
        <f>min_hour(+IF($BY$36="M","420","0")+IF($BY$36="P","420","0")+IF($BY$36="F","420","0")+IF($BY$36="N","600","0")+IF($BY$36="M1","380","0")+IF($BY$36="P1","380","0")+IF($BY$36="L104","0","0")+IF($BY$36="MAL","0","0")+IF($BY$36="RC","0","0")+IF($BZ$36="M","420","0")+IF($BZ$36="P","420","0")+IF($BZ$36="F","420","0")+IF($BZ$36="N","600","0")+IF($BZ$36="M1","380","0")+IF($BZ$36="P1","380","0")+IF($BZ$36="L104","0","0")+IF($BZ$36="MAL","0","0")+IF($BZ$36="RC","0","0")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)</f>
        <v>42:00</v>
      </c>
      <c r="CH36" t="str">
        <f>min_hour( hour_min($CG$36)+0-2280 + hour_min($BX$36))</f>
        <v>13:00</v>
      </c>
      <c r="CI36" t="s">
        <v>74</v>
      </c>
      <c r="CJ36" t="s">
        <v>75</v>
      </c>
      <c r="CK36" t="s">
        <v>74</v>
      </c>
      <c r="CL36" t="s">
        <v>73</v>
      </c>
      <c r="CM36" t="s">
        <v>74</v>
      </c>
      <c r="CN36" t="s">
        <v>75</v>
      </c>
      <c r="CO36" t="s">
        <v>74</v>
      </c>
      <c r="CP36" t="s">
        <v>1326</v>
      </c>
      <c r="CQ36" t="str">
        <f>min_hour(+IF($CI$36="M","420","0")+IF($CI$36="P","420","0")+IF($CI$36="F","420","0")+IF($CI$36="N","600","0")+IF($CI$36="M1","380","0")+IF($CI$36="P1","380","0")+IF($CI$36="L104","0","0")+IF($CI$36="MAL","0","0")+IF($CI$36="RC","0","0")+IF($CJ$36="M","420","0")+IF($CJ$36="P","420","0")+IF($CJ$36="F","420","0")+IF($CJ$36="N","600","0")+IF($CJ$36="M1","380","0")+IF($CJ$36="P1","380","0")+IF($CJ$36="L104","0","0")+IF($CJ$36="MAL","0","0")+IF($CJ$36="RC","0","0")+IF($CK$36="M","420","0")+IF($CK$36="P","420","0")+IF($CK$36="F","420","0")+IF($CK$36="N","600","0")+IF($CK$36="M1","380","0")+IF($CK$36="P1","380","0")+IF($CK$36="L104","0","0")+IF($CK$36="MAL","0","0")+IF($CK$36="RC","0","0")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)</f>
        <v>42:00</v>
      </c>
      <c r="CR36" t="str">
        <f>min_hour( hour_min($CQ$36)+0-2280 + hour_min($CH$36))</f>
        <v>17:00</v>
      </c>
    </row>
    <row r="37" spans="1:9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Q37" t="s">
        <v>73</v>
      </c>
      <c r="R37" t="s">
        <v>75</v>
      </c>
      <c r="S37" t="s">
        <v>75</v>
      </c>
      <c r="T37" t="s">
        <v>74</v>
      </c>
      <c r="U37" t="s">
        <v>75</v>
      </c>
      <c r="V37" t="s">
        <v>75</v>
      </c>
      <c r="W37" t="s">
        <v>73</v>
      </c>
      <c r="X37" t="s">
        <v>1323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35:00</v>
      </c>
      <c r="Z37" t="str">
        <f>min_hour( hour_min($Y$37)+-1320-2280 + hour_min($P$37))</f>
        <v>-25:00</v>
      </c>
      <c r="AA37" t="s">
        <v>75</v>
      </c>
      <c r="AB37" t="s">
        <v>74</v>
      </c>
      <c r="AC37" t="s">
        <v>75</v>
      </c>
      <c r="AD37" t="s">
        <v>74</v>
      </c>
      <c r="AE37" t="s">
        <v>75</v>
      </c>
      <c r="AF37" t="s">
        <v>73</v>
      </c>
      <c r="AG37" t="s">
        <v>75</v>
      </c>
      <c r="AH37" t="s">
        <v>1324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hour_min($AI$37)+0-2280 + hour_min($Z$37))</f>
        <v>-21:00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74</v>
      </c>
      <c r="AQ37" t="s">
        <v>74</v>
      </c>
      <c r="AR37" t="s">
        <v>1325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hour_min($AS$37)+0-2280 + hour_min($AJ$37))</f>
        <v>-17:00</v>
      </c>
      <c r="AU37" t="s">
        <v>74</v>
      </c>
      <c r="AV37" t="s">
        <v>75</v>
      </c>
      <c r="AW37" t="s">
        <v>74</v>
      </c>
      <c r="AX37" t="s">
        <v>73</v>
      </c>
      <c r="AY37" t="s">
        <v>74</v>
      </c>
      <c r="AZ37" t="s">
        <v>75</v>
      </c>
      <c r="BA37" t="s">
        <v>74</v>
      </c>
      <c r="BB37" t="s">
        <v>1326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hour_min($BC$37)+0-2280 + hour_min($AT$37))</f>
        <v>-13:00</v>
      </c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1327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42:00</v>
      </c>
      <c r="BN37" t="str">
        <f>min_hour( hour_min($BM$37)+0-2280 + hour_min($BD$37))</f>
        <v>-09:00</v>
      </c>
      <c r="BO37" t="s">
        <v>75</v>
      </c>
      <c r="BP37" t="s">
        <v>73</v>
      </c>
      <c r="BQ37" t="s">
        <v>74</v>
      </c>
      <c r="BR37" t="s">
        <v>75</v>
      </c>
      <c r="BS37" t="s">
        <v>74</v>
      </c>
      <c r="BT37" t="s">
        <v>75</v>
      </c>
      <c r="BU37" t="s">
        <v>75</v>
      </c>
      <c r="BV37" t="s">
        <v>1322</v>
      </c>
      <c r="BW37" t="str">
        <f>min_hour(+IF($BO$37="M","420","0")+IF($BO$37="P","420","0")+IF($BO$37="F","420","0")+IF($BO$37="N","600","0")+IF($BO$37="M1","380","0")+IF($BO$37="P1","380","0")+IF($BO$37="L104","0","0")+IF($BO$37="MAL","0","0")+IF($BO$37="RC","0","0")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)</f>
        <v>42:00</v>
      </c>
      <c r="BX37" t="str">
        <f>min_hour( hour_min($BW$37)+0-2280 + hour_min($BN$37))</f>
        <v>-05:00</v>
      </c>
      <c r="BY37" t="s">
        <v>73</v>
      </c>
      <c r="BZ37" t="s">
        <v>75</v>
      </c>
      <c r="CA37" t="s">
        <v>75</v>
      </c>
      <c r="CB37" t="s">
        <v>74</v>
      </c>
      <c r="CC37" t="s">
        <v>75</v>
      </c>
      <c r="CD37" t="s">
        <v>75</v>
      </c>
      <c r="CE37" t="s">
        <v>73</v>
      </c>
      <c r="CF37" t="s">
        <v>1323</v>
      </c>
      <c r="CG37" t="str">
        <f>min_hour(+IF($BY$37="M","420","0")+IF($BY$37="P","420","0")+IF($BY$37="F","420","0")+IF($BY$37="N","600","0")+IF($BY$37="M1","380","0")+IF($BY$37="P1","380","0")+IF($BY$37="L104","0","0")+IF($BY$37="MAL","0","0")+IF($BY$37="RC","0","0")+IF($BZ$37="M","420","0")+IF($BZ$37="P","420","0")+IF($BZ$37="F","420","0")+IF($BZ$37="N","600","0")+IF($BZ$37="M1","380","0")+IF($BZ$37="P1","380","0")+IF($BZ$37="L104","0","0")+IF($BZ$37="MAL","0","0")+IF($BZ$37="RC","0","0")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)</f>
        <v>35:00</v>
      </c>
      <c r="CH37" t="str">
        <f>min_hour( hour_min($CG$37)+0-2280 + hour_min($BX$37))</f>
        <v>-08:00</v>
      </c>
      <c r="CI37" t="s">
        <v>75</v>
      </c>
      <c r="CJ37" t="s">
        <v>74</v>
      </c>
      <c r="CK37" t="s">
        <v>75</v>
      </c>
      <c r="CL37" t="s">
        <v>74</v>
      </c>
      <c r="CM37" t="s">
        <v>75</v>
      </c>
      <c r="CN37" t="s">
        <v>73</v>
      </c>
      <c r="CO37" t="s">
        <v>75</v>
      </c>
      <c r="CP37" t="s">
        <v>1324</v>
      </c>
      <c r="CQ37" t="str">
        <f>min_hour(+IF($CI$37="M","420","0")+IF($CI$37="P","420","0")+IF($CI$37="F","420","0")+IF($CI$37="N","600","0")+IF($CI$37="M1","380","0")+IF($CI$37="P1","380","0")+IF($CI$37="L104","0","0")+IF($CI$37="MAL","0","0")+IF($CI$37="RC","0","0")+IF($CJ$37="M","420","0")+IF($CJ$37="P","420","0")+IF($CJ$37="F","420","0")+IF($CJ$37="N","600","0")+IF($CJ$37="M1","380","0")+IF($CJ$37="P1","380","0")+IF($CJ$37="L104","0","0")+IF($CJ$37="MAL","0","0")+IF($CJ$37="RC","0","0")+IF($CK$37="M","420","0")+IF($CK$37="P","420","0")+IF($CK$37="F","420","0")+IF($CK$37="N","600","0")+IF($CK$37="M1","380","0")+IF($CK$37="P1","380","0")+IF($CK$37="L104","0","0")+IF($CK$37="MAL","0","0")+IF($CK$37="RC","0","0")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)</f>
        <v>42:00</v>
      </c>
      <c r="CR37" t="str">
        <f>min_hour( hour_min($CQ$37)+0-2280 + hour_min($CH$37))</f>
        <v>-04:00</v>
      </c>
    </row>
    <row r="38" spans="1:9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Q38" t="s">
        <v>75</v>
      </c>
      <c r="R38" t="s">
        <v>74</v>
      </c>
      <c r="S38" t="s">
        <v>75</v>
      </c>
      <c r="T38" t="s">
        <v>74</v>
      </c>
      <c r="U38" t="s">
        <v>75</v>
      </c>
      <c r="V38" t="s">
        <v>73</v>
      </c>
      <c r="W38" t="s">
        <v>75</v>
      </c>
      <c r="X38" t="s">
        <v>1324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42:00</v>
      </c>
      <c r="Z38" t="str">
        <f>min_hour( hour_min($Y$38)+-900-2280 + hour_min($P$38))</f>
        <v>-11:00</v>
      </c>
      <c r="AA38" t="s">
        <v>75</v>
      </c>
      <c r="AB38" t="s">
        <v>74</v>
      </c>
      <c r="AC38" t="s">
        <v>75</v>
      </c>
      <c r="AD38" t="s">
        <v>75</v>
      </c>
      <c r="AE38" t="s">
        <v>73</v>
      </c>
      <c r="AF38" t="s">
        <v>74</v>
      </c>
      <c r="AG38" t="s">
        <v>74</v>
      </c>
      <c r="AH38" t="s">
        <v>1325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hour_min($AI$38)+0-2280 + hour_min($Z$38))</f>
        <v>-07:00</v>
      </c>
      <c r="AK38" t="s">
        <v>74</v>
      </c>
      <c r="AL38" t="s">
        <v>75</v>
      </c>
      <c r="AM38" t="s">
        <v>74</v>
      </c>
      <c r="AN38" t="s">
        <v>73</v>
      </c>
      <c r="AO38" t="s">
        <v>74</v>
      </c>
      <c r="AP38" t="s">
        <v>75</v>
      </c>
      <c r="AQ38" t="s">
        <v>74</v>
      </c>
      <c r="AR38" t="s">
        <v>1326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hour_min($AS$38)+0-2280 + hour_min($AJ$38))</f>
        <v>-03:00</v>
      </c>
      <c r="AU38" t="s">
        <v>74</v>
      </c>
      <c r="AV38" t="s">
        <v>74</v>
      </c>
      <c r="AW38" t="s">
        <v>73</v>
      </c>
      <c r="AX38" t="s">
        <v>75</v>
      </c>
      <c r="AY38" t="s">
        <v>75</v>
      </c>
      <c r="AZ38" t="s">
        <v>74</v>
      </c>
      <c r="BA38" t="s">
        <v>75</v>
      </c>
      <c r="BB38" t="s">
        <v>1327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hour_min($BC$38)+0-2280 + hour_min($AT$38))</f>
        <v>01:00</v>
      </c>
      <c r="BE38" t="s">
        <v>75</v>
      </c>
      <c r="BF38" t="s">
        <v>73</v>
      </c>
      <c r="BG38" t="s">
        <v>74</v>
      </c>
      <c r="BH38" t="s">
        <v>75</v>
      </c>
      <c r="BI38" t="s">
        <v>74</v>
      </c>
      <c r="BJ38" t="s">
        <v>75</v>
      </c>
      <c r="BK38" t="s">
        <v>75</v>
      </c>
      <c r="BL38" t="s">
        <v>1322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hour_min($BM$38)+0-2280 + hour_min($BD$38))</f>
        <v>05:00</v>
      </c>
      <c r="BO38" t="s">
        <v>73</v>
      </c>
      <c r="BP38" t="s">
        <v>75</v>
      </c>
      <c r="BQ38" t="s">
        <v>75</v>
      </c>
      <c r="BR38" t="s">
        <v>74</v>
      </c>
      <c r="BS38" t="s">
        <v>75</v>
      </c>
      <c r="BT38" t="s">
        <v>75</v>
      </c>
      <c r="BU38" t="s">
        <v>73</v>
      </c>
      <c r="BV38" t="s">
        <v>1323</v>
      </c>
      <c r="BW38" t="str">
        <f>min_hour(+IF($BO$38="M","420","0")+IF($BO$38="P","420","0")+IF($BO$38="F","420","0")+IF($BO$38="N","600","0")+IF($BO$38="M1","380","0")+IF($BO$38="P1","380","0")+IF($BO$38="L104","0","0")+IF($BO$38="MAL","0","0")+IF($BO$38="RC","0","0")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)</f>
        <v>35:00</v>
      </c>
      <c r="BX38" t="str">
        <f>min_hour( hour_min($BW$38)+0-2280 + hour_min($BN$38))</f>
        <v>02:00</v>
      </c>
      <c r="BY38" t="s">
        <v>75</v>
      </c>
      <c r="BZ38" t="s">
        <v>74</v>
      </c>
      <c r="CA38" t="s">
        <v>75</v>
      </c>
      <c r="CB38" t="s">
        <v>74</v>
      </c>
      <c r="CC38" t="s">
        <v>75</v>
      </c>
      <c r="CD38" t="s">
        <v>73</v>
      </c>
      <c r="CE38" t="s">
        <v>75</v>
      </c>
      <c r="CF38" t="s">
        <v>1324</v>
      </c>
      <c r="CG38" t="str">
        <f>min_hour(+IF($BY$38="M","420","0")+IF($BY$38="P","420","0")+IF($BY$38="F","420","0")+IF($BY$38="N","600","0")+IF($BY$38="M1","380","0")+IF($BY$38="P1","380","0")+IF($BY$38="L104","0","0")+IF($BY$38="MAL","0","0")+IF($BY$38="RC","0","0")+IF($BZ$38="M","420","0")+IF($BZ$38="P","420","0")+IF($BZ$38="F","420","0")+IF($BZ$38="N","600","0")+IF($BZ$38="M1","380","0")+IF($BZ$38="P1","380","0")+IF($BZ$38="L104","0","0")+IF($BZ$38="MAL","0","0")+IF($BZ$38="RC","0","0")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)</f>
        <v>42:00</v>
      </c>
      <c r="CH38" t="str">
        <f>min_hour( hour_min($CG$38)+0-2280 + hour_min($BX$38))</f>
        <v>06:00</v>
      </c>
      <c r="CI38" t="s">
        <v>75</v>
      </c>
      <c r="CJ38" t="s">
        <v>74</v>
      </c>
      <c r="CK38" t="s">
        <v>75</v>
      </c>
      <c r="CL38" t="s">
        <v>75</v>
      </c>
      <c r="CM38" t="s">
        <v>73</v>
      </c>
      <c r="CN38" t="s">
        <v>74</v>
      </c>
      <c r="CO38" t="s">
        <v>74</v>
      </c>
      <c r="CP38" t="s">
        <v>1325</v>
      </c>
      <c r="CQ38" t="str">
        <f>min_hour(+IF($CI$38="M","420","0")+IF($CI$38="P","420","0")+IF($CI$38="F","420","0")+IF($CI$38="N","600","0")+IF($CI$38="M1","380","0")+IF($CI$38="P1","380","0")+IF($CI$38="L104","0","0")+IF($CI$38="MAL","0","0")+IF($CI$38="RC","0","0")+IF($CJ$38="M","420","0")+IF($CJ$38="P","420","0")+IF($CJ$38="F","420","0")+IF($CJ$38="N","600","0")+IF($CJ$38="M1","380","0")+IF($CJ$38="P1","380","0")+IF($CJ$38="L104","0","0")+IF($CJ$38="MAL","0","0")+IF($CJ$38="RC","0","0")+IF($CK$38="M","420","0")+IF($CK$38="P","420","0")+IF($CK$38="F","420","0")+IF($CK$38="N","600","0")+IF($CK$38="M1","380","0")+IF($CK$38="P1","380","0")+IF($CK$38="L104","0","0")+IF($CK$38="MAL","0","0")+IF($CK$38="RC","0","0")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)</f>
        <v>42:00</v>
      </c>
      <c r="CR38" t="str">
        <f>min_hour( hour_min($CQ$38)+0-2280 + hour_min($CH$38))</f>
        <v>10:00</v>
      </c>
    </row>
    <row r="39" spans="1:9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>
        <f>COUNTIF($Q$4:$Q$38,"M")</f>
        <v>15</v>
      </c>
      <c r="R39">
        <f>COUNTIF($R$4:$R$38,"M")</f>
        <v>14</v>
      </c>
      <c r="S39">
        <f>COUNTIF($S$4:$S$38,"M")</f>
        <v>14</v>
      </c>
      <c r="T39">
        <f>COUNTIF($T$4:$T$38,"M")</f>
        <v>15</v>
      </c>
      <c r="U39">
        <f>COUNTIF($U$4:$U$38,"M")</f>
        <v>13</v>
      </c>
      <c r="V39">
        <f>COUNTIF($V$4:$V$38,"M")</f>
        <v>16</v>
      </c>
      <c r="W39">
        <f>COUNTIF($W$4:$W$38,"M")</f>
        <v>15</v>
      </c>
      <c r="AA39">
        <f>COUNTIF($AA$4:$AA$38,"M")</f>
        <v>13</v>
      </c>
      <c r="AB39">
        <f>COUNTIF($AB$4:$AB$38,"M")</f>
        <v>16</v>
      </c>
      <c r="AC39">
        <f>COUNTIF($AC$4:$AC$38,"M")</f>
        <v>16</v>
      </c>
      <c r="AD39">
        <f>COUNTIF($AD$4:$AD$38,"M")</f>
        <v>13</v>
      </c>
      <c r="AE39">
        <f>COUNTIF($AE$4:$AE$38,"M")</f>
        <v>16</v>
      </c>
      <c r="AF39">
        <f>COUNTIF($AF$4:$AF$38,"M")</f>
        <v>15</v>
      </c>
      <c r="AG39">
        <f>COUNTIF($AG$4:$AG$38,"M")</f>
        <v>13</v>
      </c>
      <c r="AK39">
        <f>COUNTIF($AK$4:$AK$38,"M")</f>
        <v>16</v>
      </c>
      <c r="AL39">
        <f>COUNTIF($AL$4:$AL$38,"M")</f>
        <v>13</v>
      </c>
      <c r="AM39">
        <f>COUNTIF($AM$4:$AM$38,"M")</f>
        <v>15</v>
      </c>
      <c r="AN39">
        <f>COUNTIF($AN$4:$AN$38,"M")</f>
        <v>14</v>
      </c>
      <c r="AO39">
        <f>COUNTIF($AO$4:$AO$38,"M")</f>
        <v>15</v>
      </c>
      <c r="AP39">
        <f>COUNTIF($AP$4:$AP$38,"M")</f>
        <v>13</v>
      </c>
      <c r="AQ39">
        <f>COUNTIF($AQ$4:$AQ$38,"M")</f>
        <v>16</v>
      </c>
      <c r="AU39">
        <f>COUNTIF($AU$4:$AU$38,"M")</f>
        <v>15</v>
      </c>
      <c r="AV39">
        <f>COUNTIF($AV$4:$AV$38,"M")</f>
        <v>14</v>
      </c>
      <c r="AW39">
        <f>COUNTIF($AW$4:$AW$38,"M")</f>
        <v>15</v>
      </c>
      <c r="AX39">
        <f>COUNTIF($AX$4:$AX$38,"M")</f>
        <v>16</v>
      </c>
      <c r="AY39">
        <f>COUNTIF($AY$4:$AY$38,"M")</f>
        <v>13</v>
      </c>
      <c r="AZ39">
        <f>COUNTIF($AZ$4:$AZ$38,"M")</f>
        <v>14</v>
      </c>
      <c r="BA39">
        <f>COUNTIF($BA$4:$BA$38,"M")</f>
        <v>13</v>
      </c>
      <c r="BE39">
        <f>COUNTIF($BE$4:$BE$38,"M")</f>
        <v>13</v>
      </c>
      <c r="BF39">
        <f>COUNTIF($BF$4:$BF$38,"M")</f>
        <v>16</v>
      </c>
      <c r="BG39">
        <f>COUNTIF($BG$4:$BG$38,"M")</f>
        <v>13</v>
      </c>
      <c r="BH39">
        <f>COUNTIF($BH$4:$BH$38,"M")</f>
        <v>13</v>
      </c>
      <c r="BI39">
        <f>COUNTIF($BI$4:$BI$38,"M")</f>
        <v>14</v>
      </c>
      <c r="BJ39">
        <f>COUNTIF($BJ$4:$BJ$38,"M")</f>
        <v>16</v>
      </c>
      <c r="BK39">
        <f>COUNTIF($BK$4:$BK$38,"M")</f>
        <v>14</v>
      </c>
      <c r="BO39">
        <f>COUNTIF($BO$4:$BO$38,"M")</f>
        <v>14</v>
      </c>
      <c r="BP39">
        <f>COUNTIF($BP$4:$BP$38,"M")</f>
        <v>13</v>
      </c>
      <c r="BQ39">
        <f>COUNTIF($BQ$4:$BQ$38,"M")</f>
        <v>14</v>
      </c>
      <c r="BR39">
        <f>COUNTIF($BR$4:$BR$38,"M")</f>
        <v>16</v>
      </c>
      <c r="BS39">
        <f>COUNTIF($BS$4:$BS$38,"M")</f>
        <v>16</v>
      </c>
      <c r="BT39">
        <f>COUNTIF($BT$4:$BT$38,"M")</f>
        <v>13</v>
      </c>
      <c r="BU39">
        <f>COUNTIF($BU$4:$BU$38,"M")</f>
        <v>16</v>
      </c>
      <c r="BY39">
        <f>COUNTIF($BY$4:$BY$38,"M")</f>
        <v>16</v>
      </c>
      <c r="BZ39">
        <f>COUNTIF($BZ$4:$BZ$38,"M")</f>
        <v>14</v>
      </c>
      <c r="CA39">
        <f>COUNTIF($CA$4:$CA$38,"M")</f>
        <v>14</v>
      </c>
      <c r="CB39">
        <f>COUNTIF($CB$4:$CB$38,"M")</f>
        <v>15</v>
      </c>
      <c r="CC39">
        <f>COUNTIF($CC$4:$CC$38,"M")</f>
        <v>13</v>
      </c>
      <c r="CD39">
        <f>COUNTIF($CD$4:$CD$38,"M")</f>
        <v>16</v>
      </c>
      <c r="CE39">
        <f>COUNTIF($CE$4:$CE$38,"M")</f>
        <v>15</v>
      </c>
      <c r="CI39">
        <f>COUNTIF($CI$4:$CI$38,"M")</f>
        <v>13</v>
      </c>
      <c r="CJ39">
        <f>COUNTIF($CJ$4:$CJ$38,"M")</f>
        <v>16</v>
      </c>
      <c r="CK39">
        <f>COUNTIF($CK$4:$CK$38,"M")</f>
        <v>16</v>
      </c>
      <c r="CL39">
        <f>COUNTIF($CL$4:$CL$38,"M")</f>
        <v>13</v>
      </c>
      <c r="CM39">
        <f>COUNTIF($CM$4:$CM$38,"M")</f>
        <v>16</v>
      </c>
      <c r="CN39">
        <f>COUNTIF($CN$4:$CN$38,"M")</f>
        <v>15</v>
      </c>
      <c r="CO39">
        <f>COUNTIF($CO$4:$CO$38,"M")</f>
        <v>13</v>
      </c>
    </row>
    <row r="40" spans="1:96" x14ac:dyDescent="0.25">
      <c r="Q40">
        <f>COUNTIF($Q$4:$Q$38,"P")</f>
        <v>10</v>
      </c>
      <c r="R40">
        <f>COUNTIF($R$4:$R$38,"P")</f>
        <v>11</v>
      </c>
      <c r="S40">
        <f>COUNTIF($S$4:$S$38,"P")</f>
        <v>12</v>
      </c>
      <c r="T40">
        <f>COUNTIF($T$4:$T$38,"P")</f>
        <v>10</v>
      </c>
      <c r="U40">
        <f>COUNTIF($U$4:$U$38,"P")</f>
        <v>12</v>
      </c>
      <c r="V40">
        <f>COUNTIF($V$4:$V$38,"P")</f>
        <v>9</v>
      </c>
      <c r="W40">
        <f>COUNTIF($W$4:$W$38,"P")</f>
        <v>10</v>
      </c>
      <c r="AA40">
        <f>COUNTIF($AA$4:$AA$38,"P")</f>
        <v>10</v>
      </c>
      <c r="AB40">
        <f>COUNTIF($AB$4:$AB$38,"P")</f>
        <v>11</v>
      </c>
      <c r="AC40">
        <f>COUNTIF($AC$4:$AC$38,"P")</f>
        <v>9</v>
      </c>
      <c r="AD40">
        <f>COUNTIF($AD$4:$AD$38,"P")</f>
        <v>12</v>
      </c>
      <c r="AE40">
        <f>COUNTIF($AE$4:$AE$38,"P")</f>
        <v>9</v>
      </c>
      <c r="AF40">
        <f>COUNTIF($AF$4:$AF$38,"P")</f>
        <v>10</v>
      </c>
      <c r="AG40">
        <f>COUNTIF($AG$4:$AG$38,"P")</f>
        <v>10</v>
      </c>
      <c r="AK40">
        <f>COUNTIF($AK$4:$AK$38,"P")</f>
        <v>10</v>
      </c>
      <c r="AL40">
        <f>COUNTIF($AL$4:$AL$38,"P")</f>
        <v>14</v>
      </c>
      <c r="AM40">
        <f>COUNTIF($AM$4:$AM$38,"P")</f>
        <v>10</v>
      </c>
      <c r="AN40">
        <f>COUNTIF($AN$4:$AN$38,"P")</f>
        <v>11</v>
      </c>
      <c r="AO40">
        <f>COUNTIF($AO$4:$AO$38,"P")</f>
        <v>10</v>
      </c>
      <c r="AP40">
        <f>COUNTIF($AP$4:$AP$38,"P")</f>
        <v>10</v>
      </c>
      <c r="AQ40">
        <f>COUNTIF($AQ$4:$AQ$38,"P")</f>
        <v>10</v>
      </c>
      <c r="AU40">
        <f>COUNTIF($AU$4:$AU$38,"P")</f>
        <v>10</v>
      </c>
      <c r="AV40">
        <f>COUNTIF($AV$4:$AV$38,"P")</f>
        <v>13</v>
      </c>
      <c r="AW40">
        <f>COUNTIF($AW$4:$AW$38,"P")</f>
        <v>10</v>
      </c>
      <c r="AX40">
        <f>COUNTIF($AX$4:$AX$38,"P")</f>
        <v>9</v>
      </c>
      <c r="AY40">
        <f>COUNTIF($AY$4:$AY$38,"P")</f>
        <v>10</v>
      </c>
      <c r="AZ40">
        <f>COUNTIF($AZ$4:$AZ$38,"P")</f>
        <v>12</v>
      </c>
      <c r="BA40">
        <f>COUNTIF($BA$4:$BA$38,"P")</f>
        <v>12</v>
      </c>
      <c r="BE40">
        <f>COUNTIF($BE$4:$BE$38,"P")</f>
        <v>12</v>
      </c>
      <c r="BF40">
        <f>COUNTIF($BF$4:$BF$38,"P")</f>
        <v>11</v>
      </c>
      <c r="BG40">
        <f>COUNTIF($BG$4:$BG$38,"P")</f>
        <v>12</v>
      </c>
      <c r="BH40">
        <f>COUNTIF($BH$4:$BH$38,"P")</f>
        <v>10</v>
      </c>
      <c r="BI40">
        <f>COUNTIF($BI$4:$BI$38,"P")</f>
        <v>12</v>
      </c>
      <c r="BJ40">
        <f>COUNTIF($BJ$4:$BJ$38,"P")</f>
        <v>9</v>
      </c>
      <c r="BK40">
        <f>COUNTIF($BK$4:$BK$38,"P")</f>
        <v>11</v>
      </c>
      <c r="BO40">
        <f>COUNTIF($BO$4:$BO$38,"P")</f>
        <v>11</v>
      </c>
      <c r="BP40">
        <f>COUNTIF($BP$4:$BP$38,"P")</f>
        <v>14</v>
      </c>
      <c r="BQ40">
        <f>COUNTIF($BQ$4:$BQ$38,"P")</f>
        <v>9</v>
      </c>
      <c r="BR40">
        <f>COUNTIF($BR$4:$BR$38,"P")</f>
        <v>10</v>
      </c>
      <c r="BS40">
        <f>COUNTIF($BS$4:$BS$38,"P")</f>
        <v>9</v>
      </c>
      <c r="BT40">
        <f>COUNTIF($BT$4:$BT$38,"P")</f>
        <v>12</v>
      </c>
      <c r="BU40">
        <f>COUNTIF($BU$4:$BU$38,"P")</f>
        <v>9</v>
      </c>
      <c r="BY40">
        <f>COUNTIF($BY$4:$BY$38,"P")</f>
        <v>9</v>
      </c>
      <c r="BZ40">
        <f>COUNTIF($BZ$4:$BZ$38,"P")</f>
        <v>11</v>
      </c>
      <c r="CA40">
        <f>COUNTIF($CA$4:$CA$38,"P")</f>
        <v>12</v>
      </c>
      <c r="CB40">
        <f>COUNTIF($CB$4:$CB$38,"P")</f>
        <v>10</v>
      </c>
      <c r="CC40">
        <f>COUNTIF($CC$4:$CC$38,"P")</f>
        <v>12</v>
      </c>
      <c r="CD40">
        <f>COUNTIF($CD$4:$CD$38,"P")</f>
        <v>9</v>
      </c>
      <c r="CE40">
        <f>COUNTIF($CE$4:$CE$38,"P")</f>
        <v>10</v>
      </c>
      <c r="CI40">
        <f>COUNTIF($CI$4:$CI$38,"P")</f>
        <v>10</v>
      </c>
      <c r="CJ40">
        <f>COUNTIF($CJ$4:$CJ$38,"P")</f>
        <v>12</v>
      </c>
      <c r="CK40">
        <f>COUNTIF($CK$4:$CK$38,"P")</f>
        <v>9</v>
      </c>
      <c r="CL40">
        <f>COUNTIF($CL$4:$CL$38,"P")</f>
        <v>12</v>
      </c>
      <c r="CM40">
        <f>COUNTIF($CM$4:$CM$38,"P")</f>
        <v>9</v>
      </c>
      <c r="CN40">
        <f>COUNTIF($CN$4:$CN$38,"P")</f>
        <v>10</v>
      </c>
      <c r="CO40">
        <f>COUNTIF($CO$4:$CO$38,"P")</f>
        <v>10</v>
      </c>
    </row>
    <row r="41" spans="1:96" x14ac:dyDescent="0.25">
      <c r="Q41">
        <f>COUNTIF($Q$4:$Q$38,"N")</f>
        <v>2</v>
      </c>
      <c r="R41">
        <f>COUNTIF($R$4:$R$38,"N")</f>
        <v>2</v>
      </c>
      <c r="S41">
        <f>COUNTIF($S$4:$S$38,"N")</f>
        <v>2</v>
      </c>
      <c r="T41">
        <f>COUNTIF($T$4:$T$38,"N")</f>
        <v>2</v>
      </c>
      <c r="U41">
        <f>COUNTIF($U$4:$U$38,"N")</f>
        <v>2</v>
      </c>
      <c r="V41">
        <f>COUNTIF($V$4:$V$38,"N")</f>
        <v>2</v>
      </c>
      <c r="W41">
        <f>COUNTIF($W$4:$W$38,"N")</f>
        <v>2</v>
      </c>
      <c r="AA41">
        <f>COUNTIF($AA$4:$AA$38,"N")</f>
        <v>2</v>
      </c>
      <c r="AB41">
        <f>COUNTIF($AB$4:$AB$38,"N")</f>
        <v>2</v>
      </c>
      <c r="AC41">
        <f>COUNTIF($AC$4:$AC$38,"N")</f>
        <v>2</v>
      </c>
      <c r="AD41">
        <f>COUNTIF($AD$4:$AD$38,"N")</f>
        <v>2</v>
      </c>
      <c r="AE41">
        <f>COUNTIF($AE$4:$AE$38,"N")</f>
        <v>2</v>
      </c>
      <c r="AF41">
        <f>COUNTIF($AF$4:$AF$38,"N")</f>
        <v>2</v>
      </c>
      <c r="AG41">
        <f>COUNTIF($AG$4:$AG$38,"N")</f>
        <v>2</v>
      </c>
      <c r="AK41">
        <f>COUNTIF($AK$4:$AK$38,"N")</f>
        <v>2</v>
      </c>
      <c r="AL41">
        <f>COUNTIF($AL$4:$AL$38,"N")</f>
        <v>2</v>
      </c>
      <c r="AM41">
        <f>COUNTIF($AM$4:$AM$38,"N")</f>
        <v>2</v>
      </c>
      <c r="AN41">
        <f>COUNTIF($AN$4:$AN$38,"N")</f>
        <v>2</v>
      </c>
      <c r="AO41">
        <f>COUNTIF($AO$4:$AO$38,"N")</f>
        <v>2</v>
      </c>
      <c r="AP41">
        <f>COUNTIF($AP$4:$AP$38,"N")</f>
        <v>2</v>
      </c>
      <c r="AQ41">
        <f>COUNTIF($AQ$4:$AQ$38,"N")</f>
        <v>2</v>
      </c>
      <c r="AU41">
        <f>COUNTIF($AU$4:$AU$38,"N")</f>
        <v>2</v>
      </c>
      <c r="AV41">
        <f>COUNTIF($AV$4:$AV$38,"N")</f>
        <v>2</v>
      </c>
      <c r="AW41">
        <f>COUNTIF($AW$4:$AW$38,"N")</f>
        <v>2</v>
      </c>
      <c r="AX41">
        <f>COUNTIF($AX$4:$AX$38,"N")</f>
        <v>2</v>
      </c>
      <c r="AY41">
        <f>COUNTIF($AY$4:$AY$38,"N")</f>
        <v>2</v>
      </c>
      <c r="AZ41">
        <f>COUNTIF($AZ$4:$AZ$38,"N")</f>
        <v>2</v>
      </c>
      <c r="BA41">
        <f>COUNTIF($BA$4:$BA$38,"N")</f>
        <v>2</v>
      </c>
      <c r="BE41">
        <f>COUNTIF($BE$4:$BE$38,"N")</f>
        <v>2</v>
      </c>
      <c r="BF41">
        <f>COUNTIF($BF$4:$BF$38,"N")</f>
        <v>2</v>
      </c>
      <c r="BG41">
        <f>COUNTIF($BG$4:$BG$38,"N")</f>
        <v>2</v>
      </c>
      <c r="BH41">
        <f>COUNTIF($BH$4:$BH$38,"N")</f>
        <v>2</v>
      </c>
      <c r="BI41">
        <f>COUNTIF($BI$4:$BI$38,"N")</f>
        <v>2</v>
      </c>
      <c r="BJ41">
        <f>COUNTIF($BJ$4:$BJ$38,"N")</f>
        <v>2</v>
      </c>
      <c r="BK41">
        <f>COUNTIF($BK$4:$BK$38,"N")</f>
        <v>2</v>
      </c>
      <c r="BO41">
        <f>COUNTIF($BO$4:$BO$38,"N")</f>
        <v>2</v>
      </c>
      <c r="BP41">
        <f>COUNTIF($BP$4:$BP$38,"N")</f>
        <v>2</v>
      </c>
      <c r="BQ41">
        <f>COUNTIF($BQ$4:$BQ$38,"N")</f>
        <v>2</v>
      </c>
      <c r="BR41">
        <f>COUNTIF($BR$4:$BR$38,"N")</f>
        <v>2</v>
      </c>
      <c r="BS41">
        <f>COUNTIF($BS$4:$BS$38,"N")</f>
        <v>2</v>
      </c>
      <c r="BT41">
        <f>COUNTIF($BT$4:$BT$38,"N")</f>
        <v>2</v>
      </c>
      <c r="BU41">
        <f>COUNTIF($BU$4:$BU$38,"N")</f>
        <v>2</v>
      </c>
      <c r="BY41">
        <f>COUNTIF($BY$4:$BY$38,"N")</f>
        <v>2</v>
      </c>
      <c r="BZ41">
        <f>COUNTIF($BZ$4:$BZ$38,"N")</f>
        <v>2</v>
      </c>
      <c r="CA41">
        <f>COUNTIF($CA$4:$CA$38,"N")</f>
        <v>2</v>
      </c>
      <c r="CB41">
        <f>COUNTIF($CB$4:$CB$38,"N")</f>
        <v>2</v>
      </c>
      <c r="CC41">
        <f>COUNTIF($CC$4:$CC$38,"N")</f>
        <v>2</v>
      </c>
      <c r="CD41">
        <f>COUNTIF($CD$4:$CD$38,"N")</f>
        <v>2</v>
      </c>
      <c r="CE41">
        <f>COUNTIF($CE$4:$CE$38,"N")</f>
        <v>2</v>
      </c>
      <c r="CI41">
        <f>COUNTIF($CI$4:$CI$38,"N")</f>
        <v>2</v>
      </c>
      <c r="CJ41">
        <f>COUNTIF($CJ$4:$CJ$38,"N")</f>
        <v>2</v>
      </c>
      <c r="CK41">
        <f>COUNTIF($CK$4:$CK$38,"N")</f>
        <v>2</v>
      </c>
      <c r="CL41">
        <f>COUNTIF($CL$4:$CL$38,"N")</f>
        <v>2</v>
      </c>
      <c r="CM41">
        <f>COUNTIF($CM$4:$CM$38,"N")</f>
        <v>2</v>
      </c>
      <c r="CN41">
        <f>COUNTIF($CN$4:$CN$38,"N")</f>
        <v>2</v>
      </c>
      <c r="CO41">
        <f>COUNTIF($CO$4:$CO$38,"N")</f>
        <v>2</v>
      </c>
    </row>
    <row r="42" spans="1:96" x14ac:dyDescent="0.25">
      <c r="Q42">
        <f>COUNTIF($Q$4:$Q$38,"S")</f>
        <v>2</v>
      </c>
      <c r="R42">
        <f>COUNTIF($R$4:$R$38,"S")</f>
        <v>2</v>
      </c>
      <c r="S42">
        <f>COUNTIF($S$4:$S$38,"S")</f>
        <v>2</v>
      </c>
      <c r="T42">
        <f>COUNTIF($T$4:$T$38,"S")</f>
        <v>2</v>
      </c>
      <c r="U42">
        <f>COUNTIF($U$4:$U$38,"S")</f>
        <v>2</v>
      </c>
      <c r="V42">
        <f>COUNTIF($V$4:$V$38,"S")</f>
        <v>2</v>
      </c>
      <c r="W42">
        <f>COUNTIF($W$4:$W$38,"S")</f>
        <v>2</v>
      </c>
      <c r="AA42">
        <f>COUNTIF($AA$4:$AA$38,"S")</f>
        <v>2</v>
      </c>
      <c r="AB42">
        <f>COUNTIF($AB$4:$AB$38,"S")</f>
        <v>2</v>
      </c>
      <c r="AC42">
        <f>COUNTIF($AC$4:$AC$38,"S")</f>
        <v>2</v>
      </c>
      <c r="AD42">
        <f>COUNTIF($AD$4:$AD$38,"S")</f>
        <v>2</v>
      </c>
      <c r="AE42">
        <f>COUNTIF($AE$4:$AE$38,"S")</f>
        <v>2</v>
      </c>
      <c r="AF42">
        <f>COUNTIF($AF$4:$AF$38,"S")</f>
        <v>2</v>
      </c>
      <c r="AG42">
        <f>COUNTIF($AG$4:$AG$38,"S")</f>
        <v>2</v>
      </c>
      <c r="AK42">
        <f>COUNTIF($AK$4:$AK$38,"S")</f>
        <v>2</v>
      </c>
      <c r="AL42">
        <f>COUNTIF($AL$4:$AL$38,"S")</f>
        <v>2</v>
      </c>
      <c r="AM42">
        <f>COUNTIF($AM$4:$AM$38,"S")</f>
        <v>2</v>
      </c>
      <c r="AN42">
        <f>COUNTIF($AN$4:$AN$38,"S")</f>
        <v>2</v>
      </c>
      <c r="AO42">
        <f>COUNTIF($AO$4:$AO$38,"S")</f>
        <v>2</v>
      </c>
      <c r="AP42">
        <f>COUNTIF($AP$4:$AP$38,"S")</f>
        <v>2</v>
      </c>
      <c r="AQ42">
        <f>COUNTIF($AQ$4:$AQ$38,"S")</f>
        <v>2</v>
      </c>
      <c r="AU42">
        <f>COUNTIF($AU$4:$AU$38,"S")</f>
        <v>2</v>
      </c>
      <c r="AV42">
        <f>COUNTIF($AV$4:$AV$38,"S")</f>
        <v>2</v>
      </c>
      <c r="AW42">
        <f>COUNTIF($AW$4:$AW$38,"S")</f>
        <v>2</v>
      </c>
      <c r="AX42">
        <f>COUNTIF($AX$4:$AX$38,"S")</f>
        <v>2</v>
      </c>
      <c r="AY42">
        <f>COUNTIF($AY$4:$AY$38,"S")</f>
        <v>2</v>
      </c>
      <c r="AZ42">
        <f>COUNTIF($AZ$4:$AZ$38,"S")</f>
        <v>2</v>
      </c>
      <c r="BA42">
        <f>COUNTIF($BA$4:$BA$38,"S")</f>
        <v>2</v>
      </c>
      <c r="BE42">
        <f>COUNTIF($BE$4:$BE$38,"S")</f>
        <v>2</v>
      </c>
      <c r="BF42">
        <f>COUNTIF($BF$4:$BF$38,"S")</f>
        <v>2</v>
      </c>
      <c r="BG42">
        <f>COUNTIF($BG$4:$BG$38,"S")</f>
        <v>2</v>
      </c>
      <c r="BH42">
        <f>COUNTIF($BH$4:$BH$38,"S")</f>
        <v>2</v>
      </c>
      <c r="BI42">
        <f>COUNTIF($BI$4:$BI$38,"S")</f>
        <v>2</v>
      </c>
      <c r="BJ42">
        <f>COUNTIF($BJ$4:$BJ$38,"S")</f>
        <v>2</v>
      </c>
      <c r="BK42">
        <f>COUNTIF($BK$4:$BK$38,"S")</f>
        <v>2</v>
      </c>
      <c r="BO42">
        <f>COUNTIF($BO$4:$BO$38,"S")</f>
        <v>2</v>
      </c>
      <c r="BP42">
        <f>COUNTIF($BP$4:$BP$38,"S")</f>
        <v>2</v>
      </c>
      <c r="BQ42">
        <f>COUNTIF($BQ$4:$BQ$38,"S")</f>
        <v>2</v>
      </c>
      <c r="BR42">
        <f>COUNTIF($BR$4:$BR$38,"S")</f>
        <v>2</v>
      </c>
      <c r="BS42">
        <f>COUNTIF($BS$4:$BS$38,"S")</f>
        <v>2</v>
      </c>
      <c r="BT42">
        <f>COUNTIF($BT$4:$BT$38,"S")</f>
        <v>2</v>
      </c>
      <c r="BU42">
        <f>COUNTIF($BU$4:$BU$38,"S")</f>
        <v>2</v>
      </c>
      <c r="BY42">
        <f>COUNTIF($BY$4:$BY$38,"S")</f>
        <v>2</v>
      </c>
      <c r="BZ42">
        <f>COUNTIF($BZ$4:$BZ$38,"S")</f>
        <v>2</v>
      </c>
      <c r="CA42">
        <f>COUNTIF($CA$4:$CA$38,"S")</f>
        <v>2</v>
      </c>
      <c r="CB42">
        <f>COUNTIF($CB$4:$CB$38,"S")</f>
        <v>2</v>
      </c>
      <c r="CC42">
        <f>COUNTIF($CC$4:$CC$38,"S")</f>
        <v>2</v>
      </c>
      <c r="CD42">
        <f>COUNTIF($CD$4:$CD$38,"S")</f>
        <v>2</v>
      </c>
      <c r="CE42">
        <f>COUNTIF($CE$4:$CE$38,"S")</f>
        <v>2</v>
      </c>
      <c r="CI42">
        <f>COUNTIF($CI$4:$CI$38,"S")</f>
        <v>2</v>
      </c>
      <c r="CJ42">
        <f>COUNTIF($CJ$4:$CJ$38,"S")</f>
        <v>2</v>
      </c>
      <c r="CK42">
        <f>COUNTIF($CK$4:$CK$38,"S")</f>
        <v>2</v>
      </c>
      <c r="CL42">
        <f>COUNTIF($CL$4:$CL$38,"S")</f>
        <v>2</v>
      </c>
      <c r="CM42">
        <f>COUNTIF($CM$4:$CM$38,"S")</f>
        <v>2</v>
      </c>
      <c r="CN42">
        <f>COUNTIF($CN$4:$CN$38,"S")</f>
        <v>2</v>
      </c>
      <c r="CO42">
        <f>COUNTIF($CO$4:$CO$38,"S")</f>
        <v>2</v>
      </c>
    </row>
    <row r="43" spans="1:96" x14ac:dyDescent="0.25">
      <c r="Q43">
        <f>COUNTIF($Q$4:$Q$38,"F")</f>
        <v>0</v>
      </c>
      <c r="R43">
        <f>COUNTIF($R$4:$R$38,"F")</f>
        <v>0</v>
      </c>
      <c r="S43">
        <f>COUNTIF($S$4:$S$38,"F")</f>
        <v>0</v>
      </c>
      <c r="T43">
        <f>COUNTIF($T$4:$T$38,"F")</f>
        <v>0</v>
      </c>
      <c r="U43">
        <f>COUNTIF($U$4:$U$38,"F")</f>
        <v>0</v>
      </c>
      <c r="V43">
        <f>COUNTIF($V$4:$V$38,"F")</f>
        <v>0</v>
      </c>
      <c r="W43">
        <f>COUNTIF($W$4:$W$38,"F")</f>
        <v>0</v>
      </c>
      <c r="AA43">
        <f>COUNTIF($AA$4:$AA$38,"F")</f>
        <v>0</v>
      </c>
      <c r="AB43">
        <f>COUNTIF($AB$4:$AB$38,"F")</f>
        <v>0</v>
      </c>
      <c r="AC43">
        <f>COUNTIF($AC$4:$AC$38,"F")</f>
        <v>0</v>
      </c>
      <c r="AD43">
        <f>COUNTIF($AD$4:$AD$38,"F")</f>
        <v>0</v>
      </c>
      <c r="AE43">
        <f>COUNTIF($AE$4:$AE$38,"F")</f>
        <v>0</v>
      </c>
      <c r="AF43">
        <f>COUNTIF($AF$4:$AF$38,"F")</f>
        <v>0</v>
      </c>
      <c r="AG43">
        <f>COUNTIF($AG$4:$AG$38,"F")</f>
        <v>0</v>
      </c>
      <c r="AK43">
        <f>COUNTIF($AK$4:$AK$38,"F")</f>
        <v>0</v>
      </c>
      <c r="AL43">
        <f>COUNTIF($AL$4:$AL$38,"F")</f>
        <v>0</v>
      </c>
      <c r="AM43">
        <f>COUNTIF($AM$4:$AM$38,"F")</f>
        <v>0</v>
      </c>
      <c r="AN43">
        <f>COUNTIF($AN$4:$AN$38,"F")</f>
        <v>0</v>
      </c>
      <c r="AO43">
        <f>COUNTIF($AO$4:$AO$38,"F")</f>
        <v>0</v>
      </c>
      <c r="AP43">
        <f>COUNTIF($AP$4:$AP$38,"F")</f>
        <v>0</v>
      </c>
      <c r="AQ43">
        <f>COUNTIF($AQ$4:$AQ$38,"F")</f>
        <v>0</v>
      </c>
      <c r="AU43">
        <f>COUNTIF($AU$4:$AU$38,"F")</f>
        <v>0</v>
      </c>
      <c r="AV43">
        <f>COUNTIF($AV$4:$AV$38,"F")</f>
        <v>0</v>
      </c>
      <c r="AW43">
        <f>COUNTIF($AW$4:$AW$38,"F")</f>
        <v>0</v>
      </c>
      <c r="AX43">
        <f>COUNTIF($AX$4:$AX$38,"F")</f>
        <v>0</v>
      </c>
      <c r="AY43">
        <f>COUNTIF($AY$4:$AY$38,"F")</f>
        <v>0</v>
      </c>
      <c r="AZ43">
        <f>COUNTIF($AZ$4:$AZ$38,"F")</f>
        <v>0</v>
      </c>
      <c r="BA43">
        <f>COUNTIF($BA$4:$BA$38,"F")</f>
        <v>0</v>
      </c>
      <c r="BE43">
        <f>COUNTIF($BE$4:$BE$38,"F")</f>
        <v>0</v>
      </c>
      <c r="BF43">
        <f>COUNTIF($BF$4:$BF$38,"F")</f>
        <v>0</v>
      </c>
      <c r="BG43">
        <f>COUNTIF($BG$4:$BG$38,"F")</f>
        <v>0</v>
      </c>
      <c r="BH43">
        <f>COUNTIF($BH$4:$BH$38,"F")</f>
        <v>0</v>
      </c>
      <c r="BI43">
        <f>COUNTIF($BI$4:$BI$38,"F")</f>
        <v>0</v>
      </c>
      <c r="BJ43">
        <f>COUNTIF($BJ$4:$BJ$38,"F")</f>
        <v>0</v>
      </c>
      <c r="BK43">
        <f>COUNTIF($BK$4:$BK$38,"F")</f>
        <v>0</v>
      </c>
      <c r="BO43">
        <f>COUNTIF($BO$4:$BO$38,"F")</f>
        <v>0</v>
      </c>
      <c r="BP43">
        <f>COUNTIF($BP$4:$BP$38,"F")</f>
        <v>0</v>
      </c>
      <c r="BQ43">
        <f>COUNTIF($BQ$4:$BQ$38,"F")</f>
        <v>0</v>
      </c>
      <c r="BR43">
        <f>COUNTIF($BR$4:$BR$38,"F")</f>
        <v>0</v>
      </c>
      <c r="BS43">
        <f>COUNTIF($BS$4:$BS$38,"F")</f>
        <v>0</v>
      </c>
      <c r="BT43">
        <f>COUNTIF($BT$4:$BT$38,"F")</f>
        <v>0</v>
      </c>
      <c r="BU43">
        <f>COUNTIF($BU$4:$BU$38,"F")</f>
        <v>0</v>
      </c>
      <c r="BY43">
        <f>COUNTIF($BY$4:$BY$38,"F")</f>
        <v>0</v>
      </c>
      <c r="BZ43">
        <f>COUNTIF($BZ$4:$BZ$38,"F")</f>
        <v>0</v>
      </c>
      <c r="CA43">
        <f>COUNTIF($CA$4:$CA$38,"F")</f>
        <v>0</v>
      </c>
      <c r="CB43">
        <f>COUNTIF($CB$4:$CB$38,"F")</f>
        <v>0</v>
      </c>
      <c r="CC43">
        <f>COUNTIF($CC$4:$CC$38,"F")</f>
        <v>0</v>
      </c>
      <c r="CD43">
        <f>COUNTIF($CD$4:$CD$38,"F")</f>
        <v>0</v>
      </c>
      <c r="CE43">
        <f>COUNTIF($CE$4:$CE$38,"F")</f>
        <v>0</v>
      </c>
      <c r="CI43">
        <f>COUNTIF($CI$4:$CI$38,"F")</f>
        <v>0</v>
      </c>
      <c r="CJ43">
        <f>COUNTIF($CJ$4:$CJ$38,"F")</f>
        <v>0</v>
      </c>
      <c r="CK43">
        <f>COUNTIF($CK$4:$CK$38,"F")</f>
        <v>0</v>
      </c>
      <c r="CL43">
        <f>COUNTIF($CL$4:$CL$38,"F")</f>
        <v>0</v>
      </c>
      <c r="CM43">
        <f>COUNTIF($CM$4:$CM$38,"F")</f>
        <v>0</v>
      </c>
      <c r="CN43">
        <f>COUNTIF($CN$4:$CN$38,"F")</f>
        <v>0</v>
      </c>
      <c r="CO43">
        <f>COUNTIF($CO$4:$CO$38,"F")</f>
        <v>0</v>
      </c>
    </row>
    <row r="44" spans="1:96" x14ac:dyDescent="0.25">
      <c r="Q44">
        <f>COUNTIF($Q$4:$Q$38,"R")</f>
        <v>6</v>
      </c>
      <c r="R44">
        <f>COUNTIF($R$4:$R$38,"R")</f>
        <v>6</v>
      </c>
      <c r="S44">
        <f>COUNTIF($S$4:$S$38,"R")</f>
        <v>5</v>
      </c>
      <c r="T44">
        <f>COUNTIF($T$4:$T$38,"R")</f>
        <v>6</v>
      </c>
      <c r="U44">
        <f>COUNTIF($U$4:$U$38,"R")</f>
        <v>6</v>
      </c>
      <c r="V44">
        <f>COUNTIF($V$4:$V$38,"R")</f>
        <v>6</v>
      </c>
      <c r="W44">
        <f>COUNTIF($W$4:$W$38,"R")</f>
        <v>6</v>
      </c>
      <c r="AA44">
        <f>COUNTIF($AA$4:$AA$38,"R")</f>
        <v>8</v>
      </c>
      <c r="AB44">
        <f>COUNTIF($AB$4:$AB$38,"R")</f>
        <v>4</v>
      </c>
      <c r="AC44">
        <f>COUNTIF($AC$4:$AC$38,"R")</f>
        <v>6</v>
      </c>
      <c r="AD44">
        <f>COUNTIF($AD$4:$AD$38,"R")</f>
        <v>6</v>
      </c>
      <c r="AE44">
        <f>COUNTIF($AE$4:$AE$38,"R")</f>
        <v>6</v>
      </c>
      <c r="AF44">
        <f>COUNTIF($AF$4:$AF$38,"R")</f>
        <v>6</v>
      </c>
      <c r="AG44">
        <f>COUNTIF($AG$4:$AG$38,"R")</f>
        <v>8</v>
      </c>
      <c r="AK44">
        <f>COUNTIF($AK$4:$AK$38,"R")</f>
        <v>5</v>
      </c>
      <c r="AL44">
        <f>COUNTIF($AL$4:$AL$38,"R")</f>
        <v>4</v>
      </c>
      <c r="AM44">
        <f>COUNTIF($AM$4:$AM$38,"R")</f>
        <v>6</v>
      </c>
      <c r="AN44">
        <f>COUNTIF($AN$4:$AN$38,"R")</f>
        <v>6</v>
      </c>
      <c r="AO44">
        <f>COUNTIF($AO$4:$AO$38,"R")</f>
        <v>6</v>
      </c>
      <c r="AP44">
        <f>COUNTIF($AP$4:$AP$38,"R")</f>
        <v>8</v>
      </c>
      <c r="AQ44">
        <f>COUNTIF($AQ$4:$AQ$38,"R")</f>
        <v>5</v>
      </c>
      <c r="AU44">
        <f>COUNTIF($AU$4:$AU$38,"R")</f>
        <v>6</v>
      </c>
      <c r="AV44">
        <f>COUNTIF($AV$4:$AV$38,"R")</f>
        <v>4</v>
      </c>
      <c r="AW44">
        <f>COUNTIF($AW$4:$AW$38,"R")</f>
        <v>6</v>
      </c>
      <c r="AX44">
        <f>COUNTIF($AX$4:$AX$38,"R")</f>
        <v>6</v>
      </c>
      <c r="AY44">
        <f>COUNTIF($AY$4:$AY$38,"R")</f>
        <v>8</v>
      </c>
      <c r="AZ44">
        <f>COUNTIF($AZ$4:$AZ$38,"R")</f>
        <v>5</v>
      </c>
      <c r="BA44">
        <f>COUNTIF($BA$4:$BA$38,"R")</f>
        <v>6</v>
      </c>
      <c r="BE44">
        <f>COUNTIF($BE$4:$BE$38,"R")</f>
        <v>6</v>
      </c>
      <c r="BF44">
        <f>COUNTIF($BF$4:$BF$38,"R")</f>
        <v>4</v>
      </c>
      <c r="BG44">
        <f>COUNTIF($BG$4:$BG$38,"R")</f>
        <v>6</v>
      </c>
      <c r="BH44">
        <f>COUNTIF($BH$4:$BH$38,"R")</f>
        <v>8</v>
      </c>
      <c r="BI44">
        <f>COUNTIF($BI$4:$BI$38,"R")</f>
        <v>5</v>
      </c>
      <c r="BJ44">
        <f>COUNTIF($BJ$4:$BJ$38,"R")</f>
        <v>6</v>
      </c>
      <c r="BK44">
        <f>COUNTIF($BK$4:$BK$38,"R")</f>
        <v>6</v>
      </c>
      <c r="BO44">
        <f>COUNTIF($BO$4:$BO$38,"R")</f>
        <v>6</v>
      </c>
      <c r="BP44">
        <f>COUNTIF($BP$4:$BP$38,"R")</f>
        <v>4</v>
      </c>
      <c r="BQ44">
        <f>COUNTIF($BQ$4:$BQ$38,"R")</f>
        <v>8</v>
      </c>
      <c r="BR44">
        <f>COUNTIF($BR$4:$BR$38,"R")</f>
        <v>5</v>
      </c>
      <c r="BS44">
        <f>COUNTIF($BS$4:$BS$38,"R")</f>
        <v>6</v>
      </c>
      <c r="BT44">
        <f>COUNTIF($BT$4:$BT$38,"R")</f>
        <v>6</v>
      </c>
      <c r="BU44">
        <f>COUNTIF($BU$4:$BU$38,"R")</f>
        <v>6</v>
      </c>
      <c r="BY44">
        <f>COUNTIF($BY$4:$BY$38,"R")</f>
        <v>6</v>
      </c>
      <c r="BZ44">
        <f>COUNTIF($BZ$4:$BZ$38,"R")</f>
        <v>6</v>
      </c>
      <c r="CA44">
        <f>COUNTIF($CA$4:$CA$38,"R")</f>
        <v>5</v>
      </c>
      <c r="CB44">
        <f>COUNTIF($CB$4:$CB$38,"R")</f>
        <v>6</v>
      </c>
      <c r="CC44">
        <f>COUNTIF($CC$4:$CC$38,"R")</f>
        <v>6</v>
      </c>
      <c r="CD44">
        <f>COUNTIF($CD$4:$CD$38,"R")</f>
        <v>6</v>
      </c>
      <c r="CE44">
        <f>COUNTIF($CE$4:$CE$38,"R")</f>
        <v>6</v>
      </c>
      <c r="CI44">
        <f>COUNTIF($CI$4:$CI$38,"R")</f>
        <v>8</v>
      </c>
      <c r="CJ44">
        <f>COUNTIF($CJ$4:$CJ$38,"R")</f>
        <v>3</v>
      </c>
      <c r="CK44">
        <f>COUNTIF($CK$4:$CK$38,"R")</f>
        <v>6</v>
      </c>
      <c r="CL44">
        <f>COUNTIF($CL$4:$CL$38,"R")</f>
        <v>6</v>
      </c>
      <c r="CM44">
        <f>COUNTIF($CM$4:$CM$38,"R")</f>
        <v>6</v>
      </c>
      <c r="CN44">
        <f>COUNTIF($CN$4:$CN$38,"R")</f>
        <v>6</v>
      </c>
      <c r="CO44">
        <f>COUNTIF($CO$4:$CO$38,"R")</f>
        <v>8</v>
      </c>
    </row>
    <row r="45" spans="1:96" x14ac:dyDescent="0.25">
      <c r="Q45">
        <f>COUNTIF($Q$4:$Q$38,"RC")</f>
        <v>0</v>
      </c>
      <c r="R45">
        <f>COUNTIF($R$4:$R$38,"RC")</f>
        <v>0</v>
      </c>
      <c r="S45">
        <f>COUNTIF($S$4:$S$38,"RC")</f>
        <v>0</v>
      </c>
      <c r="T45">
        <f>COUNTIF($T$4:$T$38,"RC")</f>
        <v>0</v>
      </c>
      <c r="U45">
        <f>COUNTIF($U$4:$U$38,"RC")</f>
        <v>0</v>
      </c>
      <c r="V45">
        <f>COUNTIF($V$4:$V$38,"RC")</f>
        <v>0</v>
      </c>
      <c r="W45">
        <f>COUNTIF($W$4:$W$38,"RC")</f>
        <v>0</v>
      </c>
      <c r="AA45">
        <f>COUNTIF($AA$4:$AA$38,"RC")</f>
        <v>0</v>
      </c>
      <c r="AB45">
        <f>COUNTIF($AB$4:$AB$38,"RC")</f>
        <v>0</v>
      </c>
      <c r="AC45">
        <f>COUNTIF($AC$4:$AC$38,"RC")</f>
        <v>0</v>
      </c>
      <c r="AD45">
        <f>COUNTIF($AD$4:$AD$38,"RC")</f>
        <v>0</v>
      </c>
      <c r="AE45">
        <f>COUNTIF($AE$4:$AE$38,"RC")</f>
        <v>0</v>
      </c>
      <c r="AF45">
        <f>COUNTIF($AF$4:$AF$38,"RC")</f>
        <v>0</v>
      </c>
      <c r="AG45">
        <f>COUNTIF($AG$4:$AG$38,"RC")</f>
        <v>0</v>
      </c>
      <c r="AK45">
        <f>COUNTIF($AK$4:$AK$38,"RC")</f>
        <v>0</v>
      </c>
      <c r="AL45">
        <f>COUNTIF($AL$4:$AL$38,"RC")</f>
        <v>0</v>
      </c>
      <c r="AM45">
        <f>COUNTIF($AM$4:$AM$38,"RC")</f>
        <v>0</v>
      </c>
      <c r="AN45">
        <f>COUNTIF($AN$4:$AN$38,"RC")</f>
        <v>0</v>
      </c>
      <c r="AO45">
        <f>COUNTIF($AO$4:$AO$38,"RC")</f>
        <v>0</v>
      </c>
      <c r="AP45">
        <f>COUNTIF($AP$4:$AP$38,"RC")</f>
        <v>0</v>
      </c>
      <c r="AQ45">
        <f>COUNTIF($AQ$4:$AQ$38,"RC")</f>
        <v>0</v>
      </c>
      <c r="AU45">
        <f>COUNTIF($AU$4:$AU$38,"RC")</f>
        <v>0</v>
      </c>
      <c r="AV45">
        <f>COUNTIF($AV$4:$AV$38,"RC")</f>
        <v>0</v>
      </c>
      <c r="AW45">
        <f>COUNTIF($AW$4:$AW$38,"RC")</f>
        <v>0</v>
      </c>
      <c r="AX45">
        <f>COUNTIF($AX$4:$AX$38,"RC")</f>
        <v>0</v>
      </c>
      <c r="AY45">
        <f>COUNTIF($AY$4:$AY$38,"RC")</f>
        <v>0</v>
      </c>
      <c r="AZ45">
        <f>COUNTIF($AZ$4:$AZ$38,"RC")</f>
        <v>0</v>
      </c>
      <c r="BA45">
        <f>COUNTIF($BA$4:$BA$38,"RC")</f>
        <v>0</v>
      </c>
      <c r="BE45">
        <f>COUNTIF($BE$4:$BE$38,"RC")</f>
        <v>0</v>
      </c>
      <c r="BF45">
        <f>COUNTIF($BF$4:$BF$38,"RC")</f>
        <v>0</v>
      </c>
      <c r="BG45">
        <f>COUNTIF($BG$4:$BG$38,"RC")</f>
        <v>0</v>
      </c>
      <c r="BH45">
        <f>COUNTIF($BH$4:$BH$38,"RC")</f>
        <v>0</v>
      </c>
      <c r="BI45">
        <f>COUNTIF($BI$4:$BI$38,"RC")</f>
        <v>0</v>
      </c>
      <c r="BJ45">
        <f>COUNTIF($BJ$4:$BJ$38,"RC")</f>
        <v>0</v>
      </c>
      <c r="BK45">
        <f>COUNTIF($BK$4:$BK$38,"RC")</f>
        <v>0</v>
      </c>
      <c r="BO45">
        <f>COUNTIF($BO$4:$BO$38,"RC")</f>
        <v>0</v>
      </c>
      <c r="BP45">
        <f>COUNTIF($BP$4:$BP$38,"RC")</f>
        <v>0</v>
      </c>
      <c r="BQ45">
        <f>COUNTIF($BQ$4:$BQ$38,"RC")</f>
        <v>0</v>
      </c>
      <c r="BR45">
        <f>COUNTIF($BR$4:$BR$38,"RC")</f>
        <v>0</v>
      </c>
      <c r="BS45">
        <f>COUNTIF($BS$4:$BS$38,"RC")</f>
        <v>0</v>
      </c>
      <c r="BT45">
        <f>COUNTIF($BT$4:$BT$38,"RC")</f>
        <v>0</v>
      </c>
      <c r="BU45">
        <f>COUNTIF($BU$4:$BU$38,"RC")</f>
        <v>0</v>
      </c>
      <c r="BY45">
        <f>COUNTIF($BY$4:$BY$38,"RC")</f>
        <v>0</v>
      </c>
      <c r="BZ45">
        <f>COUNTIF($BZ$4:$BZ$38,"RC")</f>
        <v>0</v>
      </c>
      <c r="CA45">
        <f>COUNTIF($CA$4:$CA$38,"RC")</f>
        <v>0</v>
      </c>
      <c r="CB45">
        <f>COUNTIF($CB$4:$CB$38,"RC")</f>
        <v>0</v>
      </c>
      <c r="CC45">
        <f>COUNTIF($CC$4:$CC$38,"RC")</f>
        <v>0</v>
      </c>
      <c r="CD45">
        <f>COUNTIF($CD$4:$CD$38,"RC")</f>
        <v>0</v>
      </c>
      <c r="CE45">
        <f>COUNTIF($CE$4:$CE$38,"RC")</f>
        <v>0</v>
      </c>
      <c r="CI45">
        <f>COUNTIF($CI$4:$CI$38,"RC")</f>
        <v>0</v>
      </c>
      <c r="CJ45">
        <f>COUNTIF($CJ$4:$CJ$38,"RC")</f>
        <v>0</v>
      </c>
      <c r="CK45">
        <f>COUNTIF($CK$4:$CK$38,"RC")</f>
        <v>0</v>
      </c>
      <c r="CL45">
        <f>COUNTIF($CL$4:$CL$38,"RC")</f>
        <v>0</v>
      </c>
      <c r="CM45">
        <f>COUNTIF($CM$4:$CM$38,"RC")</f>
        <v>0</v>
      </c>
      <c r="CN45">
        <f>COUNTIF($CN$4:$CN$38,"RC")</f>
        <v>0</v>
      </c>
      <c r="CO45">
        <f>COUNTIF($CO$4:$CO$38,"RC")</f>
        <v>0</v>
      </c>
    </row>
    <row r="46" spans="1:96" x14ac:dyDescent="0.25">
      <c r="Q46">
        <f>COUNTIF($Q$4:$Q$38,"MAL")</f>
        <v>0</v>
      </c>
      <c r="R46">
        <f>COUNTIF($R$4:$R$38,"MAL")</f>
        <v>0</v>
      </c>
      <c r="S46">
        <f>COUNTIF($S$4:$S$38,"MAL")</f>
        <v>0</v>
      </c>
      <c r="T46">
        <f>COUNTIF($T$4:$T$38,"MAL")</f>
        <v>0</v>
      </c>
      <c r="U46">
        <f>COUNTIF($U$4:$U$38,"MAL")</f>
        <v>0</v>
      </c>
      <c r="V46">
        <f>COUNTIF($V$4:$V$38,"MAL")</f>
        <v>0</v>
      </c>
      <c r="W46">
        <f>COUNTIF($W$4:$W$38,"MAL")</f>
        <v>0</v>
      </c>
      <c r="AA46">
        <f>COUNTIF($AA$4:$AA$38,"MAL")</f>
        <v>0</v>
      </c>
      <c r="AB46">
        <f>COUNTIF($AB$4:$AB$38,"MAL")</f>
        <v>0</v>
      </c>
      <c r="AC46">
        <f>COUNTIF($AC$4:$AC$38,"MAL")</f>
        <v>0</v>
      </c>
      <c r="AD46">
        <f>COUNTIF($AD$4:$AD$38,"MAL")</f>
        <v>0</v>
      </c>
      <c r="AE46">
        <f>COUNTIF($AE$4:$AE$38,"MAL")</f>
        <v>0</v>
      </c>
      <c r="AF46">
        <f>COUNTIF($AF$4:$AF$38,"MAL")</f>
        <v>0</v>
      </c>
      <c r="AG46">
        <f>COUNTIF($AG$4:$AG$38,"MAL")</f>
        <v>0</v>
      </c>
      <c r="AK46">
        <f>COUNTIF($AK$4:$AK$38,"MAL")</f>
        <v>0</v>
      </c>
      <c r="AL46">
        <f>COUNTIF($AL$4:$AL$38,"MAL")</f>
        <v>0</v>
      </c>
      <c r="AM46">
        <f>COUNTIF($AM$4:$AM$38,"MAL")</f>
        <v>0</v>
      </c>
      <c r="AN46">
        <f>COUNTIF($AN$4:$AN$38,"MAL")</f>
        <v>0</v>
      </c>
      <c r="AO46">
        <f>COUNTIF($AO$4:$AO$38,"MAL")</f>
        <v>0</v>
      </c>
      <c r="AP46">
        <f>COUNTIF($AP$4:$AP$38,"MAL")</f>
        <v>0</v>
      </c>
      <c r="AQ46">
        <f>COUNTIF($AQ$4:$AQ$38,"MAL")</f>
        <v>0</v>
      </c>
      <c r="AU46">
        <f>COUNTIF($AU$4:$AU$38,"MAL")</f>
        <v>0</v>
      </c>
      <c r="AV46">
        <f>COUNTIF($AV$4:$AV$38,"MAL")</f>
        <v>0</v>
      </c>
      <c r="AW46">
        <f>COUNTIF($AW$4:$AW$38,"MAL")</f>
        <v>0</v>
      </c>
      <c r="AX46">
        <f>COUNTIF($AX$4:$AX$38,"MAL")</f>
        <v>0</v>
      </c>
      <c r="AY46">
        <f>COUNTIF($AY$4:$AY$38,"MAL")</f>
        <v>0</v>
      </c>
      <c r="AZ46">
        <f>COUNTIF($AZ$4:$AZ$38,"MAL")</f>
        <v>0</v>
      </c>
      <c r="BA46">
        <f>COUNTIF($BA$4:$BA$38,"MAL")</f>
        <v>0</v>
      </c>
      <c r="BE46">
        <f>COUNTIF($BE$4:$BE$38,"MAL")</f>
        <v>0</v>
      </c>
      <c r="BF46">
        <f>COUNTIF($BF$4:$BF$38,"MAL")</f>
        <v>0</v>
      </c>
      <c r="BG46">
        <f>COUNTIF($BG$4:$BG$38,"MAL")</f>
        <v>0</v>
      </c>
      <c r="BH46">
        <f>COUNTIF($BH$4:$BH$38,"MAL")</f>
        <v>0</v>
      </c>
      <c r="BI46">
        <f>COUNTIF($BI$4:$BI$38,"MAL")</f>
        <v>0</v>
      </c>
      <c r="BJ46">
        <f>COUNTIF($BJ$4:$BJ$38,"MAL")</f>
        <v>0</v>
      </c>
      <c r="BK46">
        <f>COUNTIF($BK$4:$BK$38,"MAL")</f>
        <v>0</v>
      </c>
      <c r="BO46">
        <f>COUNTIF($BO$4:$BO$38,"MAL")</f>
        <v>0</v>
      </c>
      <c r="BP46">
        <f>COUNTIF($BP$4:$BP$38,"MAL")</f>
        <v>0</v>
      </c>
      <c r="BQ46">
        <f>COUNTIF($BQ$4:$BQ$38,"MAL")</f>
        <v>0</v>
      </c>
      <c r="BR46">
        <f>COUNTIF($BR$4:$BR$38,"MAL")</f>
        <v>0</v>
      </c>
      <c r="BS46">
        <f>COUNTIF($BS$4:$BS$38,"MAL")</f>
        <v>0</v>
      </c>
      <c r="BT46">
        <f>COUNTIF($BT$4:$BT$38,"MAL")</f>
        <v>0</v>
      </c>
      <c r="BU46">
        <f>COUNTIF($BU$4:$BU$38,"MAL")</f>
        <v>0</v>
      </c>
      <c r="BY46">
        <f>COUNTIF($BY$4:$BY$38,"MAL")</f>
        <v>0</v>
      </c>
      <c r="BZ46">
        <f>COUNTIF($BZ$4:$BZ$38,"MAL")</f>
        <v>0</v>
      </c>
      <c r="CA46">
        <f>COUNTIF($CA$4:$CA$38,"MAL")</f>
        <v>0</v>
      </c>
      <c r="CB46">
        <f>COUNTIF($CB$4:$CB$38,"MAL")</f>
        <v>0</v>
      </c>
      <c r="CC46">
        <f>COUNTIF($CC$4:$CC$38,"MAL")</f>
        <v>0</v>
      </c>
      <c r="CD46">
        <f>COUNTIF($CD$4:$CD$38,"MAL")</f>
        <v>0</v>
      </c>
      <c r="CE46">
        <f>COUNTIF($CE$4:$CE$38,"MAL")</f>
        <v>0</v>
      </c>
      <c r="CI46">
        <f>COUNTIF($CI$4:$CI$38,"MAL")</f>
        <v>0</v>
      </c>
      <c r="CJ46">
        <f>COUNTIF($CJ$4:$CJ$38,"MAL")</f>
        <v>0</v>
      </c>
      <c r="CK46">
        <f>COUNTIF($CK$4:$CK$38,"MAL")</f>
        <v>0</v>
      </c>
      <c r="CL46">
        <f>COUNTIF($CL$4:$CL$38,"MAL")</f>
        <v>0</v>
      </c>
      <c r="CM46">
        <f>COUNTIF($CM$4:$CM$38,"MAL")</f>
        <v>0</v>
      </c>
      <c r="CN46">
        <f>COUNTIF($CN$4:$CN$38,"MAL")</f>
        <v>0</v>
      </c>
      <c r="CO46">
        <f>COUNTIF($CO$4:$CO$38,"MAL")</f>
        <v>0</v>
      </c>
    </row>
    <row r="47" spans="1:96" x14ac:dyDescent="0.25">
      <c r="Q47">
        <f>COUNTIF($Q$4:$Q$38,"L104")</f>
        <v>0</v>
      </c>
      <c r="R47">
        <f>COUNTIF($R$4:$R$38,"L104")</f>
        <v>0</v>
      </c>
      <c r="S47">
        <f>COUNTIF($S$4:$S$38,"L104")</f>
        <v>0</v>
      </c>
      <c r="T47">
        <f>COUNTIF($T$4:$T$38,"L104")</f>
        <v>0</v>
      </c>
      <c r="U47">
        <f>COUNTIF($U$4:$U$38,"L104")</f>
        <v>0</v>
      </c>
      <c r="V47">
        <f>COUNTIF($V$4:$V$38,"L104")</f>
        <v>0</v>
      </c>
      <c r="W47">
        <f>COUNTIF($W$4:$W$38,"L104")</f>
        <v>0</v>
      </c>
      <c r="AA47">
        <f>COUNTIF($AA$4:$AA$38,"L104")</f>
        <v>0</v>
      </c>
      <c r="AB47">
        <f>COUNTIF($AB$4:$AB$38,"L104")</f>
        <v>0</v>
      </c>
      <c r="AC47">
        <f>COUNTIF($AC$4:$AC$38,"L104")</f>
        <v>0</v>
      </c>
      <c r="AD47">
        <f>COUNTIF($AD$4:$AD$38,"L104")</f>
        <v>0</v>
      </c>
      <c r="AE47">
        <f>COUNTIF($AE$4:$AE$38,"L104")</f>
        <v>0</v>
      </c>
      <c r="AF47">
        <f>COUNTIF($AF$4:$AF$38,"L104")</f>
        <v>0</v>
      </c>
      <c r="AG47">
        <f>COUNTIF($AG$4:$AG$38,"L104")</f>
        <v>0</v>
      </c>
      <c r="AK47">
        <f>COUNTIF($AK$4:$AK$38,"L104")</f>
        <v>0</v>
      </c>
      <c r="AL47">
        <f>COUNTIF($AL$4:$AL$38,"L104")</f>
        <v>0</v>
      </c>
      <c r="AM47">
        <f>COUNTIF($AM$4:$AM$38,"L104")</f>
        <v>0</v>
      </c>
      <c r="AN47">
        <f>COUNTIF($AN$4:$AN$38,"L104")</f>
        <v>0</v>
      </c>
      <c r="AO47">
        <f>COUNTIF($AO$4:$AO$38,"L104")</f>
        <v>0</v>
      </c>
      <c r="AP47">
        <f>COUNTIF($AP$4:$AP$38,"L104")</f>
        <v>0</v>
      </c>
      <c r="AQ47">
        <f>COUNTIF($AQ$4:$AQ$38,"L104")</f>
        <v>0</v>
      </c>
      <c r="AU47">
        <f>COUNTIF($AU$4:$AU$38,"L104")</f>
        <v>0</v>
      </c>
      <c r="AV47">
        <f>COUNTIF($AV$4:$AV$38,"L104")</f>
        <v>0</v>
      </c>
      <c r="AW47">
        <f>COUNTIF($AW$4:$AW$38,"L104")</f>
        <v>0</v>
      </c>
      <c r="AX47">
        <f>COUNTIF($AX$4:$AX$38,"L104")</f>
        <v>0</v>
      </c>
      <c r="AY47">
        <f>COUNTIF($AY$4:$AY$38,"L104")</f>
        <v>0</v>
      </c>
      <c r="AZ47">
        <f>COUNTIF($AZ$4:$AZ$38,"L104")</f>
        <v>0</v>
      </c>
      <c r="BA47">
        <f>COUNTIF($BA$4:$BA$38,"L104")</f>
        <v>0</v>
      </c>
      <c r="BE47">
        <f>COUNTIF($BE$4:$BE$38,"L104")</f>
        <v>0</v>
      </c>
      <c r="BF47">
        <f>COUNTIF($BF$4:$BF$38,"L104")</f>
        <v>0</v>
      </c>
      <c r="BG47">
        <f>COUNTIF($BG$4:$BG$38,"L104")</f>
        <v>0</v>
      </c>
      <c r="BH47">
        <f>COUNTIF($BH$4:$BH$38,"L104")</f>
        <v>0</v>
      </c>
      <c r="BI47">
        <f>COUNTIF($BI$4:$BI$38,"L104")</f>
        <v>0</v>
      </c>
      <c r="BJ47">
        <f>COUNTIF($BJ$4:$BJ$38,"L104")</f>
        <v>0</v>
      </c>
      <c r="BK47">
        <f>COUNTIF($BK$4:$BK$38,"L104")</f>
        <v>0</v>
      </c>
      <c r="BO47">
        <f>COUNTIF($BO$4:$BO$38,"L104")</f>
        <v>0</v>
      </c>
      <c r="BP47">
        <f>COUNTIF($BP$4:$BP$38,"L104")</f>
        <v>0</v>
      </c>
      <c r="BQ47">
        <f>COUNTIF($BQ$4:$BQ$38,"L104")</f>
        <v>0</v>
      </c>
      <c r="BR47">
        <f>COUNTIF($BR$4:$BR$38,"L104")</f>
        <v>0</v>
      </c>
      <c r="BS47">
        <f>COUNTIF($BS$4:$BS$38,"L104")</f>
        <v>0</v>
      </c>
      <c r="BT47">
        <f>COUNTIF($BT$4:$BT$38,"L104")</f>
        <v>0</v>
      </c>
      <c r="BU47">
        <f>COUNTIF($BU$4:$BU$38,"L104")</f>
        <v>0</v>
      </c>
      <c r="BY47">
        <f>COUNTIF($BY$4:$BY$38,"L104")</f>
        <v>0</v>
      </c>
      <c r="BZ47">
        <f>COUNTIF($BZ$4:$BZ$38,"L104")</f>
        <v>0</v>
      </c>
      <c r="CA47">
        <f>COUNTIF($CA$4:$CA$38,"L104")</f>
        <v>0</v>
      </c>
      <c r="CB47">
        <f>COUNTIF($CB$4:$CB$38,"L104")</f>
        <v>0</v>
      </c>
      <c r="CC47">
        <f>COUNTIF($CC$4:$CC$38,"L104")</f>
        <v>0</v>
      </c>
      <c r="CD47">
        <f>COUNTIF($CD$4:$CD$38,"L104")</f>
        <v>0</v>
      </c>
      <c r="CE47">
        <f>COUNTIF($CE$4:$CE$38,"L104")</f>
        <v>0</v>
      </c>
      <c r="CI47">
        <f>COUNTIF($CI$4:$CI$38,"L104")</f>
        <v>0</v>
      </c>
      <c r="CJ47">
        <f>COUNTIF($CJ$4:$CJ$38,"L104")</f>
        <v>0</v>
      </c>
      <c r="CK47">
        <f>COUNTIF($CK$4:$CK$38,"L104")</f>
        <v>0</v>
      </c>
      <c r="CL47">
        <f>COUNTIF($CL$4:$CL$38,"L104")</f>
        <v>0</v>
      </c>
      <c r="CM47">
        <f>COUNTIF($CM$4:$CM$38,"L104")</f>
        <v>0</v>
      </c>
      <c r="CN47">
        <f>COUNTIF($CN$4:$CN$38,"L104")</f>
        <v>0</v>
      </c>
      <c r="CO47">
        <f>COUNTIF($CO$4:$CO$38,"L104")</f>
        <v>0</v>
      </c>
    </row>
  </sheetData>
  <conditionalFormatting sqref="A1:XFD1048576">
    <cfRule type="cellIs" dxfId="5" priority="1" operator="equal">
      <formula>"RC"</formula>
    </cfRule>
    <cfRule type="cellIs" dxfId="4" priority="2" operator="equal">
      <formula>"R"</formula>
    </cfRule>
    <cfRule type="cellIs" dxfId="3" priority="3" operator="equal">
      <formula>"S"</formula>
    </cfRule>
    <cfRule type="cellIs" dxfId="2" priority="4" operator="equal">
      <formula>"N"</formula>
    </cfRule>
  </conditionalFormatting>
  <dataValidations count="1">
    <dataValidation type="list" allowBlank="1" showInputMessage="1" showErrorMessage="1" sqref="CI4:CO38 BY4:CE38 BO4:BU38 BE4:BK38 AU4:BA38 AK4:AQ38 AA4:AG38 Q4:W38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34BAE2-7BE4-4D8B-BF1B-63C8895F70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2016_45_52_</vt:lpstr>
      <vt:lpstr>Classified as UnClassified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2016-10-21T14:47:35Z</dcterms:modified>
</cp:coreProperties>
</file>