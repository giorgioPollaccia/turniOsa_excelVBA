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vbaProject.bin" ContentType="application/vnd.ms-office.vbaProject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ctrlProps/ctrlProp8.xml" ContentType="application/vnd.ms-excel.controlproperties+xml"/>
  <Override PartName="/xl/ctrlProps/ctrlProp14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9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ustomProperty1.bin" ContentType="application/vnd.openxmlformats-officedocument.spreadsheetml.customProperty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ctrlProps/ctrlProp7.xml" ContentType="application/vnd.ms-excel.controlproperties+xml"/>
  <Override PartName="/xl/ctrlProps/ctrlProp13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date1904="1" codeName="ThisWorkbook"/>
  <bookViews>
    <workbookView xWindow="2250" yWindow="1230" windowWidth="9900" windowHeight="2910" tabRatio="878" firstSheet="3" activeTab="10"/>
  </bookViews>
  <sheets>
    <sheet name="Sheet1" sheetId="100" r:id="rId1"/>
    <sheet name="COMANDI" sheetId="89" r:id="rId2"/>
    <sheet name="ANAGRAFICA" sheetId="131" r:id="rId3"/>
    <sheet name="MATRICETURNI" sheetId="3" r:id="rId4"/>
    <sheet name="GIUSTIFICATIVI_ASSENZE" sheetId="252" r:id="rId5"/>
    <sheet name="TURNAZIONE_OPERATORE" sheetId="4" r:id="rId6"/>
    <sheet name="Classified as UnClassified" sheetId="6" state="hidden" r:id="rId7"/>
    <sheet name="2016_31_35" sheetId="354" r:id="rId8"/>
    <sheet name="2016_36_39" sheetId="351" r:id="rId9"/>
    <sheet name="2016_40_44" sheetId="348" r:id="rId10"/>
    <sheet name="2016_45_52" sheetId="397" r:id="rId11"/>
    <sheet name="xl_DCF_History" sheetId="5" state="veryHidden" r:id="rId12"/>
  </sheets>
  <functionGroups/>
  <definedNames>
    <definedName name="anagrafica">#REF!</definedName>
    <definedName name="DatiEsterni_1" localSheetId="7" hidden="1">'2016_31_35'!$A$9:$C$41</definedName>
    <definedName name="DatiEsterni_1" localSheetId="8" hidden="1">'2016_36_39'!$A$9:$C$41</definedName>
    <definedName name="DatiEsterni_1" localSheetId="9" hidden="1">'2016_40_44'!$A$9:$C$41</definedName>
    <definedName name="DatiEsterni_1" localSheetId="10" hidden="1">'2016_45_52'!$A$9:$C$45</definedName>
    <definedName name="DatiEsterni_2" localSheetId="7" hidden="1">'2016_31_35'!$J$9:$U$41</definedName>
    <definedName name="DatiEsterni_2" localSheetId="8" hidden="1">'2016_36_39'!$J$9:$U$41</definedName>
    <definedName name="DatiEsterni_2" localSheetId="9" hidden="1">'2016_40_44'!$J$9:$U$41</definedName>
    <definedName name="DatiEsterni_2" localSheetId="10" hidden="1">'2016_45_52'!$J$9:$U$45</definedName>
    <definedName name="location">COMANDI!$B$2</definedName>
    <definedName name="Query_da_SQLite3_Datasource" localSheetId="2" hidden="1">ANAGRAFICA!$A$4:$D$40</definedName>
    <definedName name="Query_da_SQLite3_Datasource" localSheetId="3" hidden="1">MATRICETURNI!$W$4:$Y$14</definedName>
    <definedName name="Query_from_SQLite3_Datasource" localSheetId="4" hidden="1">GIUSTIFICATIVI_ASSENZE!$A$4:$E$56</definedName>
    <definedName name="Query_from_SQLite3_Datasource_1" localSheetId="3" hidden="1">MATRICETURNI!$A$4:$M$97</definedName>
    <definedName name="simboliturno">Tabella_Query_da_SQLite3_Datasource26[SIMBOLO]</definedName>
    <definedName name="source">COMANDI!$B$1</definedName>
    <definedName name="turnazione_operatore" localSheetId="5" hidden="1">TURNAZIONE_OPERATORE!$A$4:$P$3028</definedName>
  </definedNames>
  <calcPr calcId="125725"/>
</workbook>
</file>

<file path=xl/calcChain.xml><?xml version="1.0" encoding="utf-8"?>
<calcChain xmlns="http://schemas.openxmlformats.org/spreadsheetml/2006/main">
  <c r="DC54" i="397"/>
  <c r="DC53"/>
  <c r="DC52"/>
  <c r="DC51"/>
  <c r="DC50"/>
  <c r="DC49"/>
  <c r="DC48"/>
  <c r="DC47"/>
  <c r="DC46"/>
  <c r="DB54"/>
  <c r="DB53"/>
  <c r="DB52"/>
  <c r="DB51"/>
  <c r="DB50"/>
  <c r="DB49"/>
  <c r="DB48"/>
  <c r="DB47"/>
  <c r="DB46"/>
  <c r="DA54"/>
  <c r="DA53"/>
  <c r="DA52"/>
  <c r="DA51"/>
  <c r="DA50"/>
  <c r="DA49"/>
  <c r="DA48"/>
  <c r="DA47"/>
  <c r="DA46"/>
  <c r="CZ54"/>
  <c r="CZ53"/>
  <c r="CZ52"/>
  <c r="CZ51"/>
  <c r="CZ50"/>
  <c r="CZ49"/>
  <c r="CZ48"/>
  <c r="CZ47"/>
  <c r="CZ46"/>
  <c r="CY54"/>
  <c r="CY53"/>
  <c r="CY52"/>
  <c r="CY51"/>
  <c r="CY50"/>
  <c r="CY49"/>
  <c r="CY48"/>
  <c r="CY47"/>
  <c r="CY46"/>
  <c r="CX54"/>
  <c r="CX53"/>
  <c r="CX52"/>
  <c r="CX51"/>
  <c r="CX50"/>
  <c r="CX49"/>
  <c r="CX48"/>
  <c r="CX47"/>
  <c r="CX46"/>
  <c r="CW54"/>
  <c r="CW53"/>
  <c r="CW52"/>
  <c r="CW51"/>
  <c r="CW50"/>
  <c r="CW49"/>
  <c r="CW48"/>
  <c r="CW47"/>
  <c r="CW46"/>
  <c r="CR54"/>
  <c r="CR53"/>
  <c r="CR52"/>
  <c r="CR51"/>
  <c r="CR50"/>
  <c r="CR49"/>
  <c r="CR48"/>
  <c r="CR47"/>
  <c r="CR46"/>
  <c r="CQ54"/>
  <c r="CQ53"/>
  <c r="CQ52"/>
  <c r="CQ51"/>
  <c r="CQ50"/>
  <c r="CQ49"/>
  <c r="CQ48"/>
  <c r="CQ47"/>
  <c r="CQ46"/>
  <c r="CP54"/>
  <c r="CP53"/>
  <c r="CP52"/>
  <c r="CP51"/>
  <c r="CP50"/>
  <c r="CP49"/>
  <c r="CP48"/>
  <c r="CP47"/>
  <c r="CP46"/>
  <c r="CO54"/>
  <c r="CO53"/>
  <c r="CO52"/>
  <c r="CO51"/>
  <c r="CO50"/>
  <c r="CO49"/>
  <c r="CO48"/>
  <c r="CO47"/>
  <c r="CO46"/>
  <c r="CN54"/>
  <c r="CN53"/>
  <c r="CN52"/>
  <c r="CN51"/>
  <c r="CN50"/>
  <c r="CN49"/>
  <c r="CN48"/>
  <c r="CN47"/>
  <c r="CN46"/>
  <c r="CM54"/>
  <c r="CM53"/>
  <c r="CM52"/>
  <c r="CM51"/>
  <c r="CM50"/>
  <c r="CM49"/>
  <c r="CM48"/>
  <c r="CM47"/>
  <c r="CM46"/>
  <c r="CL54"/>
  <c r="CL53"/>
  <c r="CL52"/>
  <c r="CL51"/>
  <c r="CL50"/>
  <c r="CL49"/>
  <c r="CL48"/>
  <c r="CL47"/>
  <c r="CL46"/>
  <c r="CG54"/>
  <c r="CG53"/>
  <c r="CG52"/>
  <c r="CG51"/>
  <c r="CG50"/>
  <c r="CG49"/>
  <c r="CG48"/>
  <c r="CG47"/>
  <c r="CG46"/>
  <c r="CF54"/>
  <c r="CF53"/>
  <c r="CF52"/>
  <c r="CF51"/>
  <c r="CF50"/>
  <c r="CF49"/>
  <c r="CF48"/>
  <c r="CF47"/>
  <c r="CF46"/>
  <c r="CE54"/>
  <c r="CE53"/>
  <c r="CE52"/>
  <c r="CE51"/>
  <c r="CE50"/>
  <c r="CE49"/>
  <c r="CE48"/>
  <c r="CE47"/>
  <c r="CE46"/>
  <c r="CD54"/>
  <c r="CD53"/>
  <c r="CD52"/>
  <c r="CD51"/>
  <c r="CD50"/>
  <c r="CD49"/>
  <c r="CD48"/>
  <c r="CD47"/>
  <c r="CD46"/>
  <c r="CC54"/>
  <c r="CC53"/>
  <c r="CC52"/>
  <c r="CC51"/>
  <c r="CC50"/>
  <c r="CC49"/>
  <c r="CC48"/>
  <c r="CC47"/>
  <c r="CC46"/>
  <c r="CB54"/>
  <c r="CB53"/>
  <c r="CB52"/>
  <c r="CB51"/>
  <c r="CB50"/>
  <c r="CB49"/>
  <c r="CB48"/>
  <c r="CB47"/>
  <c r="CB46"/>
  <c r="CA54"/>
  <c r="CA53"/>
  <c r="CA52"/>
  <c r="CA51"/>
  <c r="CA50"/>
  <c r="CA49"/>
  <c r="CA48"/>
  <c r="CA47"/>
  <c r="CA46"/>
  <c r="BV54"/>
  <c r="BV53"/>
  <c r="BV52"/>
  <c r="BV51"/>
  <c r="BV50"/>
  <c r="BV49"/>
  <c r="BV48"/>
  <c r="BV47"/>
  <c r="BV46"/>
  <c r="BU54"/>
  <c r="BU53"/>
  <c r="BU52"/>
  <c r="BU51"/>
  <c r="BU50"/>
  <c r="BU49"/>
  <c r="BU48"/>
  <c r="BU47"/>
  <c r="BU46"/>
  <c r="BT54"/>
  <c r="BT53"/>
  <c r="BT52"/>
  <c r="BT51"/>
  <c r="BT50"/>
  <c r="BT49"/>
  <c r="BT48"/>
  <c r="BT47"/>
  <c r="BT46"/>
  <c r="BS54"/>
  <c r="BS53"/>
  <c r="BS52"/>
  <c r="BS51"/>
  <c r="BS50"/>
  <c r="BS49"/>
  <c r="BS48"/>
  <c r="BS47"/>
  <c r="BS46"/>
  <c r="BR54"/>
  <c r="BR53"/>
  <c r="BR52"/>
  <c r="BR51"/>
  <c r="BR50"/>
  <c r="BR49"/>
  <c r="BR48"/>
  <c r="BR47"/>
  <c r="BR46"/>
  <c r="BQ54"/>
  <c r="BQ53"/>
  <c r="BQ52"/>
  <c r="BQ51"/>
  <c r="BQ50"/>
  <c r="BQ49"/>
  <c r="BQ48"/>
  <c r="BQ47"/>
  <c r="BQ46"/>
  <c r="BP54"/>
  <c r="BP53"/>
  <c r="BP52"/>
  <c r="BP51"/>
  <c r="BP50"/>
  <c r="BP49"/>
  <c r="BP48"/>
  <c r="BP47"/>
  <c r="BP46"/>
  <c r="BK54"/>
  <c r="BK53"/>
  <c r="BK52"/>
  <c r="BK51"/>
  <c r="BK50"/>
  <c r="BK49"/>
  <c r="BK48"/>
  <c r="BK47"/>
  <c r="BK46"/>
  <c r="BJ54"/>
  <c r="BJ53"/>
  <c r="BJ52"/>
  <c r="BJ51"/>
  <c r="BJ50"/>
  <c r="BJ49"/>
  <c r="BJ48"/>
  <c r="BJ47"/>
  <c r="BJ46"/>
  <c r="BI54"/>
  <c r="BI53"/>
  <c r="BI52"/>
  <c r="BI51"/>
  <c r="BI50"/>
  <c r="BI49"/>
  <c r="BI48"/>
  <c r="BI47"/>
  <c r="BI46"/>
  <c r="BH54"/>
  <c r="BH53"/>
  <c r="BH52"/>
  <c r="BH51"/>
  <c r="BH50"/>
  <c r="BH49"/>
  <c r="BH48"/>
  <c r="BH47"/>
  <c r="BH46"/>
  <c r="BG54"/>
  <c r="BG53"/>
  <c r="BG52"/>
  <c r="BG51"/>
  <c r="BG50"/>
  <c r="BG49"/>
  <c r="BG48"/>
  <c r="BG47"/>
  <c r="BG46"/>
  <c r="BF54"/>
  <c r="BF53"/>
  <c r="BF52"/>
  <c r="BF51"/>
  <c r="BF50"/>
  <c r="BF49"/>
  <c r="BF48"/>
  <c r="BF47"/>
  <c r="BF46"/>
  <c r="BE54"/>
  <c r="BE53"/>
  <c r="BE52"/>
  <c r="BE51"/>
  <c r="BE50"/>
  <c r="BE49"/>
  <c r="BE48"/>
  <c r="BE47"/>
  <c r="BE46"/>
  <c r="AZ54"/>
  <c r="AZ53"/>
  <c r="AZ52"/>
  <c r="AZ51"/>
  <c r="AZ50"/>
  <c r="AZ49"/>
  <c r="AZ48"/>
  <c r="AZ47"/>
  <c r="AZ46"/>
  <c r="AY54"/>
  <c r="AY53"/>
  <c r="AY52"/>
  <c r="AY51"/>
  <c r="AY50"/>
  <c r="AY49"/>
  <c r="AY48"/>
  <c r="AY47"/>
  <c r="AY46"/>
  <c r="AX54"/>
  <c r="AX53"/>
  <c r="AX52"/>
  <c r="AX51"/>
  <c r="AX50"/>
  <c r="AX49"/>
  <c r="AX48"/>
  <c r="AX47"/>
  <c r="AX46"/>
  <c r="AW54"/>
  <c r="AW53"/>
  <c r="AW52"/>
  <c r="AW51"/>
  <c r="AW50"/>
  <c r="AW49"/>
  <c r="AW48"/>
  <c r="AW47"/>
  <c r="AW46"/>
  <c r="AV54"/>
  <c r="AV53"/>
  <c r="AV52"/>
  <c r="AV51"/>
  <c r="AV50"/>
  <c r="AV49"/>
  <c r="AV48"/>
  <c r="AV47"/>
  <c r="AV46"/>
  <c r="AU54"/>
  <c r="AU53"/>
  <c r="AU52"/>
  <c r="AU51"/>
  <c r="AU50"/>
  <c r="AU49"/>
  <c r="AU48"/>
  <c r="AU47"/>
  <c r="AU46"/>
  <c r="AT54"/>
  <c r="AT53"/>
  <c r="AT52"/>
  <c r="AT51"/>
  <c r="AT50"/>
  <c r="AT49"/>
  <c r="AT48"/>
  <c r="AT47"/>
  <c r="AT46"/>
  <c r="AO54"/>
  <c r="AO53"/>
  <c r="AO52"/>
  <c r="AO51"/>
  <c r="AO50"/>
  <c r="AO49"/>
  <c r="AO48"/>
  <c r="AO47"/>
  <c r="AO46"/>
  <c r="AN54"/>
  <c r="AN53"/>
  <c r="AN52"/>
  <c r="AN51"/>
  <c r="AN50"/>
  <c r="AN49"/>
  <c r="AN48"/>
  <c r="AN47"/>
  <c r="AN46"/>
  <c r="AM54"/>
  <c r="AM53"/>
  <c r="AM52"/>
  <c r="AM51"/>
  <c r="AM50"/>
  <c r="AM49"/>
  <c r="AM48"/>
  <c r="AM47"/>
  <c r="AM46"/>
  <c r="AL54"/>
  <c r="AL53"/>
  <c r="AL52"/>
  <c r="AL51"/>
  <c r="AL50"/>
  <c r="AL49"/>
  <c r="AL48"/>
  <c r="AL47"/>
  <c r="AL46"/>
  <c r="AK54"/>
  <c r="AK53"/>
  <c r="AK52"/>
  <c r="AK51"/>
  <c r="AK50"/>
  <c r="AK49"/>
  <c r="AK48"/>
  <c r="AK47"/>
  <c r="AK46"/>
  <c r="AJ54"/>
  <c r="AJ53"/>
  <c r="AJ52"/>
  <c r="AJ51"/>
  <c r="AJ50"/>
  <c r="AJ49"/>
  <c r="AJ48"/>
  <c r="AJ47"/>
  <c r="AJ46"/>
  <c r="AI54"/>
  <c r="AI53"/>
  <c r="AI52"/>
  <c r="AI51"/>
  <c r="AI50"/>
  <c r="AI49"/>
  <c r="AI48"/>
  <c r="AI47"/>
  <c r="AI46"/>
  <c r="AD54"/>
  <c r="AD53"/>
  <c r="AD52"/>
  <c r="AD51"/>
  <c r="AD50"/>
  <c r="AD49"/>
  <c r="AD48"/>
  <c r="AD47"/>
  <c r="AD46"/>
  <c r="AC54"/>
  <c r="AC53"/>
  <c r="AC52"/>
  <c r="AC51"/>
  <c r="AC50"/>
  <c r="AC49"/>
  <c r="AC48"/>
  <c r="AC47"/>
  <c r="AC46"/>
  <c r="AB54"/>
  <c r="AB53"/>
  <c r="AB52"/>
  <c r="AB51"/>
  <c r="AB50"/>
  <c r="AB49"/>
  <c r="AB48"/>
  <c r="AB47"/>
  <c r="AB46"/>
  <c r="AA54"/>
  <c r="AA53"/>
  <c r="AA52"/>
  <c r="AA51"/>
  <c r="AA50"/>
  <c r="AA49"/>
  <c r="AA48"/>
  <c r="AA47"/>
  <c r="AA46"/>
  <c r="Z54"/>
  <c r="Z53"/>
  <c r="Z52"/>
  <c r="Z51"/>
  <c r="Z50"/>
  <c r="Z49"/>
  <c r="Z48"/>
  <c r="Z47"/>
  <c r="Z46"/>
  <c r="Y54"/>
  <c r="Y53"/>
  <c r="Y52"/>
  <c r="Y51"/>
  <c r="Y50"/>
  <c r="Y49"/>
  <c r="Y48"/>
  <c r="Y47"/>
  <c r="Y46"/>
  <c r="X54"/>
  <c r="X53"/>
  <c r="X52"/>
  <c r="X51"/>
  <c r="X50"/>
  <c r="X49"/>
  <c r="X48"/>
  <c r="X47"/>
  <c r="X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CI45"/>
  <c r="BX45"/>
  <c r="BM45"/>
  <c r="BB45"/>
  <c r="AQ45"/>
  <c r="AF45"/>
  <c r="CI44"/>
  <c r="BX44"/>
  <c r="BM44"/>
  <c r="BB44"/>
  <c r="AQ44"/>
  <c r="AF44"/>
  <c r="CI43"/>
  <c r="BM43"/>
  <c r="BB43"/>
  <c r="AQ43"/>
  <c r="AF43"/>
  <c r="CI42"/>
  <c r="BM42"/>
  <c r="BB42"/>
  <c r="AQ42"/>
  <c r="AF42"/>
  <c r="CT41"/>
  <c r="CI41"/>
  <c r="BX41"/>
  <c r="BM41"/>
  <c r="BB41"/>
  <c r="AQ41"/>
  <c r="AF41"/>
  <c r="CT40"/>
  <c r="CI40"/>
  <c r="BX40"/>
  <c r="BM40"/>
  <c r="BB40"/>
  <c r="AQ40"/>
  <c r="AF40"/>
  <c r="CI39"/>
  <c r="BX39"/>
  <c r="BM39"/>
  <c r="BB39"/>
  <c r="AQ39"/>
  <c r="AF39"/>
  <c r="CT38"/>
  <c r="CI38"/>
  <c r="BM38"/>
  <c r="BB38"/>
  <c r="AQ38"/>
  <c r="AF38"/>
  <c r="DE37"/>
  <c r="CI37"/>
  <c r="BX37"/>
  <c r="BM37"/>
  <c r="BB37"/>
  <c r="AQ37"/>
  <c r="AF37"/>
  <c r="CI36"/>
  <c r="BM36"/>
  <c r="BB36"/>
  <c r="AQ36"/>
  <c r="AF36"/>
  <c r="DE35"/>
  <c r="CT35"/>
  <c r="CI35"/>
  <c r="BX35"/>
  <c r="BM35"/>
  <c r="BB35"/>
  <c r="AQ35"/>
  <c r="AF35"/>
  <c r="CI34"/>
  <c r="BX34"/>
  <c r="BM34"/>
  <c r="BB34"/>
  <c r="AQ34"/>
  <c r="AF34"/>
  <c r="BM33"/>
  <c r="BB33"/>
  <c r="AQ33"/>
  <c r="AF33"/>
  <c r="BX32"/>
  <c r="BM32"/>
  <c r="BB32"/>
  <c r="AQ32"/>
  <c r="AF32"/>
  <c r="CI31"/>
  <c r="BX31"/>
  <c r="BM31"/>
  <c r="BB31"/>
  <c r="AQ31"/>
  <c r="AF31"/>
  <c r="DE45"/>
  <c r="CT45"/>
  <c r="DE44"/>
  <c r="CT44"/>
  <c r="DE43"/>
  <c r="CT43"/>
  <c r="BX43"/>
  <c r="DE42"/>
  <c r="CT42"/>
  <c r="BX42"/>
  <c r="DE41"/>
  <c r="DE40"/>
  <c r="DE39"/>
  <c r="CT39"/>
  <c r="DE38"/>
  <c r="BX38"/>
  <c r="CT37"/>
  <c r="DE36"/>
  <c r="CT36"/>
  <c r="BX36"/>
  <c r="DE34"/>
  <c r="CT34"/>
  <c r="DE33"/>
  <c r="CT33"/>
  <c r="CI33"/>
  <c r="BX33"/>
  <c r="DE32"/>
  <c r="CT32"/>
  <c r="CI32"/>
  <c r="DE31"/>
  <c r="CT31"/>
  <c r="DE30"/>
  <c r="CT30"/>
  <c r="CI30"/>
  <c r="BX30"/>
  <c r="BM30"/>
  <c r="BB30"/>
  <c r="AQ30"/>
  <c r="AF30"/>
  <c r="CI29"/>
  <c r="BM29"/>
  <c r="BB29"/>
  <c r="AQ29"/>
  <c r="AF29"/>
  <c r="BM28"/>
  <c r="BB28"/>
  <c r="AQ28"/>
  <c r="AF28"/>
  <c r="CT27"/>
  <c r="BM27"/>
  <c r="BB27"/>
  <c r="AQ27"/>
  <c r="AF27"/>
  <c r="DE26"/>
  <c r="CT26"/>
  <c r="CI26"/>
  <c r="BX26"/>
  <c r="BM26"/>
  <c r="BB26"/>
  <c r="AQ26"/>
  <c r="AF26"/>
  <c r="CI25"/>
  <c r="BX25"/>
  <c r="BM25"/>
  <c r="BB25"/>
  <c r="AQ25"/>
  <c r="AF25"/>
  <c r="CT24"/>
  <c r="CI24"/>
  <c r="BX24"/>
  <c r="BM24"/>
  <c r="BB24"/>
  <c r="AQ24"/>
  <c r="AF24"/>
  <c r="CI23"/>
  <c r="BX23"/>
  <c r="BM23"/>
  <c r="BB23"/>
  <c r="AQ23"/>
  <c r="AF23"/>
  <c r="CT22"/>
  <c r="CI22"/>
  <c r="BM22"/>
  <c r="BB22"/>
  <c r="AQ22"/>
  <c r="AF22"/>
  <c r="CT21"/>
  <c r="CI21"/>
  <c r="BM21"/>
  <c r="BB21"/>
  <c r="AQ21"/>
  <c r="AF21"/>
  <c r="CI20"/>
  <c r="BM20"/>
  <c r="BB20"/>
  <c r="AQ20"/>
  <c r="AF20"/>
  <c r="CT19"/>
  <c r="CI19"/>
  <c r="BM19"/>
  <c r="BB19"/>
  <c r="AQ19"/>
  <c r="AF19"/>
  <c r="CI18"/>
  <c r="BM18"/>
  <c r="BB18"/>
  <c r="AQ18"/>
  <c r="AF18"/>
  <c r="DE29"/>
  <c r="CT29"/>
  <c r="BX29"/>
  <c r="DE28"/>
  <c r="CT28"/>
  <c r="CI28"/>
  <c r="BX28"/>
  <c r="DE27"/>
  <c r="CI27"/>
  <c r="BX27"/>
  <c r="DE25"/>
  <c r="CT25"/>
  <c r="DE24"/>
  <c r="DE23"/>
  <c r="CT23"/>
  <c r="DE22"/>
  <c r="BX22"/>
  <c r="DE21"/>
  <c r="BX21"/>
  <c r="DE20"/>
  <c r="CT20"/>
  <c r="BX20"/>
  <c r="DE19"/>
  <c r="BX19"/>
  <c r="DE18"/>
  <c r="CT18"/>
  <c r="BX18"/>
  <c r="CI17"/>
  <c r="BX17"/>
  <c r="BM17"/>
  <c r="BB17"/>
  <c r="AQ17"/>
  <c r="AF17"/>
  <c r="BM16"/>
  <c r="BB16"/>
  <c r="AQ16"/>
  <c r="AF16"/>
  <c r="DE15"/>
  <c r="CT15"/>
  <c r="CI15"/>
  <c r="BX15"/>
  <c r="BM15"/>
  <c r="BB15"/>
  <c r="AQ15"/>
  <c r="AF15"/>
  <c r="DE14"/>
  <c r="CI14"/>
  <c r="BM14"/>
  <c r="BB14"/>
  <c r="AQ14"/>
  <c r="AF14"/>
  <c r="CT13"/>
  <c r="BX13"/>
  <c r="BM13"/>
  <c r="BB13"/>
  <c r="AQ13"/>
  <c r="AF13"/>
  <c r="DE12"/>
  <c r="CT12"/>
  <c r="CI12"/>
  <c r="BM12"/>
  <c r="BB12"/>
  <c r="AQ12"/>
  <c r="AF12"/>
  <c r="CI11"/>
  <c r="BX11"/>
  <c r="BM11"/>
  <c r="BB11"/>
  <c r="AQ11"/>
  <c r="AF11"/>
  <c r="DE10"/>
  <c r="CI10"/>
  <c r="BM10"/>
  <c r="BB10"/>
  <c r="AQ10"/>
  <c r="AF10"/>
  <c r="DE17"/>
  <c r="CT17"/>
  <c r="DE16"/>
  <c r="CT16"/>
  <c r="CI16"/>
  <c r="BX16"/>
  <c r="CT14"/>
  <c r="BX14"/>
  <c r="DE13"/>
  <c r="CI13"/>
  <c r="BX12"/>
  <c r="DE11"/>
  <c r="CT11"/>
  <c r="CT10"/>
  <c r="BX10"/>
  <c r="BV50" i="354" l="1"/>
  <c r="BV49"/>
  <c r="BV48"/>
  <c r="BV47"/>
  <c r="BV46"/>
  <c r="BV45"/>
  <c r="BV44"/>
  <c r="BV43"/>
  <c r="BV42"/>
  <c r="BU50"/>
  <c r="BU49"/>
  <c r="BU48"/>
  <c r="BU47"/>
  <c r="BU46"/>
  <c r="BU45"/>
  <c r="BU44"/>
  <c r="BU43"/>
  <c r="BU42"/>
  <c r="BT50"/>
  <c r="BT49"/>
  <c r="BT48"/>
  <c r="BT47"/>
  <c r="BT46"/>
  <c r="BT45"/>
  <c r="BT44"/>
  <c r="BT43"/>
  <c r="BT42"/>
  <c r="BS50"/>
  <c r="BS49"/>
  <c r="BS48"/>
  <c r="BS47"/>
  <c r="BS46"/>
  <c r="BS45"/>
  <c r="BS44"/>
  <c r="BS43"/>
  <c r="BS42"/>
  <c r="BR50"/>
  <c r="BR49"/>
  <c r="BR48"/>
  <c r="BR47"/>
  <c r="BR46"/>
  <c r="BR45"/>
  <c r="BR44"/>
  <c r="BR43"/>
  <c r="BR42"/>
  <c r="BQ50"/>
  <c r="BQ49"/>
  <c r="BQ48"/>
  <c r="BQ47"/>
  <c r="BQ46"/>
  <c r="BQ45"/>
  <c r="BQ44"/>
  <c r="BQ43"/>
  <c r="BQ42"/>
  <c r="BP50"/>
  <c r="BP49"/>
  <c r="BP48"/>
  <c r="BP47"/>
  <c r="BP46"/>
  <c r="BP45"/>
  <c r="BP44"/>
  <c r="BP43"/>
  <c r="BP42"/>
  <c r="BK50"/>
  <c r="BK49"/>
  <c r="BK48"/>
  <c r="BK47"/>
  <c r="BK46"/>
  <c r="BK45"/>
  <c r="BK44"/>
  <c r="BK43"/>
  <c r="BK42"/>
  <c r="BJ50"/>
  <c r="BJ49"/>
  <c r="BJ48"/>
  <c r="BJ47"/>
  <c r="BJ46"/>
  <c r="BJ45"/>
  <c r="BJ44"/>
  <c r="BJ43"/>
  <c r="BJ42"/>
  <c r="BI50"/>
  <c r="BI49"/>
  <c r="BI48"/>
  <c r="BI47"/>
  <c r="BI46"/>
  <c r="BI45"/>
  <c r="BI44"/>
  <c r="BI43"/>
  <c r="BI42"/>
  <c r="BH50"/>
  <c r="BH49"/>
  <c r="BH48"/>
  <c r="BH47"/>
  <c r="BH46"/>
  <c r="BH45"/>
  <c r="BH44"/>
  <c r="BH43"/>
  <c r="BH42"/>
  <c r="BG50"/>
  <c r="BG49"/>
  <c r="BG48"/>
  <c r="BG47"/>
  <c r="BG46"/>
  <c r="BG45"/>
  <c r="BG44"/>
  <c r="BG43"/>
  <c r="BG42"/>
  <c r="BF50"/>
  <c r="BF49"/>
  <c r="BF48"/>
  <c r="BF47"/>
  <c r="BF46"/>
  <c r="BF45"/>
  <c r="BF44"/>
  <c r="BF43"/>
  <c r="BF42"/>
  <c r="BE50"/>
  <c r="BE49"/>
  <c r="BE48"/>
  <c r="BE47"/>
  <c r="BE46"/>
  <c r="BE45"/>
  <c r="BE44"/>
  <c r="BE43"/>
  <c r="BE42"/>
  <c r="AZ50"/>
  <c r="AZ49"/>
  <c r="AZ48"/>
  <c r="AZ47"/>
  <c r="AZ46"/>
  <c r="AZ45"/>
  <c r="AZ44"/>
  <c r="AZ43"/>
  <c r="AZ42"/>
  <c r="AY50"/>
  <c r="AY49"/>
  <c r="AY48"/>
  <c r="AY47"/>
  <c r="AY46"/>
  <c r="AY45"/>
  <c r="AY44"/>
  <c r="AY43"/>
  <c r="AY42"/>
  <c r="AX50"/>
  <c r="AX49"/>
  <c r="AX48"/>
  <c r="AX47"/>
  <c r="AX46"/>
  <c r="AX45"/>
  <c r="AX44"/>
  <c r="AX43"/>
  <c r="AX42"/>
  <c r="AW50"/>
  <c r="AW49"/>
  <c r="AW48"/>
  <c r="AW47"/>
  <c r="AW46"/>
  <c r="AW45"/>
  <c r="AW44"/>
  <c r="AW43"/>
  <c r="AW42"/>
  <c r="AV50"/>
  <c r="AV49"/>
  <c r="AV48"/>
  <c r="AV47"/>
  <c r="AV46"/>
  <c r="AV45"/>
  <c r="AV44"/>
  <c r="AV43"/>
  <c r="AV42"/>
  <c r="AU50"/>
  <c r="AU49"/>
  <c r="AU48"/>
  <c r="AU47"/>
  <c r="AU46"/>
  <c r="AU45"/>
  <c r="AU44"/>
  <c r="AU43"/>
  <c r="AU42"/>
  <c r="AT50"/>
  <c r="AT49"/>
  <c r="AT48"/>
  <c r="AT47"/>
  <c r="AT46"/>
  <c r="AT45"/>
  <c r="AT44"/>
  <c r="AT43"/>
  <c r="AT42"/>
  <c r="AO50"/>
  <c r="AO49"/>
  <c r="AO48"/>
  <c r="AO47"/>
  <c r="AO46"/>
  <c r="AO45"/>
  <c r="AO44"/>
  <c r="AO43"/>
  <c r="AO42"/>
  <c r="AN50"/>
  <c r="AN49"/>
  <c r="AN48"/>
  <c r="AN47"/>
  <c r="AN46"/>
  <c r="AN45"/>
  <c r="AN44"/>
  <c r="AN43"/>
  <c r="AN42"/>
  <c r="AM50"/>
  <c r="AM49"/>
  <c r="AM48"/>
  <c r="AM47"/>
  <c r="AM46"/>
  <c r="AM45"/>
  <c r="AM44"/>
  <c r="AM43"/>
  <c r="AM42"/>
  <c r="AL50"/>
  <c r="AL49"/>
  <c r="AL48"/>
  <c r="AL47"/>
  <c r="AL46"/>
  <c r="AL45"/>
  <c r="AL44"/>
  <c r="AL43"/>
  <c r="AL42"/>
  <c r="AK50"/>
  <c r="AK49"/>
  <c r="AK48"/>
  <c r="AK47"/>
  <c r="AK46"/>
  <c r="AK45"/>
  <c r="AK44"/>
  <c r="AK43"/>
  <c r="AK42"/>
  <c r="AJ50"/>
  <c r="AJ49"/>
  <c r="AJ48"/>
  <c r="AJ47"/>
  <c r="AJ46"/>
  <c r="AJ45"/>
  <c r="AJ44"/>
  <c r="AJ43"/>
  <c r="AJ42"/>
  <c r="AI50"/>
  <c r="AI49"/>
  <c r="AI48"/>
  <c r="AI47"/>
  <c r="AI46"/>
  <c r="AI45"/>
  <c r="AI44"/>
  <c r="AI43"/>
  <c r="AI42"/>
  <c r="AD50"/>
  <c r="AD49"/>
  <c r="AD48"/>
  <c r="AD47"/>
  <c r="AD46"/>
  <c r="AD45"/>
  <c r="AD44"/>
  <c r="AD43"/>
  <c r="AD42"/>
  <c r="AC50"/>
  <c r="AC49"/>
  <c r="AC48"/>
  <c r="AC47"/>
  <c r="AC46"/>
  <c r="AC45"/>
  <c r="AC44"/>
  <c r="AC43"/>
  <c r="AC42"/>
  <c r="AB50"/>
  <c r="AB49"/>
  <c r="AB48"/>
  <c r="AB47"/>
  <c r="AB46"/>
  <c r="AB45"/>
  <c r="AB44"/>
  <c r="AB43"/>
  <c r="AB42"/>
  <c r="AA50"/>
  <c r="AA49"/>
  <c r="AA48"/>
  <c r="AA47"/>
  <c r="AA46"/>
  <c r="AA45"/>
  <c r="AA44"/>
  <c r="AA43"/>
  <c r="AA42"/>
  <c r="Z50"/>
  <c r="Z49"/>
  <c r="Z48"/>
  <c r="Z47"/>
  <c r="Z46"/>
  <c r="Z45"/>
  <c r="Z44"/>
  <c r="Z43"/>
  <c r="Z42"/>
  <c r="Y50"/>
  <c r="Y49"/>
  <c r="Y48"/>
  <c r="Y47"/>
  <c r="Y46"/>
  <c r="Y45"/>
  <c r="Y44"/>
  <c r="Y43"/>
  <c r="Y42"/>
  <c r="X50"/>
  <c r="X49"/>
  <c r="X48"/>
  <c r="X47"/>
  <c r="X46"/>
  <c r="X45"/>
  <c r="X44"/>
  <c r="X43"/>
  <c r="X42"/>
  <c r="BK50" i="351"/>
  <c r="BK49"/>
  <c r="BK48"/>
  <c r="BK47"/>
  <c r="BK46"/>
  <c r="BK45"/>
  <c r="BK44"/>
  <c r="BK43"/>
  <c r="BK42"/>
  <c r="BJ50"/>
  <c r="BJ49"/>
  <c r="BJ48"/>
  <c r="BJ47"/>
  <c r="BJ46"/>
  <c r="BJ45"/>
  <c r="BJ44"/>
  <c r="BJ43"/>
  <c r="BJ42"/>
  <c r="BI50"/>
  <c r="BI49"/>
  <c r="BI48"/>
  <c r="BI47"/>
  <c r="BI46"/>
  <c r="BI45"/>
  <c r="BI44"/>
  <c r="BI43"/>
  <c r="BI42"/>
  <c r="BH50"/>
  <c r="BH49"/>
  <c r="BH48"/>
  <c r="BH47"/>
  <c r="BH46"/>
  <c r="BH45"/>
  <c r="BH44"/>
  <c r="BH43"/>
  <c r="BH42"/>
  <c r="BG50"/>
  <c r="BG49"/>
  <c r="BG48"/>
  <c r="BG47"/>
  <c r="BG46"/>
  <c r="BG45"/>
  <c r="BG44"/>
  <c r="BG43"/>
  <c r="BG42"/>
  <c r="BF50"/>
  <c r="BF49"/>
  <c r="BF48"/>
  <c r="BF47"/>
  <c r="BF46"/>
  <c r="BF45"/>
  <c r="BF44"/>
  <c r="BF43"/>
  <c r="BF42"/>
  <c r="BE50"/>
  <c r="BE49"/>
  <c r="BE48"/>
  <c r="BE47"/>
  <c r="BE46"/>
  <c r="BE45"/>
  <c r="BE44"/>
  <c r="BE43"/>
  <c r="BE42"/>
  <c r="AZ50"/>
  <c r="AZ49"/>
  <c r="AZ48"/>
  <c r="AZ47"/>
  <c r="AZ46"/>
  <c r="AZ45"/>
  <c r="AZ44"/>
  <c r="AZ43"/>
  <c r="AZ42"/>
  <c r="AY50"/>
  <c r="AY49"/>
  <c r="AY48"/>
  <c r="AY47"/>
  <c r="AY46"/>
  <c r="AY45"/>
  <c r="AY44"/>
  <c r="AY43"/>
  <c r="AY42"/>
  <c r="AX50"/>
  <c r="AX49"/>
  <c r="AX48"/>
  <c r="AX47"/>
  <c r="AX46"/>
  <c r="AX45"/>
  <c r="AX44"/>
  <c r="AX43"/>
  <c r="AX42"/>
  <c r="AW50"/>
  <c r="AW49"/>
  <c r="AW48"/>
  <c r="AW47"/>
  <c r="AW46"/>
  <c r="AW45"/>
  <c r="AW44"/>
  <c r="AW43"/>
  <c r="AW42"/>
  <c r="AV50"/>
  <c r="AV49"/>
  <c r="AV48"/>
  <c r="AV47"/>
  <c r="AV46"/>
  <c r="AV45"/>
  <c r="AV44"/>
  <c r="AV43"/>
  <c r="AV42"/>
  <c r="AU50"/>
  <c r="AU49"/>
  <c r="AU48"/>
  <c r="AU47"/>
  <c r="AU46"/>
  <c r="AU45"/>
  <c r="AU44"/>
  <c r="AU43"/>
  <c r="AU42"/>
  <c r="AT50"/>
  <c r="AT49"/>
  <c r="AT48"/>
  <c r="AT47"/>
  <c r="AT46"/>
  <c r="AT45"/>
  <c r="AT44"/>
  <c r="AT43"/>
  <c r="AT42"/>
  <c r="AO50"/>
  <c r="AO49"/>
  <c r="AO48"/>
  <c r="AO47"/>
  <c r="AO46"/>
  <c r="AO45"/>
  <c r="AO44"/>
  <c r="AO43"/>
  <c r="AO42"/>
  <c r="AN50"/>
  <c r="AN49"/>
  <c r="AN48"/>
  <c r="AN47"/>
  <c r="AN46"/>
  <c r="AN45"/>
  <c r="AN44"/>
  <c r="AN43"/>
  <c r="AN42"/>
  <c r="AM50"/>
  <c r="AM49"/>
  <c r="AM48"/>
  <c r="AM47"/>
  <c r="AM46"/>
  <c r="AM45"/>
  <c r="AM44"/>
  <c r="AM43"/>
  <c r="AM42"/>
  <c r="AL50"/>
  <c r="AL49"/>
  <c r="AL48"/>
  <c r="AL47"/>
  <c r="AL46"/>
  <c r="AL45"/>
  <c r="AL44"/>
  <c r="AL43"/>
  <c r="AL42"/>
  <c r="AK50"/>
  <c r="AK49"/>
  <c r="AK48"/>
  <c r="AK47"/>
  <c r="AK46"/>
  <c r="AK45"/>
  <c r="AK44"/>
  <c r="AK43"/>
  <c r="AK42"/>
  <c r="AJ50"/>
  <c r="AJ49"/>
  <c r="AJ48"/>
  <c r="AJ47"/>
  <c r="AJ46"/>
  <c r="AJ45"/>
  <c r="AJ44"/>
  <c r="AJ43"/>
  <c r="AJ42"/>
  <c r="AI50"/>
  <c r="AI49"/>
  <c r="AI48"/>
  <c r="AI47"/>
  <c r="AI46"/>
  <c r="AI45"/>
  <c r="AI44"/>
  <c r="AI43"/>
  <c r="AI42"/>
  <c r="AD50"/>
  <c r="AD49"/>
  <c r="AD48"/>
  <c r="AD47"/>
  <c r="AD46"/>
  <c r="AD45"/>
  <c r="AD44"/>
  <c r="AD43"/>
  <c r="AD42"/>
  <c r="AC50"/>
  <c r="AC49"/>
  <c r="AC48"/>
  <c r="AC47"/>
  <c r="AC46"/>
  <c r="AC45"/>
  <c r="AC44"/>
  <c r="AC43"/>
  <c r="AC42"/>
  <c r="AB50"/>
  <c r="AB49"/>
  <c r="AB48"/>
  <c r="AB47"/>
  <c r="AB46"/>
  <c r="AB45"/>
  <c r="AB44"/>
  <c r="AB43"/>
  <c r="AB42"/>
  <c r="AA50"/>
  <c r="AA49"/>
  <c r="AA48"/>
  <c r="AA47"/>
  <c r="AA46"/>
  <c r="AA45"/>
  <c r="AA44"/>
  <c r="AA43"/>
  <c r="AA42"/>
  <c r="Z50"/>
  <c r="Z49"/>
  <c r="Z48"/>
  <c r="Z47"/>
  <c r="Z46"/>
  <c r="Z45"/>
  <c r="Z44"/>
  <c r="Z43"/>
  <c r="Z42"/>
  <c r="Y50"/>
  <c r="Y49"/>
  <c r="Y48"/>
  <c r="Y47"/>
  <c r="Y46"/>
  <c r="Y45"/>
  <c r="Y44"/>
  <c r="Y43"/>
  <c r="Y42"/>
  <c r="X50"/>
  <c r="X49"/>
  <c r="X48"/>
  <c r="X47"/>
  <c r="X46"/>
  <c r="X45"/>
  <c r="X44"/>
  <c r="X43"/>
  <c r="X42"/>
  <c r="BV50" i="348"/>
  <c r="BV49"/>
  <c r="BV48"/>
  <c r="BV47"/>
  <c r="BV46"/>
  <c r="BV45"/>
  <c r="BV44"/>
  <c r="BV43"/>
  <c r="BV42"/>
  <c r="BU50"/>
  <c r="BU49"/>
  <c r="BU48"/>
  <c r="BU47"/>
  <c r="BU46"/>
  <c r="BU45"/>
  <c r="BU44"/>
  <c r="BU43"/>
  <c r="BU42"/>
  <c r="BT50"/>
  <c r="BT49"/>
  <c r="BT48"/>
  <c r="BT47"/>
  <c r="BT46"/>
  <c r="BT45"/>
  <c r="BT44"/>
  <c r="BT43"/>
  <c r="BT42"/>
  <c r="BS50"/>
  <c r="BS49"/>
  <c r="BS48"/>
  <c r="BS47"/>
  <c r="BS46"/>
  <c r="BS45"/>
  <c r="BS44"/>
  <c r="BS43"/>
  <c r="BS42"/>
  <c r="BR50"/>
  <c r="BR49"/>
  <c r="BR48"/>
  <c r="BR47"/>
  <c r="BR46"/>
  <c r="BR45"/>
  <c r="BR44"/>
  <c r="BR43"/>
  <c r="BR42"/>
  <c r="BQ50"/>
  <c r="BQ49"/>
  <c r="BQ48"/>
  <c r="BQ47"/>
  <c r="BQ46"/>
  <c r="BQ45"/>
  <c r="BQ44"/>
  <c r="BQ43"/>
  <c r="BQ42"/>
  <c r="BP50"/>
  <c r="BP49"/>
  <c r="BP48"/>
  <c r="BP47"/>
  <c r="BP46"/>
  <c r="BP45"/>
  <c r="BP44"/>
  <c r="BP43"/>
  <c r="BP42"/>
  <c r="BK50"/>
  <c r="BK49"/>
  <c r="BK48"/>
  <c r="BK47"/>
  <c r="BK46"/>
  <c r="BK45"/>
  <c r="BK44"/>
  <c r="BK43"/>
  <c r="BK42"/>
  <c r="BJ50"/>
  <c r="BJ49"/>
  <c r="BJ48"/>
  <c r="BJ47"/>
  <c r="BJ46"/>
  <c r="BJ45"/>
  <c r="BJ44"/>
  <c r="BJ43"/>
  <c r="BJ42"/>
  <c r="BI50"/>
  <c r="BI49"/>
  <c r="BI48"/>
  <c r="BI47"/>
  <c r="BI46"/>
  <c r="BI45"/>
  <c r="BI44"/>
  <c r="BI43"/>
  <c r="BI42"/>
  <c r="BH50"/>
  <c r="BH49"/>
  <c r="BH48"/>
  <c r="BH47"/>
  <c r="BH46"/>
  <c r="BH45"/>
  <c r="BH44"/>
  <c r="BH43"/>
  <c r="BH42"/>
  <c r="BG50"/>
  <c r="BG49"/>
  <c r="BG48"/>
  <c r="BG47"/>
  <c r="BG46"/>
  <c r="BG45"/>
  <c r="BG44"/>
  <c r="BG43"/>
  <c r="BG42"/>
  <c r="BF50"/>
  <c r="BF49"/>
  <c r="BF48"/>
  <c r="BF47"/>
  <c r="BF46"/>
  <c r="BF45"/>
  <c r="BF44"/>
  <c r="BF43"/>
  <c r="BF42"/>
  <c r="BE50"/>
  <c r="BE49"/>
  <c r="BE48"/>
  <c r="BE47"/>
  <c r="BE46"/>
  <c r="BE45"/>
  <c r="BE44"/>
  <c r="BE43"/>
  <c r="BE42"/>
  <c r="AZ50"/>
  <c r="AZ49"/>
  <c r="AZ48"/>
  <c r="AZ47"/>
  <c r="AZ46"/>
  <c r="AZ45"/>
  <c r="AZ44"/>
  <c r="AZ43"/>
  <c r="AZ42"/>
  <c r="AY50"/>
  <c r="AY49"/>
  <c r="AY48"/>
  <c r="AY47"/>
  <c r="AY46"/>
  <c r="AY45"/>
  <c r="AY44"/>
  <c r="AY43"/>
  <c r="AY42"/>
  <c r="AX50"/>
  <c r="AX49"/>
  <c r="AX48"/>
  <c r="AX47"/>
  <c r="AX46"/>
  <c r="AX45"/>
  <c r="AX44"/>
  <c r="AX43"/>
  <c r="AX42"/>
  <c r="AW50"/>
  <c r="AW49"/>
  <c r="AW48"/>
  <c r="AW47"/>
  <c r="AW46"/>
  <c r="AW45"/>
  <c r="AW44"/>
  <c r="AW43"/>
  <c r="AW42"/>
  <c r="AV50"/>
  <c r="AV49"/>
  <c r="AV48"/>
  <c r="AV47"/>
  <c r="AV46"/>
  <c r="AV45"/>
  <c r="AV44"/>
  <c r="AV43"/>
  <c r="AV42"/>
  <c r="AU50"/>
  <c r="AU49"/>
  <c r="AU48"/>
  <c r="AU47"/>
  <c r="AU46"/>
  <c r="AU45"/>
  <c r="AU44"/>
  <c r="AU43"/>
  <c r="AU42"/>
  <c r="AT50"/>
  <c r="AT49"/>
  <c r="AT48"/>
  <c r="AT47"/>
  <c r="AT46"/>
  <c r="AT45"/>
  <c r="AT44"/>
  <c r="AT43"/>
  <c r="AT42"/>
  <c r="AO50"/>
  <c r="AO49"/>
  <c r="AO48"/>
  <c r="AO47"/>
  <c r="AO46"/>
  <c r="AO45"/>
  <c r="AO44"/>
  <c r="AO43"/>
  <c r="AO42"/>
  <c r="AN50"/>
  <c r="AN49"/>
  <c r="AN48"/>
  <c r="AN47"/>
  <c r="AN46"/>
  <c r="AN45"/>
  <c r="AN44"/>
  <c r="AN43"/>
  <c r="AN42"/>
  <c r="AM50"/>
  <c r="AM49"/>
  <c r="AM48"/>
  <c r="AM47"/>
  <c r="AM46"/>
  <c r="AM45"/>
  <c r="AM44"/>
  <c r="AM43"/>
  <c r="AM42"/>
  <c r="AL50"/>
  <c r="AL49"/>
  <c r="AL48"/>
  <c r="AL47"/>
  <c r="AL46"/>
  <c r="AL45"/>
  <c r="AL44"/>
  <c r="AL43"/>
  <c r="AL42"/>
  <c r="AK50"/>
  <c r="AK49"/>
  <c r="AK48"/>
  <c r="AK47"/>
  <c r="AK46"/>
  <c r="AK45"/>
  <c r="AK44"/>
  <c r="AK43"/>
  <c r="AK42"/>
  <c r="AJ50"/>
  <c r="AJ49"/>
  <c r="AJ48"/>
  <c r="AJ47"/>
  <c r="AJ46"/>
  <c r="AJ45"/>
  <c r="AJ44"/>
  <c r="AJ43"/>
  <c r="AJ42"/>
  <c r="AI50"/>
  <c r="AI49"/>
  <c r="AI48"/>
  <c r="AI47"/>
  <c r="AI46"/>
  <c r="AI45"/>
  <c r="AI44"/>
  <c r="AI43"/>
  <c r="AI42"/>
  <c r="AD50"/>
  <c r="AD49"/>
  <c r="AD48"/>
  <c r="AD47"/>
  <c r="AD46"/>
  <c r="AD45"/>
  <c r="AD44"/>
  <c r="AD43"/>
  <c r="AD42"/>
  <c r="AC50"/>
  <c r="AC49"/>
  <c r="AC48"/>
  <c r="AC47"/>
  <c r="AC46"/>
  <c r="AC45"/>
  <c r="AC44"/>
  <c r="AC43"/>
  <c r="AC42"/>
  <c r="AB50"/>
  <c r="AB49"/>
  <c r="AB48"/>
  <c r="AB47"/>
  <c r="AB46"/>
  <c r="AB45"/>
  <c r="AB44"/>
  <c r="AB43"/>
  <c r="AB42"/>
  <c r="AA50"/>
  <c r="AA49"/>
  <c r="AA48"/>
  <c r="AA47"/>
  <c r="AA46"/>
  <c r="AA45"/>
  <c r="AA44"/>
  <c r="AA43"/>
  <c r="AA42"/>
  <c r="Z50"/>
  <c r="Z49"/>
  <c r="Z48"/>
  <c r="Z47"/>
  <c r="Z46"/>
  <c r="Z45"/>
  <c r="Z44"/>
  <c r="Z43"/>
  <c r="Z42"/>
  <c r="Y50"/>
  <c r="Y49"/>
  <c r="Y48"/>
  <c r="Y47"/>
  <c r="Y46"/>
  <c r="Y45"/>
  <c r="Y44"/>
  <c r="Y43"/>
  <c r="Y42"/>
  <c r="X50"/>
  <c r="X49"/>
  <c r="X48"/>
  <c r="X47"/>
  <c r="X46"/>
  <c r="X45"/>
  <c r="X44"/>
  <c r="X43"/>
  <c r="X42"/>
  <c r="AG33" i="397"/>
  <c r="AG34"/>
  <c r="AG35"/>
  <c r="AG36"/>
  <c r="AG37"/>
  <c r="AG38"/>
  <c r="AG39"/>
  <c r="AG40"/>
  <c r="AG41"/>
  <c r="AG42"/>
  <c r="AG43"/>
  <c r="AG44"/>
  <c r="AG45"/>
  <c r="AG31"/>
  <c r="AG32"/>
  <c r="AG18"/>
  <c r="AG19"/>
  <c r="AG20"/>
  <c r="AG21"/>
  <c r="AG22"/>
  <c r="AG23"/>
  <c r="AG24"/>
  <c r="AG25"/>
  <c r="AG26"/>
  <c r="AG27"/>
  <c r="AG28"/>
  <c r="AG29"/>
  <c r="AG30"/>
  <c r="AG10"/>
  <c r="AG11"/>
  <c r="AG12"/>
  <c r="AG13"/>
  <c r="AG14"/>
  <c r="AG15"/>
  <c r="AG16"/>
  <c r="AG17"/>
  <c r="D37" i="100" l="1"/>
  <c r="D38"/>
  <c r="D39"/>
  <c r="D40"/>
  <c r="D41"/>
  <c r="D42"/>
  <c r="D43"/>
  <c r="D44"/>
  <c r="D45"/>
  <c r="C38"/>
  <c r="C39"/>
  <c r="C40"/>
  <c r="C41"/>
  <c r="C42"/>
  <c r="C43"/>
  <c r="C44"/>
  <c r="C45"/>
  <c r="C37"/>
  <c r="V41" i="354"/>
  <c r="V40"/>
  <c r="V39"/>
  <c r="V38"/>
  <c r="V37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V41" i="351"/>
  <c r="V40"/>
  <c r="V39"/>
  <c r="V38"/>
  <c r="V37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V41" i="348"/>
  <c r="V40"/>
  <c r="V39"/>
  <c r="V38"/>
  <c r="V37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AR45" i="397"/>
  <c r="AR44"/>
  <c r="AR43"/>
  <c r="AR42"/>
  <c r="AR41"/>
  <c r="AR40"/>
  <c r="AR39"/>
  <c r="AR38"/>
  <c r="AR37"/>
  <c r="AR36"/>
  <c r="AR35"/>
  <c r="AR34"/>
  <c r="AR33"/>
  <c r="BX41" i="348"/>
  <c r="BM41"/>
  <c r="BB41"/>
  <c r="AQ41"/>
  <c r="AF41"/>
  <c r="BX40"/>
  <c r="BM40"/>
  <c r="BB40"/>
  <c r="AQ40"/>
  <c r="AF40"/>
  <c r="BX39"/>
  <c r="BM39"/>
  <c r="BB39"/>
  <c r="AQ39"/>
  <c r="AF39"/>
  <c r="BX38"/>
  <c r="BM38"/>
  <c r="BB38"/>
  <c r="AQ38"/>
  <c r="AF38"/>
  <c r="BX37"/>
  <c r="BM37"/>
  <c r="BB37"/>
  <c r="AQ37"/>
  <c r="AF37"/>
  <c r="BX36"/>
  <c r="BM36"/>
  <c r="BB36"/>
  <c r="AQ36"/>
  <c r="AF36"/>
  <c r="BX35"/>
  <c r="BM35"/>
  <c r="BB35"/>
  <c r="AQ35"/>
  <c r="AF35"/>
  <c r="BX34"/>
  <c r="BM34"/>
  <c r="BB34"/>
  <c r="AQ34"/>
  <c r="AF34"/>
  <c r="BX33"/>
  <c r="BM33"/>
  <c r="BB33"/>
  <c r="AQ33"/>
  <c r="AF33"/>
  <c r="BX32"/>
  <c r="BM32"/>
  <c r="BB32"/>
  <c r="AQ32"/>
  <c r="AF32"/>
  <c r="BX31"/>
  <c r="BM31"/>
  <c r="BB31"/>
  <c r="AQ31"/>
  <c r="AF31"/>
  <c r="BX30"/>
  <c r="BM30"/>
  <c r="BB30"/>
  <c r="AQ30"/>
  <c r="AF30"/>
  <c r="BX29"/>
  <c r="BM29"/>
  <c r="BB29"/>
  <c r="AQ29"/>
  <c r="AF29"/>
  <c r="BX28"/>
  <c r="BM28"/>
  <c r="BB28"/>
  <c r="AQ28"/>
  <c r="AF28"/>
  <c r="BX27"/>
  <c r="BM27"/>
  <c r="BB27"/>
  <c r="AQ27"/>
  <c r="AF27"/>
  <c r="BX26"/>
  <c r="BM26"/>
  <c r="BB26"/>
  <c r="AQ26"/>
  <c r="AF26"/>
  <c r="BX25"/>
  <c r="BM25"/>
  <c r="BB25"/>
  <c r="AQ25"/>
  <c r="AF25"/>
  <c r="BX24"/>
  <c r="BM24"/>
  <c r="BB24"/>
  <c r="AQ24"/>
  <c r="AF24"/>
  <c r="BX23"/>
  <c r="BM23"/>
  <c r="BB23"/>
  <c r="AQ23"/>
  <c r="AF23"/>
  <c r="BX22"/>
  <c r="BM22"/>
  <c r="BB22"/>
  <c r="AQ22"/>
  <c r="AF22"/>
  <c r="BX21"/>
  <c r="BM21"/>
  <c r="BB21"/>
  <c r="AQ21"/>
  <c r="AF21"/>
  <c r="BX20"/>
  <c r="BM20"/>
  <c r="BB20"/>
  <c r="AQ20"/>
  <c r="AF20"/>
  <c r="BX19"/>
  <c r="BM19"/>
  <c r="BB19"/>
  <c r="AQ19"/>
  <c r="AF19"/>
  <c r="BX18"/>
  <c r="BM18"/>
  <c r="BB18"/>
  <c r="AQ18"/>
  <c r="AF18"/>
  <c r="BX17"/>
  <c r="BM17"/>
  <c r="BB17"/>
  <c r="AQ17"/>
  <c r="AF17"/>
  <c r="BX16"/>
  <c r="BM16"/>
  <c r="BB16"/>
  <c r="AQ16"/>
  <c r="AF16"/>
  <c r="BX15"/>
  <c r="BM15"/>
  <c r="BB15"/>
  <c r="AQ15"/>
  <c r="AF15"/>
  <c r="BX14"/>
  <c r="BM14"/>
  <c r="BB14"/>
  <c r="AQ14"/>
  <c r="AF14"/>
  <c r="BX13"/>
  <c r="BM13"/>
  <c r="BB13"/>
  <c r="AQ13"/>
  <c r="AF13"/>
  <c r="BX12"/>
  <c r="BM12"/>
  <c r="BB12"/>
  <c r="AQ12"/>
  <c r="AF12"/>
  <c r="BX11"/>
  <c r="BM11"/>
  <c r="BB11"/>
  <c r="AQ11"/>
  <c r="AF11"/>
  <c r="BX10"/>
  <c r="BM10"/>
  <c r="BB10"/>
  <c r="AQ10"/>
  <c r="AF10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Y10"/>
  <c r="BY11"/>
  <c r="BY12"/>
  <c r="BY13"/>
  <c r="BY14"/>
  <c r="BY15"/>
  <c r="BY16"/>
  <c r="BY17"/>
  <c r="BY18"/>
  <c r="BY19"/>
  <c r="BY20"/>
  <c r="BY21"/>
  <c r="BY22"/>
  <c r="BY23"/>
  <c r="BY24"/>
  <c r="BY25"/>
  <c r="BY26"/>
  <c r="BY27"/>
  <c r="BY28"/>
  <c r="BY29"/>
  <c r="BY30"/>
  <c r="BY31"/>
  <c r="BY32"/>
  <c r="BY33"/>
  <c r="BY34"/>
  <c r="BY35"/>
  <c r="BY36"/>
  <c r="BY37"/>
  <c r="BY38"/>
  <c r="BY39"/>
  <c r="BY40"/>
  <c r="BY41"/>
  <c r="BM41" i="351"/>
  <c r="BB41"/>
  <c r="AQ41"/>
  <c r="AF41"/>
  <c r="BM40"/>
  <c r="BB40"/>
  <c r="AQ40"/>
  <c r="AF40"/>
  <c r="BM39"/>
  <c r="BB39"/>
  <c r="AQ39"/>
  <c r="AF39"/>
  <c r="BM38"/>
  <c r="BB38"/>
  <c r="AQ38"/>
  <c r="AF38"/>
  <c r="BM37"/>
  <c r="BB37"/>
  <c r="AQ37"/>
  <c r="AF37"/>
  <c r="BM36"/>
  <c r="BB36"/>
  <c r="AQ36"/>
  <c r="AF36"/>
  <c r="BM35"/>
  <c r="BB35"/>
  <c r="AQ35"/>
  <c r="AF35"/>
  <c r="BM34"/>
  <c r="BB34"/>
  <c r="AQ34"/>
  <c r="AF34"/>
  <c r="BM33"/>
  <c r="BB33"/>
  <c r="AQ33"/>
  <c r="AF33"/>
  <c r="BM32"/>
  <c r="BB32"/>
  <c r="AQ32"/>
  <c r="AF32"/>
  <c r="BM31"/>
  <c r="BB31"/>
  <c r="AQ31"/>
  <c r="AF31"/>
  <c r="BM30"/>
  <c r="BB30"/>
  <c r="AQ30"/>
  <c r="AF30"/>
  <c r="BM29"/>
  <c r="BB29"/>
  <c r="AQ29"/>
  <c r="AF29"/>
  <c r="BM28"/>
  <c r="BB28"/>
  <c r="AQ28"/>
  <c r="AF28"/>
  <c r="BM27"/>
  <c r="BB27"/>
  <c r="AQ27"/>
  <c r="AF27"/>
  <c r="BM26"/>
  <c r="BB26"/>
  <c r="AQ26"/>
  <c r="AF26"/>
  <c r="BM25"/>
  <c r="BB25"/>
  <c r="AQ25"/>
  <c r="AF25"/>
  <c r="BM24"/>
  <c r="BB24"/>
  <c r="AQ24"/>
  <c r="AF24"/>
  <c r="BM23"/>
  <c r="BB23"/>
  <c r="AQ23"/>
  <c r="AF23"/>
  <c r="BM22"/>
  <c r="BB22"/>
  <c r="AQ22"/>
  <c r="AF22"/>
  <c r="BM21"/>
  <c r="BB21"/>
  <c r="AQ21"/>
  <c r="AF21"/>
  <c r="BM20"/>
  <c r="BB20"/>
  <c r="AQ20"/>
  <c r="AF20"/>
  <c r="BM19"/>
  <c r="BB19"/>
  <c r="AQ19"/>
  <c r="AF19"/>
  <c r="BM18"/>
  <c r="BB18"/>
  <c r="AQ18"/>
  <c r="AF18"/>
  <c r="BM17"/>
  <c r="BB17"/>
  <c r="AQ17"/>
  <c r="AF17"/>
  <c r="BM16"/>
  <c r="BB16"/>
  <c r="AQ16"/>
  <c r="AF16"/>
  <c r="BM15"/>
  <c r="BB15"/>
  <c r="AQ15"/>
  <c r="AF15"/>
  <c r="BM14"/>
  <c r="BB14"/>
  <c r="AQ14"/>
  <c r="AF14"/>
  <c r="BM13"/>
  <c r="BB13"/>
  <c r="AQ13"/>
  <c r="AF13"/>
  <c r="BM12"/>
  <c r="BB12"/>
  <c r="AQ12"/>
  <c r="AF12"/>
  <c r="BM11"/>
  <c r="BB11"/>
  <c r="AQ11"/>
  <c r="AF11"/>
  <c r="BM10"/>
  <c r="BB10"/>
  <c r="AQ10"/>
  <c r="AF10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X41" i="354"/>
  <c r="BM41"/>
  <c r="BB41"/>
  <c r="AQ41"/>
  <c r="AF41"/>
  <c r="BX40"/>
  <c r="BM40"/>
  <c r="BB40"/>
  <c r="AQ40"/>
  <c r="AF40"/>
  <c r="BX39"/>
  <c r="BM39"/>
  <c r="BB39"/>
  <c r="AQ39"/>
  <c r="AF39"/>
  <c r="BX38"/>
  <c r="BM38"/>
  <c r="BB38"/>
  <c r="AQ38"/>
  <c r="AF38"/>
  <c r="BX37"/>
  <c r="BM37"/>
  <c r="BB37"/>
  <c r="AQ37"/>
  <c r="AF37"/>
  <c r="BX36"/>
  <c r="BM36"/>
  <c r="BB36"/>
  <c r="AQ36"/>
  <c r="AF36"/>
  <c r="BX35"/>
  <c r="BM35"/>
  <c r="BB35"/>
  <c r="AQ35"/>
  <c r="AF35"/>
  <c r="BX34"/>
  <c r="BM34"/>
  <c r="BB34"/>
  <c r="AQ34"/>
  <c r="AF34"/>
  <c r="BX33"/>
  <c r="BM33"/>
  <c r="BB33"/>
  <c r="AQ33"/>
  <c r="AF33"/>
  <c r="BX32"/>
  <c r="BM32"/>
  <c r="BB32"/>
  <c r="AQ32"/>
  <c r="AF32"/>
  <c r="BX31"/>
  <c r="BM31"/>
  <c r="BB31"/>
  <c r="AQ31"/>
  <c r="AF31"/>
  <c r="BX30"/>
  <c r="BM30"/>
  <c r="BB30"/>
  <c r="AQ30"/>
  <c r="AF30"/>
  <c r="BX29"/>
  <c r="BM29"/>
  <c r="BB29"/>
  <c r="AQ29"/>
  <c r="AF29"/>
  <c r="BX28"/>
  <c r="BM28"/>
  <c r="BB28"/>
  <c r="AQ28"/>
  <c r="AF28"/>
  <c r="BX27"/>
  <c r="BM27"/>
  <c r="BB27"/>
  <c r="AQ27"/>
  <c r="AF27"/>
  <c r="BX26"/>
  <c r="BM26"/>
  <c r="BB26"/>
  <c r="AQ26"/>
  <c r="AF26"/>
  <c r="BX25"/>
  <c r="BM25"/>
  <c r="BB25"/>
  <c r="AQ25"/>
  <c r="AF25"/>
  <c r="BX24"/>
  <c r="BM24"/>
  <c r="BB24"/>
  <c r="AQ24"/>
  <c r="AF24"/>
  <c r="BX23"/>
  <c r="BM23"/>
  <c r="BB23"/>
  <c r="AQ23"/>
  <c r="AF23"/>
  <c r="BX22"/>
  <c r="BM22"/>
  <c r="BB22"/>
  <c r="AQ22"/>
  <c r="AF22"/>
  <c r="BX21"/>
  <c r="BM21"/>
  <c r="BB21"/>
  <c r="AQ21"/>
  <c r="AF21"/>
  <c r="BX20"/>
  <c r="BM20"/>
  <c r="BB20"/>
  <c r="AQ20"/>
  <c r="AF20"/>
  <c r="BX19"/>
  <c r="BM19"/>
  <c r="BB19"/>
  <c r="AQ19"/>
  <c r="AF19"/>
  <c r="BX18"/>
  <c r="BM18"/>
  <c r="BB18"/>
  <c r="AQ18"/>
  <c r="AF18"/>
  <c r="BX17"/>
  <c r="BM17"/>
  <c r="BB17"/>
  <c r="AQ17"/>
  <c r="AF17"/>
  <c r="BX16"/>
  <c r="BM16"/>
  <c r="BB16"/>
  <c r="AQ16"/>
  <c r="AF16"/>
  <c r="BX15"/>
  <c r="BM15"/>
  <c r="BB15"/>
  <c r="AQ15"/>
  <c r="AF15"/>
  <c r="BX14"/>
  <c r="BM14"/>
  <c r="BB14"/>
  <c r="AQ14"/>
  <c r="AF14"/>
  <c r="BX13"/>
  <c r="BM13"/>
  <c r="BB13"/>
  <c r="AQ13"/>
  <c r="AF13"/>
  <c r="BX12"/>
  <c r="BM12"/>
  <c r="BB12"/>
  <c r="AQ12"/>
  <c r="AF12"/>
  <c r="BX11"/>
  <c r="BM11"/>
  <c r="BB11"/>
  <c r="AQ11"/>
  <c r="AF11"/>
  <c r="BX10"/>
  <c r="BM10"/>
  <c r="BB10"/>
  <c r="AQ10"/>
  <c r="AF10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Y10"/>
  <c r="BY11"/>
  <c r="BY12"/>
  <c r="BY13"/>
  <c r="BY14"/>
  <c r="BY15"/>
  <c r="BY16"/>
  <c r="BY17"/>
  <c r="BY18"/>
  <c r="BY19"/>
  <c r="BY20"/>
  <c r="BY21"/>
  <c r="BY22"/>
  <c r="BY23"/>
  <c r="BY24"/>
  <c r="BY25"/>
  <c r="BY26"/>
  <c r="BY27"/>
  <c r="BY28"/>
  <c r="BY29"/>
  <c r="BY30"/>
  <c r="BY31"/>
  <c r="BY32"/>
  <c r="BY33"/>
  <c r="BY34"/>
  <c r="BY35"/>
  <c r="BY36"/>
  <c r="BY37"/>
  <c r="BY38"/>
  <c r="BY39"/>
  <c r="BY40"/>
  <c r="BY41"/>
  <c r="BC33" i="397"/>
  <c r="BC34"/>
  <c r="BC35"/>
  <c r="BC36"/>
  <c r="BC37"/>
  <c r="BC38"/>
  <c r="BC39"/>
  <c r="BC40"/>
  <c r="BC41"/>
  <c r="BC42"/>
  <c r="BC43"/>
  <c r="BC44"/>
  <c r="BC45"/>
  <c r="BN45"/>
  <c r="BN44"/>
  <c r="BN43"/>
  <c r="BN42"/>
  <c r="BN41"/>
  <c r="BN40"/>
  <c r="BN39"/>
  <c r="BN38"/>
  <c r="BN37"/>
  <c r="BN36"/>
  <c r="BN35"/>
  <c r="BN34"/>
  <c r="BN33"/>
  <c r="BY34"/>
  <c r="BY35"/>
  <c r="BY37"/>
  <c r="BY39"/>
  <c r="BY40"/>
  <c r="BY41"/>
  <c r="BY44"/>
  <c r="BY45"/>
  <c r="CJ45"/>
  <c r="CJ44"/>
  <c r="CJ41"/>
  <c r="CJ40"/>
  <c r="CJ39"/>
  <c r="CJ37"/>
  <c r="CJ35"/>
  <c r="CJ34"/>
  <c r="CU35"/>
  <c r="CU40"/>
  <c r="CU41"/>
  <c r="DF35"/>
  <c r="AR32"/>
  <c r="AR31"/>
  <c r="BC31"/>
  <c r="BC32"/>
  <c r="BN32"/>
  <c r="BN31"/>
  <c r="BY31"/>
  <c r="BY32"/>
  <c r="CJ31"/>
  <c r="CU45"/>
  <c r="DF45"/>
  <c r="CU44"/>
  <c r="DF44"/>
  <c r="BY43"/>
  <c r="CJ43"/>
  <c r="CU43"/>
  <c r="DF43"/>
  <c r="BY42"/>
  <c r="CJ42"/>
  <c r="CU42"/>
  <c r="DF42"/>
  <c r="DF41"/>
  <c r="DF40"/>
  <c r="CU39"/>
  <c r="DF39"/>
  <c r="BY38"/>
  <c r="CJ38"/>
  <c r="CU38"/>
  <c r="DF38"/>
  <c r="CU37"/>
  <c r="DF37"/>
  <c r="BY36"/>
  <c r="CJ36"/>
  <c r="CU36"/>
  <c r="DF36"/>
  <c r="CU34"/>
  <c r="DF34"/>
  <c r="BY33"/>
  <c r="CJ33"/>
  <c r="CU33"/>
  <c r="DF33"/>
  <c r="CJ32"/>
  <c r="CU32"/>
  <c r="DF32"/>
  <c r="CU31"/>
  <c r="DF31"/>
  <c r="AR30"/>
  <c r="AR29"/>
  <c r="AR28"/>
  <c r="AR27"/>
  <c r="AR26"/>
  <c r="AR25"/>
  <c r="AR24"/>
  <c r="AR23"/>
  <c r="AR22"/>
  <c r="AR21"/>
  <c r="AR20"/>
  <c r="AR19"/>
  <c r="AR18"/>
  <c r="BC18"/>
  <c r="BC19"/>
  <c r="BC20"/>
  <c r="BC21"/>
  <c r="BC22"/>
  <c r="BC23"/>
  <c r="BC24"/>
  <c r="BC25"/>
  <c r="BC26"/>
  <c r="BC27"/>
  <c r="BC28"/>
  <c r="BC29"/>
  <c r="BC30"/>
  <c r="BN30"/>
  <c r="BN29"/>
  <c r="BN28"/>
  <c r="BN27"/>
  <c r="BN26"/>
  <c r="BN25"/>
  <c r="BN24"/>
  <c r="BN23"/>
  <c r="BN22"/>
  <c r="BN21"/>
  <c r="BN20"/>
  <c r="BN19"/>
  <c r="BN18"/>
  <c r="BY23"/>
  <c r="BY24"/>
  <c r="BY25"/>
  <c r="BY26"/>
  <c r="BY30"/>
  <c r="CJ30"/>
  <c r="CJ26"/>
  <c r="CJ25"/>
  <c r="CJ24"/>
  <c r="CJ23"/>
  <c r="CU24"/>
  <c r="CU26"/>
  <c r="CU30"/>
  <c r="DF30"/>
  <c r="DF26"/>
  <c r="BY29"/>
  <c r="CJ29"/>
  <c r="CU29"/>
  <c r="DF29"/>
  <c r="BY28"/>
  <c r="BY27"/>
  <c r="CJ27"/>
  <c r="CU27"/>
  <c r="DF27"/>
  <c r="CU25"/>
  <c r="DF25"/>
  <c r="DF24"/>
  <c r="CU23"/>
  <c r="DF23"/>
  <c r="BY22"/>
  <c r="CJ22"/>
  <c r="CU22"/>
  <c r="DF22"/>
  <c r="BY21"/>
  <c r="CJ21"/>
  <c r="CU21"/>
  <c r="DF21"/>
  <c r="BY20"/>
  <c r="CJ20"/>
  <c r="CU20"/>
  <c r="DF20"/>
  <c r="BY19"/>
  <c r="CJ19"/>
  <c r="CU19"/>
  <c r="DF19"/>
  <c r="BY18"/>
  <c r="CJ18"/>
  <c r="CU18"/>
  <c r="DF18"/>
  <c r="AR17"/>
  <c r="AR16"/>
  <c r="AR15"/>
  <c r="AR14"/>
  <c r="AR13"/>
  <c r="AR12"/>
  <c r="AR11"/>
  <c r="AR10"/>
  <c r="BC10"/>
  <c r="BC11"/>
  <c r="BC12"/>
  <c r="BC13"/>
  <c r="BC14"/>
  <c r="BC15"/>
  <c r="BC16"/>
  <c r="BC17"/>
  <c r="BN17"/>
  <c r="BN16"/>
  <c r="BN15"/>
  <c r="BN14"/>
  <c r="BN13"/>
  <c r="BN12"/>
  <c r="BN11"/>
  <c r="BN10"/>
  <c r="BY11"/>
  <c r="BY13"/>
  <c r="BY15"/>
  <c r="BY17"/>
  <c r="CJ17"/>
  <c r="CJ15"/>
  <c r="CJ11"/>
  <c r="CU15"/>
  <c r="DF15"/>
  <c r="CU17"/>
  <c r="DF17"/>
  <c r="BY16"/>
  <c r="CJ16"/>
  <c r="CU16"/>
  <c r="DF16"/>
  <c r="BY14"/>
  <c r="CJ14"/>
  <c r="CU14"/>
  <c r="DF14"/>
  <c r="CJ13"/>
  <c r="CU13"/>
  <c r="DF13"/>
  <c r="BY12"/>
  <c r="CJ12"/>
  <c r="CU12"/>
  <c r="DF12"/>
  <c r="CU11"/>
  <c r="DF11"/>
  <c r="BY10"/>
  <c r="CJ10"/>
  <c r="CU10"/>
  <c r="DF10"/>
  <c r="CJ28"/>
  <c r="CU28"/>
  <c r="DF28"/>
</calcChain>
</file>

<file path=xl/connections.xml><?xml version="1.0" encoding="utf-8"?>
<connections xmlns="http://schemas.openxmlformats.org/spreadsheetml/2006/main">
  <connection id="1" name="Anagrafica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ssione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3" name="Connessione1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2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5" name="Connessione3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4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7" name="Connessione5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6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 FROM ANAGRAFICA ANAGRAFICA_0"/>
  </connection>
  <connection id="9" name="Connessione7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10" name="MATRICETURNI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1" name="Query from SQLite3 Datasource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2" name="simboli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3" name="turnazione_operatore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<sst xmlns="http://schemas.openxmlformats.org/spreadsheetml/2006/main" count="43733" uniqueCount="1755">
  <si>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</si>
  <si>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</si>
  <si>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</si>
  <si>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</si>
  <si>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</si>
  <si>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</si>
  <si>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</si>
  <si>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</si>
  <si>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</si>
  <si>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</si>
  <si>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</si>
  <si>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</si>
  <si>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</si>
  <si>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</si>
  <si>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</si>
  <si>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</si>
  <si>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</si>
  <si>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</si>
  <si>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</si>
  <si>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</si>
  <si>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</si>
  <si>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</si>
  <si>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</si>
  <si>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</si>
  <si>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</si>
  <si>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</si>
  <si>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</si>
  <si>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</si>
  <si>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</si>
  <si>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</si>
  <si>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</si>
  <si>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</si>
  <si>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</si>
  <si>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</si>
  <si>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</si>
  <si>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</si>
  <si>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</si>
  <si>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</si>
  <si>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</si>
  <si>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</si>
  <si>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</si>
  <si>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</si>
  <si>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</si>
  <si>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</si>
  <si>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</si>
  <si>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</si>
  <si>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</si>
  <si>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</si>
  <si>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</si>
  <si>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</si>
  <si>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</si>
  <si>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</si>
  <si>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</si>
  <si>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</si>
  <si>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</si>
  <si>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</si>
  <si>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</si>
  <si>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</si>
  <si>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</si>
  <si>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</si>
  <si>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</si>
  <si>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</si>
  <si>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</si>
  <si>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</si>
  <si>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</si>
  <si>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</si>
  <si>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</si>
  <si>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</si>
  <si>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</si>
  <si>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</si>
  <si>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</si>
  <si>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</si>
  <si>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</si>
  <si>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</si>
  <si>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</si>
  <si>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</si>
  <si>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</si>
  <si>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</si>
  <si>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</si>
  <si>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</si>
  <si>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</si>
  <si>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</si>
  <si>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</si>
  <si>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</si>
  <si>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</si>
  <si>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</si>
  <si>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</si>
  <si>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</si>
  <si>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</si>
  <si>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</si>
  <si>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</si>
  <si>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</si>
  <si>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</si>
  <si>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</si>
  <si>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</si>
  <si>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</si>
  <si>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</si>
  <si>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</si>
  <si>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</si>
  <si>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</si>
  <si>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</si>
  <si>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</si>
  <si>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</si>
  <si>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</si>
  <si>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</si>
  <si>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</si>
  <si>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</si>
  <si>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</si>
  <si>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</si>
  <si>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</si>
  <si>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</si>
  <si>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</si>
  <si>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</si>
  <si>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</si>
  <si>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</si>
  <si>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</si>
  <si>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</si>
  <si>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</si>
  <si>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</si>
  <si>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</si>
  <si>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</si>
  <si>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</si>
  <si>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</si>
  <si>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</si>
  <si>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</si>
  <si>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</si>
  <si>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</si>
  <si>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</si>
  <si>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</si>
  <si>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</si>
  <si>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</si>
  <si>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</si>
  <si>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</si>
  <si>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</si>
  <si>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</si>
  <si>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</si>
  <si>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</si>
  <si>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</si>
  <si>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</si>
  <si>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</si>
  <si>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</si>
  <si>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</si>
  <si>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</si>
  <si>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</si>
  <si>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</si>
  <si>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</si>
  <si>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</si>
  <si>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</si>
  <si>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</si>
  <si>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</si>
  <si>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</si>
  <si>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</si>
  <si>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</si>
  <si>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</si>
  <si>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</si>
  <si>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</si>
  <si>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</si>
  <si>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</si>
  <si>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</si>
  <si>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</si>
  <si>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</si>
  <si>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</si>
  <si>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</si>
  <si>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</si>
  <si>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</si>
  <si>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</si>
  <si>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</si>
  <si>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</si>
  <si>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</si>
  <si>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</si>
  <si>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</si>
  <si>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</si>
  <si>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</si>
  <si>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</si>
  <si>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</si>
  <si>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</si>
  <si>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</si>
  <si>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</si>
  <si>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</si>
  <si>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</si>
  <si>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</si>
  <si>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</si>
  <si>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</si>
  <si>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</si>
  <si>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</si>
  <si>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</si>
  <si>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</si>
  <si>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</si>
  <si>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</si>
  <si>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</si>
  <si>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</si>
  <si>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</si>
  <si>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</si>
  <si>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</si>
  <si>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</si>
  <si>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</si>
  <si>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</si>
  <si>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</si>
  <si>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</si>
  <si>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</si>
  <si>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</si>
  <si>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</si>
  <si>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</si>
  <si>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</si>
  <si>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</si>
  <si>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</si>
  <si>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</si>
  <si>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</si>
  <si>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</si>
  <si>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</si>
  <si>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</si>
  <si>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</si>
  <si>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</si>
  <si>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</si>
  <si>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</si>
  <si>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</si>
  <si>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</si>
  <si>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</si>
  <si>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</si>
  <si>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</si>
  <si>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</si>
  <si>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</si>
  <si>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</si>
  <si>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</si>
  <si>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</si>
  <si>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</si>
  <si>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</si>
  <si>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</si>
  <si>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</si>
  <si>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</si>
  <si>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</si>
  <si>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</si>
  <si>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</si>
  <si>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</si>
  <si>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</si>
  <si>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</si>
  <si>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</si>
  <si>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</si>
  <si>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</si>
  <si>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</si>
  <si>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</si>
  <si>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</si>
  <si>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</si>
  <si>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</si>
  <si>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</si>
  <si>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</si>
  <si>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</si>
  <si>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</si>
  <si>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</si>
  <si>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</si>
  <si>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</si>
  <si>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</si>
  <si>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</si>
  <si>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</si>
  <si>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</si>
  <si>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</si>
  <si>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</si>
  <si>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</si>
  <si>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</si>
  <si>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</si>
  <si>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</si>
  <si>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</si>
  <si>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</si>
  <si>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</si>
  <si>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</si>
  <si>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</si>
  <si>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</si>
  <si>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</si>
  <si>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</si>
  <si>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</si>
  <si>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</si>
  <si>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</si>
  <si>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</si>
  <si>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</si>
  <si>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</si>
  <si>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</si>
  <si>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</si>
  <si>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</si>
  <si>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</si>
  <si>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</si>
  <si>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</si>
  <si>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</si>
  <si>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</si>
  <si>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</si>
  <si>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</si>
  <si>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</si>
  <si>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</si>
  <si>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</si>
  <si>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</si>
  <si>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</si>
  <si>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</si>
  <si>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</si>
  <si>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</si>
  <si>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</si>
  <si>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</si>
  <si>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</si>
  <si>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</si>
  <si>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</si>
  <si>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</si>
  <si>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</si>
  <si>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</si>
  <si>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</si>
  <si>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</si>
  <si>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</si>
  <si>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</si>
  <si>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</si>
  <si>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</si>
  <si>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</si>
  <si>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</si>
  <si>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</si>
  <si>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</si>
  <si>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</si>
  <si>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</si>
  <si>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</si>
  <si>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</si>
  <si>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</si>
  <si>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</si>
  <si>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</si>
  <si>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</si>
  <si>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</si>
  <si>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</si>
  <si>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</si>
  <si>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</si>
  <si>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</si>
  <si>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</si>
  <si>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</si>
  <si>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</si>
  <si>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</si>
  <si>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</si>
  <si>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</si>
  <si>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</si>
  <si>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</si>
  <si>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</si>
  <si>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</si>
  <si>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</si>
  <si>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</si>
  <si>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</si>
  <si>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</si>
  <si>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</si>
  <si>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</si>
  <si>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</si>
  <si>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</si>
  <si>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</si>
  <si>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</si>
  <si>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</si>
  <si>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</si>
  <si>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</si>
  <si>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</si>
  <si>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</si>
  <si>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</si>
  <si>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</si>
  <si>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</si>
  <si>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</si>
  <si>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</si>
  <si>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</si>
  <si>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</si>
  <si>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</si>
  <si>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</si>
  <si>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</si>
  <si>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</si>
  <si>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</si>
  <si>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</si>
  <si>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</si>
  <si>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</si>
  <si>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</si>
  <si>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</si>
  <si>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</si>
  <si>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</si>
  <si>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</si>
  <si>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</si>
  <si>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</si>
  <si>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</si>
  <si>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</si>
  <si>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</si>
  <si>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</si>
  <si>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</si>
  <si>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</si>
  <si>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</si>
  <si>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</si>
  <si>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</si>
  <si>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</si>
  <si>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</si>
  <si>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</si>
  <si>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</si>
  <si>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</si>
  <si>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</si>
  <si>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</si>
  <si>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</si>
  <si>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</si>
  <si>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</si>
  <si>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</si>
  <si>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</si>
  <si>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</si>
  <si>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</si>
  <si>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</si>
  <si>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</si>
  <si>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</si>
  <si>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</si>
  <si>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</si>
  <si>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</si>
  <si>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</si>
  <si>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</si>
  <si>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</si>
  <si>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</si>
  <si>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</si>
  <si>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</si>
  <si>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</si>
  <si>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</si>
  <si>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</si>
  <si>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</si>
  <si>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</si>
  <si>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</si>
  <si>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</si>
  <si>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</si>
  <si>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</si>
  <si>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</si>
  <si>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</si>
  <si>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</si>
  <si>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</si>
  <si>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</si>
  <si>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</si>
  <si>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</si>
  <si>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</si>
  <si>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</si>
  <si>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</si>
  <si>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</si>
  <si>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</si>
  <si>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</si>
  <si>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</si>
  <si>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</si>
  <si>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</si>
  <si>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</si>
  <si>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</si>
  <si>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</si>
  <si>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</si>
  <si>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</si>
  <si>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</si>
  <si>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</si>
  <si>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</si>
  <si>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</si>
  <si>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</si>
  <si>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</si>
  <si>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</si>
  <si>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</si>
  <si>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</si>
  <si>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</si>
  <si>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</si>
  <si>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</si>
  <si>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</si>
  <si>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</si>
  <si>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</si>
  <si>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</si>
  <si>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</si>
  <si>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</si>
  <si>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</si>
  <si>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</si>
  <si>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</si>
  <si>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</si>
  <si>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</si>
  <si>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</si>
  <si>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</si>
  <si>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</si>
  <si>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</si>
  <si>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</si>
  <si>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</si>
  <si>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</si>
  <si>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</si>
  <si>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</si>
  <si>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</si>
  <si>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</si>
  <si>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</si>
  <si>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</si>
  <si>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</si>
  <si>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</si>
  <si>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</si>
  <si>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</si>
  <si>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</si>
  <si>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</si>
  <si>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</si>
  <si>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</si>
  <si>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</si>
  <si>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</si>
  <si>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</si>
  <si>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</si>
  <si>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</si>
  <si>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</si>
  <si>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</si>
  <si>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</si>
  <si>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</si>
  <si>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</si>
  <si>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</si>
  <si>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</si>
  <si>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</si>
  <si>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</si>
  <si>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</si>
  <si>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</si>
  <si>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</si>
  <si>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</si>
  <si>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</si>
  <si>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</si>
  <si>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</si>
  <si>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</si>
  <si>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</si>
  <si>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</si>
  <si>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</si>
  <si>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</si>
  <si>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</si>
  <si>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</si>
  <si>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</si>
  <si>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</si>
  <si>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</si>
  <si>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</si>
  <si>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</si>
  <si>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</si>
  <si>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</si>
  <si>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</si>
  <si>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</si>
  <si>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</si>
  <si>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</si>
  <si>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</si>
  <si>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</si>
  <si>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</si>
  <si>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</si>
  <si>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</si>
  <si>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</si>
  <si>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</si>
  <si>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</si>
  <si>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</si>
  <si>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</si>
  <si>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</si>
  <si>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</si>
  <si>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</si>
  <si>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</si>
  <si>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</si>
  <si>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</si>
  <si>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</si>
  <si>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</si>
  <si>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</si>
  <si>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</si>
  <si>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</si>
  <si>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</si>
  <si>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</si>
  <si>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</si>
  <si>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</si>
  <si>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</si>
  <si>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</si>
  <si>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</si>
  <si>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</si>
  <si>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</si>
  <si>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</si>
  <si>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</si>
  <si>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</si>
  <si>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</si>
  <si>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</si>
  <si>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</si>
  <si>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</si>
  <si>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</si>
  <si>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</si>
  <si>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</si>
  <si>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</si>
  <si>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</si>
  <si>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</si>
  <si>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</si>
  <si>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</si>
  <si>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</si>
  <si>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</si>
  <si>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</si>
  <si>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</si>
  <si>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</si>
  <si>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</si>
  <si>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</si>
  <si>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</si>
  <si>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</si>
  <si>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</si>
  <si>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</si>
  <si>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</si>
  <si>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</si>
  <si>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</si>
  <si>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</si>
  <si>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</si>
  <si>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</si>
  <si>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</si>
  <si>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</si>
  <si>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</si>
  <si>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</si>
  <si>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</si>
  <si>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</si>
  <si>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</si>
  <si>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</si>
  <si>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</si>
  <si>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</si>
  <si>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</si>
  <si>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</si>
  <si>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</si>
  <si>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</si>
  <si>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</si>
  <si>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</si>
  <si>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</si>
  <si>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</si>
  <si>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</si>
  <si>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</si>
  <si>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</si>
  <si>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</si>
  <si>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</si>
  <si>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</si>
  <si>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</si>
  <si>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</si>
  <si>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</si>
  <si>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</si>
  <si>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</si>
  <si>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</si>
  <si>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</si>
  <si>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</si>
  <si>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</si>
  <si>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</si>
  <si>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</si>
  <si>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</si>
  <si>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</si>
  <si>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</si>
  <si>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</si>
  <si>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</si>
  <si>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</si>
  <si>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</si>
  <si>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</si>
  <si>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</si>
  <si>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</si>
  <si>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</si>
  <si>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</si>
  <si>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</si>
  <si>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</si>
  <si>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</si>
  <si>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</si>
  <si>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</si>
  <si>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</si>
  <si>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</si>
  <si>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</si>
  <si>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</si>
  <si>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</si>
  <si>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</si>
  <si>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</si>
  <si>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</si>
  <si>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</si>
  <si>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</si>
  <si>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</si>
  <si>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</si>
  <si>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</si>
  <si>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</si>
  <si>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</si>
  <si>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</si>
  <si>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</si>
  <si>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</si>
  <si>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</si>
  <si>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</si>
  <si>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</si>
  <si>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</si>
  <si>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</si>
  <si>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</si>
  <si>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</si>
  <si>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</si>
  <si>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</si>
  <si>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</si>
  <si>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</si>
  <si>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</si>
  <si>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</si>
  <si>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</si>
  <si>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</si>
  <si>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</si>
  <si>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</si>
  <si>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</si>
  <si>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</si>
  <si>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</si>
  <si>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</si>
  <si>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</si>
  <si>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</si>
  <si>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</si>
  <si>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</si>
  <si>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</si>
  <si>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</si>
  <si>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</si>
  <si>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</si>
  <si>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</si>
  <si>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</si>
  <si>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</si>
  <si>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</si>
  <si>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</si>
  <si>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</si>
  <si>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</si>
  <si>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</si>
  <si>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</si>
  <si>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</si>
  <si>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</si>
  <si>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</si>
  <si>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</si>
  <si>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</si>
  <si>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</si>
  <si>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</si>
  <si>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</si>
  <si>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</si>
  <si>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</si>
  <si>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</si>
  <si>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</si>
  <si>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</si>
  <si>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</si>
  <si>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</si>
  <si>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</si>
  <si>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</si>
  <si>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</si>
  <si>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</si>
  <si>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</si>
  <si>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</si>
  <si>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</si>
  <si>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</si>
  <si>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</si>
  <si>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</si>
  <si>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</si>
  <si>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</si>
  <si>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</si>
  <si>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</si>
  <si>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</si>
  <si>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</si>
  <si>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</si>
  <si>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</si>
  <si>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</si>
  <si>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</si>
  <si>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</si>
  <si>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</si>
  <si>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</si>
  <si>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</si>
  <si>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</si>
  <si>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</si>
  <si>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</si>
  <si>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</si>
  <si>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</si>
  <si>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</si>
  <si>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</si>
  <si>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</si>
  <si>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</si>
  <si>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</si>
  <si>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</si>
  <si>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</si>
  <si>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</si>
  <si>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</si>
  <si>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</si>
  <si>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</si>
  <si>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</si>
  <si>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</si>
  <si>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</si>
  <si>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</si>
  <si>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</si>
  <si>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</si>
  <si>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</si>
  <si>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</si>
  <si>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</si>
  <si>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</si>
  <si>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</si>
  <si>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</si>
  <si>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</si>
  <si>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</si>
  <si>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</si>
  <si>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</si>
  <si>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</si>
  <si>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</si>
  <si>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</si>
  <si>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</si>
  <si>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</si>
  <si>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</si>
  <si>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</si>
  <si>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</si>
  <si>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</si>
  <si>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</si>
  <si>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</si>
  <si>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</si>
  <si>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</si>
  <si>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</si>
  <si>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</si>
  <si>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</si>
  <si>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</si>
  <si>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</si>
  <si>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</si>
  <si>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</si>
  <si>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</si>
  <si>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</si>
  <si>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</si>
  <si>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</si>
  <si>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</si>
  <si>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</si>
  <si>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</si>
  <si>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</si>
  <si>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</si>
  <si>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</si>
  <si>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</si>
  <si>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</si>
  <si>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</si>
  <si>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</si>
  <si>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</si>
  <si>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</si>
  <si>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</si>
  <si>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</si>
  <si>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</si>
  <si>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</si>
  <si>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</si>
  <si>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</si>
  <si>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</si>
  <si>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</si>
  <si>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</si>
  <si>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</si>
  <si>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</si>
  <si>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</si>
  <si>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</si>
  <si>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</si>
  <si>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</si>
  <si>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</si>
  <si>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</si>
  <si>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</si>
  <si>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</si>
  <si>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</si>
  <si>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</si>
  <si>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</si>
  <si>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</si>
  <si>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</si>
  <si>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</si>
  <si>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</si>
  <si>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</si>
  <si>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</si>
  <si>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</si>
  <si>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</si>
  <si>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</si>
  <si>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</si>
  <si>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</si>
  <si>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</si>
  <si>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</si>
  <si>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</si>
  <si>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</si>
  <si>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</si>
  <si>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</si>
  <si>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</si>
  <si>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</si>
  <si>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</si>
  <si>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</si>
  <si>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</si>
  <si>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</si>
  <si>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</si>
  <si>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</si>
  <si>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</si>
  <si>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</si>
  <si>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</si>
  <si>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</si>
  <si>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</si>
  <si>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</si>
  <si>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</si>
  <si>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</si>
  <si>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</si>
  <si>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</si>
  <si>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</si>
  <si>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</si>
  <si>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</si>
  <si>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</si>
  <si>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</si>
  <si>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</si>
  <si>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</si>
  <si>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</si>
  <si>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</si>
  <si>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</si>
  <si>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</si>
  <si>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</si>
  <si>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</si>
  <si>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</si>
  <si>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</si>
  <si>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</si>
  <si>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</si>
  <si>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</si>
  <si>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</si>
  <si>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</si>
  <si>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</si>
  <si>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</si>
  <si>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</si>
  <si>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</si>
  <si>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</si>
  <si>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</si>
  <si>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</si>
  <si>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</si>
  <si>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</si>
  <si>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</si>
  <si>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</si>
  <si>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</si>
  <si>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</si>
  <si>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</si>
  <si>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</si>
  <si>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</si>
  <si>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</si>
  <si>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</si>
  <si>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</si>
  <si>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</si>
  <si>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</si>
  <si>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</si>
  <si>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</si>
  <si>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</si>
  <si>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</si>
  <si>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</si>
  <si>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</si>
  <si>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</si>
  <si>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</si>
  <si>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</si>
  <si>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</si>
  <si>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</si>
  <si>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</si>
  <si>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</si>
  <si>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</si>
  <si>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</si>
  <si>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</si>
  <si>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</si>
  <si>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</si>
  <si>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</si>
  <si>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</si>
  <si>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</si>
  <si>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</si>
  <si>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</si>
  <si>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</si>
  <si>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</si>
  <si>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</si>
  <si>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</si>
  <si>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</si>
  <si>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</si>
  <si>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</si>
  <si>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</si>
  <si>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</si>
  <si>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</si>
  <si>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</si>
  <si>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</si>
  <si>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</si>
  <si>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</si>
  <si>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</si>
  <si>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</si>
  <si>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</si>
  <si>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</si>
  <si>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</si>
  <si>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</si>
  <si>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</si>
  <si>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</si>
  <si>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</si>
  <si>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</si>
  <si>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</si>
  <si>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</si>
  <si>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</si>
  <si>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</si>
  <si>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</si>
  <si>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</si>
  <si>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</si>
  <si>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</si>
  <si>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</si>
  <si>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</si>
  <si>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</si>
  <si>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</si>
  <si>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</si>
  <si>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</si>
  <si>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</si>
  <si>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</si>
  <si>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</si>
  <si>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</si>
  <si>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</si>
  <si>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</si>
  <si>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</si>
  <si>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</si>
  <si>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</si>
  <si>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</si>
  <si>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</si>
  <si>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</si>
  <si>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</si>
  <si>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</si>
  <si>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</si>
  <si>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</si>
  <si>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</si>
  <si>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</si>
  <si>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</si>
  <si>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</si>
  <si>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</si>
  <si>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</si>
  <si>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</si>
  <si>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</si>
  <si>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</si>
  <si>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</si>
  <si>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</si>
  <si>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</si>
  <si>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</si>
  <si>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</si>
  <si>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</si>
  <si>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</si>
  <si>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</si>
  <si>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</si>
  <si>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</si>
  <si>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</si>
  <si>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</si>
  <si>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</si>
  <si>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</si>
  <si>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</si>
  <si>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</si>
  <si>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</si>
  <si>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</si>
  <si>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</si>
  <si>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</si>
  <si>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</si>
  <si>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</si>
  <si>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</si>
  <si>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</si>
  <si>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</si>
  <si>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</si>
  <si>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</si>
  <si>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</si>
  <si>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</si>
  <si>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</si>
  <si>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</si>
  <si>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</si>
  <si>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</si>
  <si>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</si>
  <si>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</si>
  <si>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</si>
  <si>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</si>
  <si>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</si>
  <si>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</si>
  <si>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</si>
  <si>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</si>
  <si>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</si>
  <si>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</si>
  <si>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</si>
  <si>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</si>
  <si>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</si>
  <si>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</si>
  <si>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</si>
  <si>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</si>
  <si>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</si>
  <si>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</si>
  <si>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</si>
  <si>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</si>
  <si>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</si>
  <si>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</si>
  <si>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</si>
  <si>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</si>
  <si>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</si>
  <si>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</si>
  <si>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</si>
  <si>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</si>
  <si>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</si>
  <si>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</si>
  <si>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</si>
  <si>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</si>
  <si>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</si>
  <si>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</si>
  <si>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</si>
  <si>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</si>
  <si>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</si>
  <si>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</si>
  <si>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</si>
  <si>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</si>
  <si>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</si>
  <si>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</si>
  <si>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</si>
  <si>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</si>
  <si>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</si>
  <si>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</si>
  <si>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</si>
  <si>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</si>
  <si>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</si>
  <si>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</si>
  <si>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</si>
  <si>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</si>
  <si>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</si>
  <si>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</si>
  <si>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</si>
  <si>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</si>
  <si>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</si>
  <si>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</si>
  <si>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</si>
  <si>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</si>
  <si>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</si>
  <si>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</si>
  <si>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</si>
  <si>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</si>
  <si>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</si>
  <si>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</si>
  <si>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</si>
  <si>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</si>
  <si>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</si>
  <si>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</si>
  <si>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</si>
  <si>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</si>
  <si>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</si>
  <si>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</si>
  <si>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</si>
  <si>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</si>
  <si>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</si>
  <si>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</si>
  <si>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</si>
  <si>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</si>
  <si>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</si>
  <si>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</si>
  <si>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</si>
  <si>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</si>
  <si>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</si>
  <si>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</si>
  <si>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</si>
  <si>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</si>
  <si>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</si>
  <si>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</si>
  <si>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</si>
  <si>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</si>
  <si>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</si>
  <si>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</si>
  <si>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</si>
  <si>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</si>
  <si>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</si>
  <si>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</si>
  <si>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</si>
  <si>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</si>
  <si>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</si>
  <si>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</si>
  <si>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</si>
  <si>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</si>
  <si>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</si>
  <si>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</si>
  <si>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</si>
  <si>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</si>
  <si>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</si>
  <si>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</si>
  <si>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</si>
  <si>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</si>
  <si>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</si>
  <si>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</si>
  <si>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</si>
  <si>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</si>
  <si>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</si>
  <si>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</si>
  <si>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</si>
  <si>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</si>
  <si>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</si>
  <si>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</si>
  <si>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</si>
  <si>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</si>
  <si>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</si>
  <si>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</si>
  <si>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</si>
  <si>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</si>
  <si>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</si>
  <si>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</si>
  <si>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</si>
  <si>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</si>
  <si>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</si>
  <si>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</si>
  <si>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</si>
  <si>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</si>
  <si>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</si>
  <si>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</si>
  <si>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</si>
  <si>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</si>
  <si>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</si>
  <si>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</si>
  <si>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</si>
  <si>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</si>
  <si>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</si>
  <si>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</si>
  <si>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</si>
  <si>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</si>
  <si>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</si>
  <si>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</si>
  <si>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</si>
  <si>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</si>
  <si>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</si>
  <si>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</si>
  <si>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</si>
  <si>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</si>
  <si>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</si>
  <si>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</si>
  <si>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</si>
  <si>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</si>
  <si>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</si>
  <si>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</si>
  <si>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</si>
  <si>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</si>
  <si>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</si>
  <si>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</si>
  <si>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</si>
  <si>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</si>
  <si>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</si>
  <si>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</si>
  <si>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</si>
  <si>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</si>
  <si>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</si>
  <si>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</si>
  <si>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</si>
  <si>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</si>
  <si>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</si>
  <si>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</si>
  <si>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</si>
  <si>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</si>
  <si>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</si>
  <si>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</si>
  <si>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</si>
  <si>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</si>
  <si>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</si>
  <si>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</si>
  <si>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</si>
  <si>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</si>
  <si>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</si>
  <si>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</si>
  <si>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</si>
  <si>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</si>
  <si>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</si>
  <si>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</si>
  <si>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</si>
  <si>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</si>
  <si>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</si>
  <si>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</si>
  <si>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</si>
  <si>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</si>
  <si>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</si>
  <si>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</si>
  <si>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</si>
  <si>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</si>
  <si>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</si>
  <si>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</si>
  <si>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</si>
  <si>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</si>
  <si>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</si>
  <si>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</si>
  <si>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</si>
  <si>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</si>
  <si>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</si>
  <si>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</si>
  <si>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</si>
  <si>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</si>
  <si>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</si>
  <si>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</si>
  <si>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</si>
  <si>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</si>
  <si>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</si>
  <si>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</si>
  <si>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</si>
  <si>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</si>
  <si>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</si>
  <si>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</si>
  <si>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</si>
  <si>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</si>
  <si>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</si>
  <si>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</si>
  <si>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</si>
  <si>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</si>
  <si>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</si>
  <si>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</si>
  <si>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</si>
  <si>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</si>
  <si>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</si>
  <si>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</si>
  <si>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</si>
  <si>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</si>
  <si>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</si>
  <si>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</si>
  <si>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</si>
  <si>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</si>
  <si>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</si>
  <si>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</si>
  <si>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</si>
  <si>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</si>
  <si>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</si>
  <si>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</si>
  <si>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</si>
  <si>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</si>
  <si>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</si>
  <si>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RSA_OSA</t>
  </si>
  <si>
    <t>IDREPARTO</t>
  </si>
  <si>
    <t>DESCRIZIONE</t>
  </si>
  <si>
    <t>reparto prova</t>
  </si>
  <si>
    <t>prova2</t>
  </si>
  <si>
    <t>ON</t>
  </si>
  <si>
    <t>OG</t>
  </si>
  <si>
    <t>Sesso</t>
  </si>
  <si>
    <t>OSA1</t>
  </si>
  <si>
    <t>OSA2</t>
  </si>
  <si>
    <t>OSA3</t>
  </si>
  <si>
    <t>C04</t>
  </si>
  <si>
    <t>ON;2</t>
  </si>
  <si>
    <t>ON;3</t>
  </si>
  <si>
    <t>ON;4</t>
  </si>
  <si>
    <t>ON;5</t>
  </si>
  <si>
    <t>ON;6</t>
  </si>
  <si>
    <t>ON;7</t>
  </si>
  <si>
    <t>ON;8</t>
  </si>
  <si>
    <t>ON;9</t>
  </si>
  <si>
    <t>ON;10</t>
  </si>
  <si>
    <t>ON;11</t>
  </si>
  <si>
    <t>ON;1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</si>
  <si>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</si>
  <si>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</si>
  <si>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</si>
  <si>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</si>
  <si>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</si>
  <si>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</si>
  <si>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</si>
  <si>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</si>
  <si>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</si>
  <si>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</si>
  <si>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</si>
  <si>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</si>
  <si>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</si>
  <si>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</si>
  <si>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</si>
  <si>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</si>
  <si>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</si>
  <si>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</si>
  <si>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</si>
  <si>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</si>
  <si>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</si>
  <si>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</si>
  <si>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</si>
  <si>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</si>
  <si>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</si>
  <si>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</si>
  <si>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</si>
  <si>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</si>
  <si>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</si>
  <si>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</si>
  <si>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</si>
  <si>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</si>
  <si>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OG;4</t>
  </si>
  <si>
    <t>OG;5</t>
  </si>
  <si>
    <t>OG;6</t>
  </si>
  <si>
    <t>OG;1</t>
  </si>
  <si>
    <t>OG;2</t>
  </si>
  <si>
    <t>OG;3</t>
  </si>
  <si>
    <t>La L104 si considera nel monte ore ??</t>
  </si>
  <si>
    <t>IDTURNO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</si>
  <si>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</si>
  <si>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</si>
  <si>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</si>
  <si>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</si>
  <si>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</si>
  <si>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</si>
  <si>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</si>
  <si>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</si>
  <si>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</si>
  <si>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</si>
  <si>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</si>
  <si>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</si>
  <si>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</si>
  <si>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</si>
  <si>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</si>
  <si>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</si>
  <si>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</si>
  <si>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</si>
  <si>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</si>
  <si>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</si>
  <si>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</si>
  <si>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</si>
  <si>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</si>
  <si>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</si>
  <si>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</si>
  <si>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</si>
  <si>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</si>
  <si>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</si>
  <si>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</si>
  <si>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</si>
  <si>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</si>
  <si>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</si>
  <si>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</si>
  <si>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</si>
  <si>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</si>
  <si>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</si>
  <si>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</si>
  <si>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</si>
  <si>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</si>
  <si>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</si>
  <si>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</si>
  <si>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</si>
  <si>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</si>
  <si>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</si>
  <si>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</si>
  <si>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</si>
  <si>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</si>
  <si>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</si>
  <si>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nulla;1</t>
  </si>
  <si>
    <t>ORE</t>
  </si>
  <si>
    <t>MONTE_ORE</t>
  </si>
  <si>
    <t>M_ORE</t>
  </si>
  <si>
    <t>WEEK</t>
  </si>
  <si>
    <t>TURNO BASE DELLA WEEK 44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</si>
  <si>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</si>
  <si>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</si>
  <si>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</si>
  <si>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</si>
  <si>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</si>
  <si>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</si>
  <si>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</si>
  <si>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</si>
  <si>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</si>
  <si>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</si>
  <si>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</si>
  <si>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</si>
  <si>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</si>
  <si>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</si>
  <si>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</si>
  <si>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</si>
  <si>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</si>
  <si>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</si>
  <si>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</si>
  <si>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</si>
  <si>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</si>
  <si>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</si>
  <si>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</si>
  <si>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</si>
  <si>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</si>
  <si>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</si>
  <si>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</si>
  <si>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</si>
  <si>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</si>
  <si>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</si>
  <si>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</si>
  <si>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</si>
  <si>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</si>
  <si>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</si>
  <si>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</si>
  <si>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</si>
  <si>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</si>
  <si>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</si>
  <si>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WEEK 45 da lunedi 07/11/2016</t>
  </si>
  <si>
    <t>WEEK 46 da lunedi 14/11/2016</t>
  </si>
  <si>
    <t>WEEK 47 da lunedi 21/11/2016</t>
  </si>
  <si>
    <t>WEEK 48 da lunedi 28/11/2016</t>
  </si>
  <si>
    <t>1_2017-01-02</t>
  </si>
  <si>
    <t>2_2017-01-02</t>
  </si>
  <si>
    <t>3_2017-01-02</t>
  </si>
  <si>
    <t>4_2017-01-02</t>
  </si>
  <si>
    <t>5_2017-01-02</t>
  </si>
  <si>
    <t>6_2017-01-02</t>
  </si>
  <si>
    <t>7_2017-01-02</t>
  </si>
  <si>
    <t>8_2017-01-02</t>
  </si>
  <si>
    <t>9_2017-01-02</t>
  </si>
  <si>
    <t>10_2017-01-02</t>
  </si>
  <si>
    <t>11_2017-01-02</t>
  </si>
  <si>
    <t>12_2017-01-02</t>
  </si>
  <si>
    <t>30_2017-01-02</t>
  </si>
  <si>
    <t>13_2017-01-02</t>
  </si>
  <si>
    <t>31_2017-01-02</t>
  </si>
  <si>
    <t>14_2017-01-02</t>
  </si>
  <si>
    <t>15_2017-01-02</t>
  </si>
  <si>
    <t>16_2017-01-02</t>
  </si>
  <si>
    <t>17_2017-01-02</t>
  </si>
  <si>
    <t>18_2017-01-02</t>
  </si>
  <si>
    <t>19_2017-01-02</t>
  </si>
  <si>
    <t>20_2017-01-02</t>
  </si>
  <si>
    <t>32_2017-01-02</t>
  </si>
  <si>
    <t>21_2017-01-02</t>
  </si>
  <si>
    <t>22_2017-01-02</t>
  </si>
  <si>
    <t>23_2017-01-02</t>
  </si>
  <si>
    <t>24_2017-01-02</t>
  </si>
  <si>
    <t>25_2017-01-02</t>
  </si>
  <si>
    <t>26_2017-01-02</t>
  </si>
  <si>
    <t>27_2017-01-02</t>
  </si>
  <si>
    <t>28_2017-01-02</t>
  </si>
  <si>
    <t>29_2017-01-02</t>
  </si>
  <si>
    <t>33_2017-01-02</t>
  </si>
  <si>
    <t>34_2017-01-02</t>
  </si>
  <si>
    <t>36_2017-01-02</t>
  </si>
  <si>
    <t>35_2017-01-02</t>
  </si>
  <si>
    <t>Tnuovo</t>
  </si>
  <si>
    <t>WEEK 49 da lunedi 05/12/2016</t>
  </si>
  <si>
    <t>WEEK 50 da lunedi 12/12/2016</t>
  </si>
  <si>
    <t>WEEK 51 da lunedi 19/12/2016</t>
  </si>
  <si>
    <t>WEEK 52 da lunedi 26/12/2016</t>
  </si>
  <si>
    <t>C:\Users\User\Desktop\TURNAZIONE\rsa.sqlite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</si>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</sst>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  <xf numFmtId="0" fontId="0" fillId="0" borderId="0" xfId="0" applyBorder="1"/>
    <xf numFmtId="0" fontId="0" fillId="0" borderId="0" xfId="0" quotePrefix="1"/>
    <xf numFmtId="20" fontId="0" fillId="0" borderId="0" xfId="0" applyNumberFormat="1"/>
    <xf numFmtId="46" fontId="0" fillId="0" borderId="0" xfId="0" applyNumberFormat="1"/>
    <xf numFmtId="14" fontId="2" fillId="0" borderId="0" xfId="0" applyNumberFormat="1" applyFont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 applyBorder="1"/>
    <xf numFmtId="0" fontId="3" fillId="2" borderId="0" xfId="0" applyFont="1" applyFill="1" applyAlignment="1">
      <alignment horizontal="center" vertical="top" textRotation="90"/>
    </xf>
    <xf numFmtId="0" fontId="3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37"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numFmt numFmtId="26" formatCode="hh:mm:ss"/>
    </dxf>
    <dxf>
      <numFmt numFmtId="26" formatCode="h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0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2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1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3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3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3.xml><?xml version="1.0" encoding="utf-8"?>
<queryTable xmlns="http://schemas.openxmlformats.org/spreadsheetml/2006/main" name="DatiEsterni_2" connectionId="9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0" tableType="queryTable" totalsRowShown="0">
  <autoFilter ref="A4:D40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97" tableType="queryTable" totalsRowShown="0">
  <autoFilter ref="A4:M97">
    <filterColumn colId="0">
      <filters>
        <filter val="OG"/>
        <filter val="ON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35"/>
    <tableColumn id="3" uniqueName="3" name="ORA_FINE" queryTableFieldId="3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3028" tableType="queryTable" totalsRowShown="0">
  <autoFilter ref="A4:P3028">
    <filterColumn colId="1">
      <filters>
        <filter val="Guarino"/>
      </filters>
    </filterColumn>
    <filterColumn colId="6">
      <customFilters>
        <customFilter operator="notEqual" val=" "/>
      </customFilters>
    </filterColumn>
    <filterColumn colId="8">
      <filters>
        <filter val="2016"/>
      </filters>
    </filterColumn>
  </autoFilter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32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27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26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5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20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19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8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13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12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1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6" name="tab_2016_45_52" displayName="tab_2016_45_52" ref="A9:C45" tableType="queryTable" totalsRowShown="0" headerRowDxfId="2">
  <autoFilter ref="A9:C45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9" name="tab_2016_45_52turnoBase" displayName="tab_2016_45_52turnoBase" ref="J9:V45" tableType="queryTable" totalsRowShown="0" headerRowDxfId="1">
  <autoFilter ref="J9:V45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0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9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7.v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8.v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9.v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AC45"/>
  <sheetViews>
    <sheetView zoomScale="70" zoomScaleNormal="70" workbookViewId="0">
      <selection activeCell="A20" sqref="A20"/>
    </sheetView>
  </sheetViews>
  <sheetFormatPr defaultRowHeight="15"/>
  <cols>
    <col min="1" max="1" width="11" bestFit="1" customWidth="1"/>
    <col min="2" max="2" width="13.140625" bestFit="1" customWidth="1"/>
    <col min="4" max="4" width="9.5703125" bestFit="1" customWidth="1"/>
    <col min="29" max="29" width="10" bestFit="1" customWidth="1"/>
  </cols>
  <sheetData>
    <row r="2" spans="1:29">
      <c r="N2" t="s">
        <v>1328</v>
      </c>
      <c r="O2" t="s">
        <v>1256</v>
      </c>
      <c r="P2" t="s">
        <v>1257</v>
      </c>
      <c r="Q2" t="s">
        <v>1258</v>
      </c>
      <c r="R2" t="s">
        <v>1259</v>
      </c>
      <c r="S2" t="s">
        <v>1260</v>
      </c>
      <c r="T2" t="s">
        <v>1261</v>
      </c>
      <c r="U2" t="s">
        <v>1262</v>
      </c>
    </row>
    <row r="3" spans="1:29">
      <c r="N3">
        <v>1</v>
      </c>
      <c r="O3" t="s">
        <v>73</v>
      </c>
      <c r="P3" t="s">
        <v>74</v>
      </c>
      <c r="Q3" t="s">
        <v>75</v>
      </c>
      <c r="R3" t="s">
        <v>75</v>
      </c>
      <c r="S3" t="s">
        <v>76</v>
      </c>
      <c r="T3" t="s">
        <v>77</v>
      </c>
      <c r="U3" t="s">
        <v>73</v>
      </c>
      <c r="V3" s="7">
        <v>0</v>
      </c>
      <c r="W3" s="7">
        <v>0.29166666666666669</v>
      </c>
      <c r="X3" s="7">
        <v>0.29166666666666669</v>
      </c>
      <c r="Y3" s="7">
        <v>0.29166666666666669</v>
      </c>
      <c r="Z3" s="7">
        <v>0.41666666666666669</v>
      </c>
      <c r="AA3" s="7">
        <v>0</v>
      </c>
      <c r="AB3" s="7">
        <v>0</v>
      </c>
      <c r="AC3" s="8">
        <v>1.2916666666666667</v>
      </c>
    </row>
    <row r="4" spans="1:29">
      <c r="N4">
        <v>2</v>
      </c>
      <c r="O4" t="s">
        <v>74</v>
      </c>
      <c r="P4" t="s">
        <v>75</v>
      </c>
      <c r="Q4" t="s">
        <v>75</v>
      </c>
      <c r="R4" t="s">
        <v>75</v>
      </c>
      <c r="S4" t="s">
        <v>75</v>
      </c>
      <c r="T4" t="s">
        <v>73</v>
      </c>
      <c r="U4" t="s">
        <v>75</v>
      </c>
      <c r="V4" s="7">
        <v>0.29166666666666669</v>
      </c>
      <c r="W4" s="7">
        <v>0.29166666666666669</v>
      </c>
      <c r="X4" s="7">
        <v>0.29166666666666669</v>
      </c>
      <c r="Y4" s="7">
        <v>0.29166666666666669</v>
      </c>
      <c r="Z4" s="7">
        <v>0.29166666666666669</v>
      </c>
      <c r="AA4" s="7">
        <v>0</v>
      </c>
      <c r="AB4" s="7">
        <v>0.29166666666666669</v>
      </c>
      <c r="AC4" s="8">
        <v>1.75</v>
      </c>
    </row>
    <row r="5" spans="1:29">
      <c r="N5">
        <v>3</v>
      </c>
      <c r="O5" t="s">
        <v>74</v>
      </c>
      <c r="P5" t="s">
        <v>75</v>
      </c>
      <c r="Q5" t="s">
        <v>76</v>
      </c>
      <c r="R5" t="s">
        <v>77</v>
      </c>
      <c r="S5" t="s">
        <v>73</v>
      </c>
      <c r="T5" t="s">
        <v>74</v>
      </c>
      <c r="U5" t="s">
        <v>75</v>
      </c>
      <c r="V5" s="7">
        <v>0.29166666666666669</v>
      </c>
      <c r="W5" s="7">
        <v>0.29166666666666669</v>
      </c>
      <c r="X5" s="7">
        <v>0.41666666666666669</v>
      </c>
      <c r="Y5" s="7">
        <v>0</v>
      </c>
      <c r="Z5" s="7">
        <v>0</v>
      </c>
      <c r="AA5" s="7">
        <v>0.29166666666666669</v>
      </c>
      <c r="AB5" s="7">
        <v>0.29166666666666669</v>
      </c>
      <c r="AC5" s="8">
        <v>1.5833333333333333</v>
      </c>
    </row>
    <row r="6" spans="1:29">
      <c r="N6">
        <v>4</v>
      </c>
      <c r="O6" t="s">
        <v>74</v>
      </c>
      <c r="P6" t="s">
        <v>75</v>
      </c>
      <c r="Q6" t="s">
        <v>74</v>
      </c>
      <c r="R6" t="s">
        <v>73</v>
      </c>
      <c r="S6" t="s">
        <v>74</v>
      </c>
      <c r="T6" t="s">
        <v>74</v>
      </c>
      <c r="U6" t="s">
        <v>75</v>
      </c>
      <c r="V6" s="7">
        <v>0.29166666666666669</v>
      </c>
      <c r="W6" s="7">
        <v>0.29166666666666669</v>
      </c>
      <c r="X6" s="7">
        <v>0.29166666666666669</v>
      </c>
      <c r="Y6" s="7">
        <v>0</v>
      </c>
      <c r="Z6" s="7">
        <v>0.29166666666666669</v>
      </c>
      <c r="AA6" s="7">
        <v>0.29166666666666669</v>
      </c>
      <c r="AB6" s="7">
        <v>0.29166666666666669</v>
      </c>
      <c r="AC6" s="8">
        <v>1.75</v>
      </c>
    </row>
    <row r="7" spans="1:29">
      <c r="N7">
        <v>5</v>
      </c>
      <c r="O7" t="s">
        <v>76</v>
      </c>
      <c r="P7" t="s">
        <v>77</v>
      </c>
      <c r="Q7" t="s">
        <v>73</v>
      </c>
      <c r="R7" t="s">
        <v>74</v>
      </c>
      <c r="S7" t="s">
        <v>75</v>
      </c>
      <c r="T7" t="s">
        <v>75</v>
      </c>
      <c r="U7" t="s">
        <v>76</v>
      </c>
      <c r="V7" s="7">
        <v>0.41666666666666669</v>
      </c>
      <c r="W7" s="7">
        <v>0</v>
      </c>
      <c r="X7" s="7">
        <v>0</v>
      </c>
      <c r="Y7" s="7">
        <v>0.29166666666666669</v>
      </c>
      <c r="Z7" s="7">
        <v>0.29166666666666669</v>
      </c>
      <c r="AA7" s="7">
        <v>0.29166666666666669</v>
      </c>
      <c r="AB7" s="7">
        <v>0.41666666666666669</v>
      </c>
      <c r="AC7" s="8">
        <v>1.7083333333333333</v>
      </c>
    </row>
    <row r="8" spans="1:29">
      <c r="N8">
        <v>6</v>
      </c>
      <c r="O8" t="s">
        <v>77</v>
      </c>
      <c r="P8" t="s">
        <v>73</v>
      </c>
      <c r="Q8" t="s">
        <v>74</v>
      </c>
      <c r="R8" t="s">
        <v>74</v>
      </c>
      <c r="S8" t="s">
        <v>75</v>
      </c>
      <c r="T8" t="s">
        <v>75</v>
      </c>
      <c r="U8" t="s">
        <v>74</v>
      </c>
      <c r="V8" s="7">
        <v>0</v>
      </c>
      <c r="W8" s="7">
        <v>0</v>
      </c>
      <c r="X8" s="7">
        <v>0.29166666666666669</v>
      </c>
      <c r="Y8" s="7">
        <v>0.29166666666666669</v>
      </c>
      <c r="Z8" s="7">
        <v>0.29166666666666669</v>
      </c>
      <c r="AA8" s="7">
        <v>0.29166666666666669</v>
      </c>
      <c r="AB8" s="7">
        <v>0.29166666666666669</v>
      </c>
      <c r="AC8" s="8">
        <v>1.4583333333333333</v>
      </c>
    </row>
    <row r="9" spans="1:29">
      <c r="N9">
        <v>7</v>
      </c>
      <c r="O9" t="s">
        <v>73</v>
      </c>
      <c r="P9" t="s">
        <v>74</v>
      </c>
      <c r="Q9" t="s">
        <v>75</v>
      </c>
      <c r="R9" t="s">
        <v>74</v>
      </c>
      <c r="S9" t="s">
        <v>74</v>
      </c>
      <c r="T9" t="s">
        <v>75</v>
      </c>
      <c r="U9" t="s">
        <v>73</v>
      </c>
      <c r="V9" s="7">
        <v>0</v>
      </c>
      <c r="W9" s="7">
        <v>0.29166666666666669</v>
      </c>
      <c r="X9" s="7">
        <v>0.29166666666666669</v>
      </c>
      <c r="Y9" s="7">
        <v>0.29166666666666669</v>
      </c>
      <c r="Z9" s="7">
        <v>0.29166666666666669</v>
      </c>
      <c r="AA9" s="7">
        <v>0.29166666666666669</v>
      </c>
      <c r="AB9" s="7">
        <v>0</v>
      </c>
      <c r="AC9" s="8">
        <v>1.4583333333333333</v>
      </c>
    </row>
    <row r="10" spans="1:29">
      <c r="N10">
        <v>8</v>
      </c>
      <c r="O10" t="s">
        <v>75</v>
      </c>
      <c r="P10" t="s">
        <v>75</v>
      </c>
      <c r="Q10" t="s">
        <v>75</v>
      </c>
      <c r="R10" t="s">
        <v>76</v>
      </c>
      <c r="S10" t="s">
        <v>77</v>
      </c>
      <c r="T10" t="s">
        <v>73</v>
      </c>
      <c r="U10" t="s">
        <v>74</v>
      </c>
      <c r="V10" s="7">
        <v>0.29166666666666669</v>
      </c>
      <c r="W10" s="7">
        <v>0.29166666666666669</v>
      </c>
      <c r="X10" s="7">
        <v>0.29166666666666669</v>
      </c>
      <c r="Y10" s="7">
        <v>0.41666666666666669</v>
      </c>
      <c r="Z10" s="7">
        <v>0</v>
      </c>
      <c r="AA10" s="7">
        <v>0</v>
      </c>
      <c r="AB10" s="7">
        <v>0.29166666666666669</v>
      </c>
      <c r="AC10" s="8">
        <v>1.5833333333333333</v>
      </c>
    </row>
    <row r="11" spans="1:29">
      <c r="N11">
        <v>9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74</v>
      </c>
      <c r="V11" s="7">
        <v>0.29166666666666669</v>
      </c>
      <c r="W11" s="7">
        <v>0.29166666666666669</v>
      </c>
      <c r="X11" s="7">
        <v>0.29166666666666669</v>
      </c>
      <c r="Y11" s="7">
        <v>0.29166666666666669</v>
      </c>
      <c r="Z11" s="7">
        <v>0</v>
      </c>
      <c r="AA11" s="7">
        <v>0.29166666666666669</v>
      </c>
      <c r="AB11" s="7">
        <v>0.29166666666666669</v>
      </c>
      <c r="AC11" s="8">
        <v>1.75</v>
      </c>
    </row>
    <row r="12" spans="1:29">
      <c r="A12" s="4" t="s">
        <v>1267</v>
      </c>
      <c r="B12" s="4" t="s">
        <v>1268</v>
      </c>
      <c r="N12">
        <v>10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75</v>
      </c>
      <c r="V12" s="7">
        <v>0.29166666666666669</v>
      </c>
      <c r="W12" s="7">
        <v>0.41666666666666669</v>
      </c>
      <c r="X12" s="7">
        <v>0</v>
      </c>
      <c r="Y12" s="7">
        <v>0</v>
      </c>
      <c r="Z12" s="7">
        <v>0.29166666666666669</v>
      </c>
      <c r="AA12" s="7">
        <v>0.29166666666666669</v>
      </c>
      <c r="AB12" s="7">
        <v>0.29166666666666669</v>
      </c>
      <c r="AC12" s="8">
        <v>1.5833333333333333</v>
      </c>
    </row>
    <row r="13" spans="1:29">
      <c r="A13">
        <v>1</v>
      </c>
      <c r="B13" t="s">
        <v>1266</v>
      </c>
      <c r="N13">
        <v>11</v>
      </c>
      <c r="O13" t="s">
        <v>75</v>
      </c>
      <c r="P13" t="s">
        <v>75</v>
      </c>
      <c r="Q13" t="s">
        <v>73</v>
      </c>
      <c r="R13" t="s">
        <v>75</v>
      </c>
      <c r="S13" t="s">
        <v>75</v>
      </c>
      <c r="T13" t="s">
        <v>76</v>
      </c>
      <c r="U13" t="s">
        <v>77</v>
      </c>
      <c r="V13" s="7">
        <v>0.29166666666666669</v>
      </c>
      <c r="W13" s="7">
        <v>0.29166666666666669</v>
      </c>
      <c r="X13" s="7">
        <v>0</v>
      </c>
      <c r="Y13" s="7">
        <v>0.29166666666666669</v>
      </c>
      <c r="Z13" s="7">
        <v>0.29166666666666669</v>
      </c>
      <c r="AA13" s="7">
        <v>0.41666666666666669</v>
      </c>
      <c r="AB13" s="7">
        <v>0</v>
      </c>
      <c r="AC13" s="8">
        <v>1.5833333333333333</v>
      </c>
    </row>
    <row r="14" spans="1:29">
      <c r="A14">
        <v>999</v>
      </c>
      <c r="B14" t="s">
        <v>1269</v>
      </c>
    </row>
    <row r="15" spans="1:29">
      <c r="A15">
        <v>8888</v>
      </c>
      <c r="B15" t="s">
        <v>1270</v>
      </c>
    </row>
    <row r="16" spans="1:29">
      <c r="N16" t="s">
        <v>1328</v>
      </c>
      <c r="O16" t="s">
        <v>1256</v>
      </c>
      <c r="P16" t="s">
        <v>1257</v>
      </c>
      <c r="Q16" t="s">
        <v>1258</v>
      </c>
      <c r="R16" t="s">
        <v>1259</v>
      </c>
      <c r="S16" t="s">
        <v>1260</v>
      </c>
      <c r="T16" t="s">
        <v>1261</v>
      </c>
      <c r="U16" t="s">
        <v>1262</v>
      </c>
    </row>
    <row r="17" spans="1:29">
      <c r="N17">
        <v>1</v>
      </c>
      <c r="O17" t="s">
        <v>95</v>
      </c>
      <c r="P17" t="s">
        <v>91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</row>
    <row r="18" spans="1:29">
      <c r="N18">
        <v>2</v>
      </c>
      <c r="O18" t="s">
        <v>91</v>
      </c>
      <c r="P18" t="s">
        <v>95</v>
      </c>
      <c r="Q18" t="s">
        <v>91</v>
      </c>
      <c r="R18" t="s">
        <v>73</v>
      </c>
      <c r="S18" t="s">
        <v>91</v>
      </c>
      <c r="T18" t="s">
        <v>95</v>
      </c>
      <c r="U18" t="s">
        <v>91</v>
      </c>
    </row>
    <row r="19" spans="1:29">
      <c r="N19">
        <v>3</v>
      </c>
      <c r="O19" t="s">
        <v>91</v>
      </c>
      <c r="P19" t="s">
        <v>91</v>
      </c>
      <c r="Q19" t="s">
        <v>73</v>
      </c>
      <c r="R19" t="s">
        <v>95</v>
      </c>
      <c r="S19" t="s">
        <v>95</v>
      </c>
      <c r="T19" t="s">
        <v>91</v>
      </c>
      <c r="U19" t="s">
        <v>95</v>
      </c>
    </row>
    <row r="20" spans="1:29">
      <c r="A20" t="s">
        <v>1327</v>
      </c>
      <c r="N20">
        <v>4</v>
      </c>
      <c r="O20" t="s">
        <v>95</v>
      </c>
      <c r="P20" t="s">
        <v>73</v>
      </c>
      <c r="Q20" t="s">
        <v>91</v>
      </c>
      <c r="R20" t="s">
        <v>95</v>
      </c>
      <c r="S20" t="s">
        <v>91</v>
      </c>
      <c r="T20" t="s">
        <v>95</v>
      </c>
      <c r="U20" t="s">
        <v>95</v>
      </c>
    </row>
    <row r="21" spans="1:29">
      <c r="N21">
        <v>5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</row>
    <row r="22" spans="1:29">
      <c r="N22">
        <v>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</row>
    <row r="23" spans="1:29">
      <c r="N23">
        <v>7</v>
      </c>
      <c r="O23" t="s">
        <v>75</v>
      </c>
      <c r="P23" t="s">
        <v>73</v>
      </c>
      <c r="Q23" t="s">
        <v>75</v>
      </c>
      <c r="R23" t="s">
        <v>74</v>
      </c>
      <c r="S23" t="s">
        <v>75</v>
      </c>
      <c r="T23" t="s">
        <v>73</v>
      </c>
      <c r="U23" t="s">
        <v>75</v>
      </c>
    </row>
    <row r="25" spans="1:29">
      <c r="O25" t="s">
        <v>75</v>
      </c>
      <c r="P25" t="s">
        <v>74</v>
      </c>
      <c r="Q25" t="s">
        <v>75</v>
      </c>
      <c r="R25" t="s">
        <v>75</v>
      </c>
      <c r="S25" t="s">
        <v>73</v>
      </c>
      <c r="T25" t="s">
        <v>74</v>
      </c>
      <c r="U25" t="s">
        <v>74</v>
      </c>
      <c r="V25" s="7">
        <v>0.29166666666666669</v>
      </c>
      <c r="W25" s="7">
        <v>0.29166666666666669</v>
      </c>
      <c r="X25" s="7">
        <v>0.29166666666666669</v>
      </c>
      <c r="Y25" s="7">
        <v>0.29166666666666669</v>
      </c>
      <c r="Z25" s="7">
        <v>0</v>
      </c>
      <c r="AA25" s="7">
        <v>0.29166666666666669</v>
      </c>
      <c r="AB25" s="7">
        <v>0.29166666666666669</v>
      </c>
      <c r="AC25" s="8">
        <v>1.2916666666666667</v>
      </c>
    </row>
    <row r="26" spans="1:29"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74</v>
      </c>
      <c r="V26" s="7">
        <v>0.29166666666666669</v>
      </c>
      <c r="W26" s="7">
        <v>0.29166666666666669</v>
      </c>
      <c r="X26" s="7">
        <v>0.29166666666666669</v>
      </c>
      <c r="Y26" s="7">
        <v>0</v>
      </c>
      <c r="Z26" s="7">
        <v>0.29166666666666669</v>
      </c>
      <c r="AA26" s="7">
        <v>0.29166666666666669</v>
      </c>
      <c r="AB26" s="7">
        <v>0.29166666666666669</v>
      </c>
      <c r="AC26" s="8">
        <v>1.75</v>
      </c>
    </row>
    <row r="27" spans="1:29">
      <c r="O27" t="s">
        <v>74</v>
      </c>
      <c r="P27" t="s">
        <v>74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s="7">
        <v>0.29166666666666669</v>
      </c>
      <c r="W27" s="7">
        <v>0.29166666666666669</v>
      </c>
      <c r="X27" s="7">
        <v>0</v>
      </c>
      <c r="Y27" s="7">
        <v>0.29166666666666669</v>
      </c>
      <c r="Z27" s="7">
        <v>0.29166666666666669</v>
      </c>
      <c r="AA27" s="7">
        <v>0.29166666666666669</v>
      </c>
      <c r="AB27" s="7">
        <v>0.29166666666666669</v>
      </c>
      <c r="AC27" s="8">
        <v>1.5833333333333333</v>
      </c>
    </row>
    <row r="28" spans="1:29">
      <c r="O28" t="s">
        <v>75</v>
      </c>
      <c r="P28" t="s">
        <v>73</v>
      </c>
      <c r="Q28" t="s">
        <v>74</v>
      </c>
      <c r="R28" t="s">
        <v>75</v>
      </c>
      <c r="S28" t="s">
        <v>74</v>
      </c>
      <c r="T28" t="s">
        <v>75</v>
      </c>
      <c r="U28" t="s">
        <v>75</v>
      </c>
      <c r="V28" s="7">
        <v>0.29166666666666669</v>
      </c>
      <c r="W28" s="7">
        <v>0</v>
      </c>
      <c r="X28" s="7">
        <v>0.29166666666666669</v>
      </c>
      <c r="Y28" s="7">
        <v>0.29166666666666669</v>
      </c>
      <c r="Z28" s="7">
        <v>0.29166666666666669</v>
      </c>
      <c r="AA28" s="7">
        <v>0.29166666666666669</v>
      </c>
      <c r="AB28" s="7">
        <v>0.29166666666666669</v>
      </c>
      <c r="AC28" s="8">
        <v>1.75</v>
      </c>
    </row>
    <row r="29" spans="1:29">
      <c r="O29" t="s">
        <v>73</v>
      </c>
      <c r="P29" t="s">
        <v>75</v>
      </c>
      <c r="Q29" t="s">
        <v>75</v>
      </c>
      <c r="R29" t="s">
        <v>74</v>
      </c>
      <c r="S29" t="s">
        <v>75</v>
      </c>
      <c r="T29" t="s">
        <v>75</v>
      </c>
      <c r="U29" t="s">
        <v>73</v>
      </c>
      <c r="V29" s="7">
        <v>0</v>
      </c>
      <c r="W29" s="7">
        <v>0.29166666666666669</v>
      </c>
      <c r="X29" s="7">
        <v>0.29166666666666669</v>
      </c>
      <c r="Y29" s="7">
        <v>0.29166666666666669</v>
      </c>
      <c r="Z29" s="7">
        <v>0.29166666666666669</v>
      </c>
      <c r="AA29" s="7">
        <v>0.29166666666666669</v>
      </c>
      <c r="AB29" s="7">
        <v>0</v>
      </c>
      <c r="AC29" s="8">
        <v>1.7083333333333333</v>
      </c>
    </row>
    <row r="30" spans="1:29"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s="7">
        <v>0.29166666666666669</v>
      </c>
      <c r="W30" s="7">
        <v>0.29166666666666669</v>
      </c>
      <c r="X30" s="7">
        <v>0.29166666666666669</v>
      </c>
      <c r="Y30" s="7">
        <v>0.29166666666666669</v>
      </c>
      <c r="Z30" s="7">
        <v>0.29166666666666669</v>
      </c>
      <c r="AA30" s="7">
        <v>0</v>
      </c>
      <c r="AB30" s="7">
        <v>0.29166666666666669</v>
      </c>
      <c r="AC30" s="8">
        <v>1.4583333333333333</v>
      </c>
    </row>
    <row r="37" spans="2:4">
      <c r="B37" s="1">
        <v>41184</v>
      </c>
      <c r="C37">
        <f>_xlfn.ISOWEEKNUM(B37)</f>
        <v>40</v>
      </c>
      <c r="D37" s="9">
        <f>DATE(YEAR(B37),MONTH(B37),DAY(B37) + 2-WEEKDAY(B37))</f>
        <v>41184</v>
      </c>
    </row>
    <row r="38" spans="2:4">
      <c r="B38" s="1">
        <v>41185</v>
      </c>
      <c r="C38">
        <f t="shared" ref="C38:C45" si="0">_xlfn.ISOWEEKNUM(B38)</f>
        <v>40</v>
      </c>
      <c r="D38" s="9">
        <f t="shared" ref="D38:D45" si="1">DATE(YEAR(B38),MONTH(B38),DAY(B38) + 2-WEEKDAY(B38))</f>
        <v>41184</v>
      </c>
    </row>
    <row r="39" spans="2:4">
      <c r="B39" s="1">
        <v>41186</v>
      </c>
      <c r="C39">
        <f t="shared" si="0"/>
        <v>40</v>
      </c>
      <c r="D39" s="9">
        <f t="shared" si="1"/>
        <v>41184</v>
      </c>
    </row>
    <row r="40" spans="2:4">
      <c r="B40" s="1">
        <v>41187</v>
      </c>
      <c r="C40">
        <f t="shared" si="0"/>
        <v>40</v>
      </c>
      <c r="D40" s="9">
        <f t="shared" si="1"/>
        <v>41184</v>
      </c>
    </row>
    <row r="41" spans="2:4">
      <c r="B41" s="1">
        <v>41188</v>
      </c>
      <c r="C41">
        <f t="shared" si="0"/>
        <v>40</v>
      </c>
      <c r="D41" s="9">
        <f t="shared" si="1"/>
        <v>41184</v>
      </c>
    </row>
    <row r="42" spans="2:4">
      <c r="B42" s="1">
        <v>41189</v>
      </c>
      <c r="C42">
        <f t="shared" si="0"/>
        <v>40</v>
      </c>
      <c r="D42" s="9">
        <f t="shared" si="1"/>
        <v>41184</v>
      </c>
    </row>
    <row r="43" spans="2:4">
      <c r="B43" s="1">
        <v>41190</v>
      </c>
      <c r="C43">
        <f t="shared" si="0"/>
        <v>40</v>
      </c>
      <c r="D43" s="9">
        <f t="shared" si="1"/>
        <v>41191</v>
      </c>
    </row>
    <row r="44" spans="2:4">
      <c r="B44" s="1">
        <v>41191</v>
      </c>
      <c r="C44">
        <f t="shared" si="0"/>
        <v>41</v>
      </c>
      <c r="D44" s="9">
        <f t="shared" si="1"/>
        <v>41191</v>
      </c>
    </row>
    <row r="45" spans="2:4">
      <c r="B45" s="1">
        <v>41192</v>
      </c>
      <c r="C45">
        <f t="shared" si="0"/>
        <v>41</v>
      </c>
      <c r="D45" s="9">
        <f t="shared" si="1"/>
        <v>41191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50">
    <tabColor rgb="FFFF0000"/>
  </sheetPr>
  <dimension ref="A1:C12"/>
  <sheetViews>
    <sheetView showGridLines="0" workbookViewId="0">
      <selection activeCell="B3" sqref="B3"/>
    </sheetView>
  </sheetViews>
  <sheetFormatPr defaultColWidth="10.140625" defaultRowHeight="1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>
      <c r="A1" s="3" t="s">
        <v>1263</v>
      </c>
      <c r="B1" s="2" t="s">
        <v>1265</v>
      </c>
    </row>
    <row r="2" spans="1:3">
      <c r="A2" s="3" t="s">
        <v>1264</v>
      </c>
      <c r="B2" s="2" t="s">
        <v>1466</v>
      </c>
    </row>
    <row r="12" spans="1:3">
      <c r="A12" s="3"/>
      <c r="B12" s="3"/>
      <c r="C12" s="3"/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1"/>
  <dimension ref="A4:D40"/>
  <sheetViews>
    <sheetView topLeftCell="A13" zoomScale="80" zoomScaleNormal="80" workbookViewId="0">
      <selection activeCell="B33" sqref="B33"/>
    </sheetView>
  </sheetViews>
  <sheetFormatPr defaultRowHeight="1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>
      <c r="A4" t="s">
        <v>0</v>
      </c>
      <c r="B4" t="s">
        <v>1</v>
      </c>
      <c r="C4" t="s">
        <v>2</v>
      </c>
      <c r="D4" t="s">
        <v>1273</v>
      </c>
    </row>
    <row r="5" spans="1:4">
      <c r="A5" t="s">
        <v>90</v>
      </c>
      <c r="B5" t="s">
        <v>3</v>
      </c>
      <c r="C5" t="s">
        <v>4</v>
      </c>
      <c r="D5" t="s">
        <v>92</v>
      </c>
    </row>
    <row r="6" spans="1:4">
      <c r="A6" t="s">
        <v>1292</v>
      </c>
      <c r="B6" t="s">
        <v>1289</v>
      </c>
      <c r="C6" t="s">
        <v>132</v>
      </c>
      <c r="D6" t="s">
        <v>132</v>
      </c>
    </row>
    <row r="7" spans="1:4">
      <c r="A7" t="s">
        <v>93</v>
      </c>
      <c r="B7" t="s">
        <v>5</v>
      </c>
      <c r="C7" t="s">
        <v>6</v>
      </c>
      <c r="D7" t="s">
        <v>92</v>
      </c>
    </row>
    <row r="8" spans="1:4">
      <c r="A8" t="s">
        <v>94</v>
      </c>
      <c r="B8" t="s">
        <v>7</v>
      </c>
      <c r="C8" t="s">
        <v>8</v>
      </c>
      <c r="D8" t="s">
        <v>92</v>
      </c>
    </row>
    <row r="9" spans="1:4">
      <c r="A9" t="s">
        <v>96</v>
      </c>
      <c r="B9" t="s">
        <v>9</v>
      </c>
      <c r="C9" t="s">
        <v>10</v>
      </c>
      <c r="D9" t="s">
        <v>92</v>
      </c>
    </row>
    <row r="10" spans="1:4">
      <c r="A10" t="s">
        <v>97</v>
      </c>
      <c r="B10" t="s">
        <v>11</v>
      </c>
      <c r="C10" t="s">
        <v>12</v>
      </c>
      <c r="D10" t="s">
        <v>92</v>
      </c>
    </row>
    <row r="11" spans="1:4">
      <c r="A11" t="s">
        <v>120</v>
      </c>
      <c r="B11" t="s">
        <v>13</v>
      </c>
      <c r="C11" t="s">
        <v>14</v>
      </c>
      <c r="D11" t="s">
        <v>92</v>
      </c>
    </row>
    <row r="12" spans="1:4">
      <c r="A12" t="s">
        <v>98</v>
      </c>
      <c r="B12" t="s">
        <v>13</v>
      </c>
      <c r="C12" t="s">
        <v>15</v>
      </c>
      <c r="D12" t="s">
        <v>92</v>
      </c>
    </row>
    <row r="13" spans="1:4">
      <c r="A13" t="s">
        <v>99</v>
      </c>
      <c r="B13" t="s">
        <v>16</v>
      </c>
      <c r="C13" t="s">
        <v>17</v>
      </c>
      <c r="D13" t="s">
        <v>75</v>
      </c>
    </row>
    <row r="14" spans="1:4">
      <c r="A14" t="s">
        <v>100</v>
      </c>
      <c r="B14" t="s">
        <v>18</v>
      </c>
      <c r="C14" t="s">
        <v>19</v>
      </c>
      <c r="D14" t="s">
        <v>92</v>
      </c>
    </row>
    <row r="15" spans="1:4">
      <c r="A15" t="s">
        <v>1295</v>
      </c>
      <c r="B15" t="s">
        <v>1291</v>
      </c>
      <c r="C15" t="s">
        <v>132</v>
      </c>
      <c r="D15" t="s">
        <v>132</v>
      </c>
    </row>
    <row r="16" spans="1:4">
      <c r="A16" t="s">
        <v>101</v>
      </c>
      <c r="B16" t="s">
        <v>20</v>
      </c>
      <c r="C16" t="s">
        <v>21</v>
      </c>
      <c r="D16" t="s">
        <v>92</v>
      </c>
    </row>
    <row r="17" spans="1:4">
      <c r="A17" t="s">
        <v>102</v>
      </c>
      <c r="B17" t="s">
        <v>22</v>
      </c>
      <c r="C17" t="s">
        <v>17</v>
      </c>
      <c r="D17" t="s">
        <v>75</v>
      </c>
    </row>
    <row r="18" spans="1:4">
      <c r="A18" t="s">
        <v>103</v>
      </c>
      <c r="B18" t="s">
        <v>23</v>
      </c>
      <c r="C18" t="s">
        <v>24</v>
      </c>
      <c r="D18" t="s">
        <v>92</v>
      </c>
    </row>
    <row r="19" spans="1:4">
      <c r="A19" t="s">
        <v>127</v>
      </c>
      <c r="B19" t="s">
        <v>23</v>
      </c>
      <c r="C19" t="s">
        <v>55</v>
      </c>
      <c r="D19" t="s">
        <v>75</v>
      </c>
    </row>
    <row r="20" spans="1:4">
      <c r="A20" t="s">
        <v>104</v>
      </c>
      <c r="B20" t="s">
        <v>25</v>
      </c>
      <c r="C20" t="s">
        <v>132</v>
      </c>
      <c r="D20" t="s">
        <v>92</v>
      </c>
    </row>
    <row r="21" spans="1:4">
      <c r="A21" t="s">
        <v>1294</v>
      </c>
      <c r="B21" t="s">
        <v>1290</v>
      </c>
      <c r="C21" t="s">
        <v>132</v>
      </c>
      <c r="D21" t="s">
        <v>132</v>
      </c>
    </row>
    <row r="22" spans="1:4">
      <c r="A22" t="s">
        <v>129</v>
      </c>
      <c r="B22" t="s">
        <v>56</v>
      </c>
      <c r="C22" t="s">
        <v>57</v>
      </c>
      <c r="D22" t="s">
        <v>75</v>
      </c>
    </row>
    <row r="23" spans="1:4">
      <c r="A23" t="s">
        <v>105</v>
      </c>
      <c r="B23" t="s">
        <v>26</v>
      </c>
      <c r="C23" t="s">
        <v>27</v>
      </c>
      <c r="D23" t="s">
        <v>75</v>
      </c>
    </row>
    <row r="24" spans="1:4">
      <c r="A24" t="s">
        <v>106</v>
      </c>
      <c r="B24" t="s">
        <v>28</v>
      </c>
      <c r="C24" t="s">
        <v>29</v>
      </c>
      <c r="D24" t="s">
        <v>92</v>
      </c>
    </row>
    <row r="25" spans="1:4">
      <c r="A25" t="s">
        <v>107</v>
      </c>
      <c r="B25" t="s">
        <v>30</v>
      </c>
      <c r="C25" t="s">
        <v>8</v>
      </c>
      <c r="D25" t="s">
        <v>92</v>
      </c>
    </row>
    <row r="26" spans="1:4">
      <c r="A26" t="s">
        <v>108</v>
      </c>
      <c r="B26" t="s">
        <v>30</v>
      </c>
      <c r="C26" t="s">
        <v>31</v>
      </c>
      <c r="D26" t="s">
        <v>92</v>
      </c>
    </row>
    <row r="27" spans="1:4">
      <c r="A27" t="s">
        <v>109</v>
      </c>
      <c r="B27" t="s">
        <v>32</v>
      </c>
      <c r="C27" t="s">
        <v>33</v>
      </c>
      <c r="D27" t="s">
        <v>75</v>
      </c>
    </row>
    <row r="28" spans="1:4">
      <c r="A28" t="s">
        <v>122</v>
      </c>
      <c r="B28" t="s">
        <v>32</v>
      </c>
      <c r="C28" t="s">
        <v>34</v>
      </c>
      <c r="D28" t="s">
        <v>92</v>
      </c>
    </row>
    <row r="29" spans="1:4">
      <c r="A29" t="s">
        <v>110</v>
      </c>
      <c r="B29" t="s">
        <v>35</v>
      </c>
      <c r="C29" t="s">
        <v>36</v>
      </c>
      <c r="D29" t="s">
        <v>92</v>
      </c>
    </row>
    <row r="30" spans="1:4">
      <c r="A30" t="s">
        <v>1293</v>
      </c>
      <c r="B30" t="s">
        <v>1296</v>
      </c>
      <c r="C30" t="s">
        <v>1297</v>
      </c>
      <c r="D30" t="s">
        <v>1297</v>
      </c>
    </row>
    <row r="31" spans="1:4">
      <c r="A31" t="s">
        <v>130</v>
      </c>
      <c r="B31" t="s">
        <v>58</v>
      </c>
      <c r="C31" t="s">
        <v>59</v>
      </c>
      <c r="D31" t="s">
        <v>75</v>
      </c>
    </row>
    <row r="32" spans="1:4">
      <c r="A32" t="s">
        <v>111</v>
      </c>
      <c r="B32" t="s">
        <v>37</v>
      </c>
      <c r="C32" t="s">
        <v>38</v>
      </c>
      <c r="D32" t="s">
        <v>75</v>
      </c>
    </row>
    <row r="33" spans="1:4">
      <c r="A33" t="s">
        <v>112</v>
      </c>
      <c r="B33" t="s">
        <v>39</v>
      </c>
      <c r="C33" t="s">
        <v>40</v>
      </c>
      <c r="D33" t="s">
        <v>92</v>
      </c>
    </row>
    <row r="34" spans="1:4">
      <c r="A34" t="s">
        <v>113</v>
      </c>
      <c r="B34" t="s">
        <v>41</v>
      </c>
      <c r="C34" t="s">
        <v>42</v>
      </c>
      <c r="D34" t="s">
        <v>75</v>
      </c>
    </row>
    <row r="35" spans="1:4">
      <c r="A35" t="s">
        <v>114</v>
      </c>
      <c r="B35" t="s">
        <v>43</v>
      </c>
      <c r="C35" t="s">
        <v>44</v>
      </c>
      <c r="D35" t="s">
        <v>75</v>
      </c>
    </row>
    <row r="36" spans="1:4">
      <c r="A36" t="s">
        <v>115</v>
      </c>
      <c r="B36" t="s">
        <v>45</v>
      </c>
      <c r="C36" t="s">
        <v>46</v>
      </c>
      <c r="D36" t="s">
        <v>92</v>
      </c>
    </row>
    <row r="37" spans="1:4">
      <c r="A37" s="5" t="s">
        <v>116</v>
      </c>
      <c r="B37" s="5" t="s">
        <v>47</v>
      </c>
      <c r="C37" s="5" t="s">
        <v>48</v>
      </c>
      <c r="D37" s="5" t="s">
        <v>75</v>
      </c>
    </row>
    <row r="38" spans="1:4">
      <c r="A38" s="5" t="s">
        <v>117</v>
      </c>
      <c r="B38" s="5" t="s">
        <v>49</v>
      </c>
      <c r="C38" s="5" t="s">
        <v>50</v>
      </c>
      <c r="D38" s="5" t="s">
        <v>92</v>
      </c>
    </row>
    <row r="39" spans="1:4">
      <c r="A39" s="5" t="s">
        <v>118</v>
      </c>
      <c r="B39" s="5" t="s">
        <v>51</v>
      </c>
      <c r="C39" s="5" t="s">
        <v>52</v>
      </c>
      <c r="D39" s="5" t="s">
        <v>92</v>
      </c>
    </row>
    <row r="40" spans="1:4">
      <c r="A40" t="s">
        <v>119</v>
      </c>
      <c r="B40" t="s">
        <v>53</v>
      </c>
      <c r="C40" t="s">
        <v>54</v>
      </c>
      <c r="D40" t="s">
        <v>92</v>
      </c>
    </row>
  </sheetData>
  <conditionalFormatting sqref="A1:A1048576">
    <cfRule type="duplicateValues" dxfId="36" priority="1"/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4:Y97"/>
  <sheetViews>
    <sheetView workbookViewId="0">
      <selection activeCell="B63" sqref="B63:B73"/>
    </sheetView>
  </sheetViews>
  <sheetFormatPr defaultRowHeight="1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1277</v>
      </c>
      <c r="W4" t="s">
        <v>1418</v>
      </c>
      <c r="X4" t="s">
        <v>1419</v>
      </c>
      <c r="Y4" t="s">
        <v>1420</v>
      </c>
    </row>
    <row r="5" spans="1:25" hidden="1">
      <c r="A5" t="s">
        <v>1274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13"/>
      <c r="Y5" s="13"/>
    </row>
    <row r="6" spans="1:25" hidden="1">
      <c r="A6" t="s">
        <v>1274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13"/>
      <c r="Y6" s="13"/>
    </row>
    <row r="7" spans="1:25" hidden="1">
      <c r="A7" t="s">
        <v>1274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13"/>
      <c r="Y7" s="13"/>
    </row>
    <row r="8" spans="1:25" hidden="1">
      <c r="A8" t="s">
        <v>1274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13"/>
      <c r="Y8" s="13"/>
    </row>
    <row r="9" spans="1:25" hidden="1">
      <c r="A9" t="s">
        <v>1274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13"/>
      <c r="Y9" s="13"/>
    </row>
    <row r="10" spans="1:25" hidden="1">
      <c r="A10" t="s">
        <v>1274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13"/>
      <c r="Y10" s="13"/>
    </row>
    <row r="11" spans="1:25" hidden="1">
      <c r="A11" t="s">
        <v>1274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134</v>
      </c>
      <c r="X11" s="13"/>
      <c r="Y11" s="13"/>
    </row>
    <row r="12" spans="1:25" hidden="1">
      <c r="A12" t="s">
        <v>1274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1298</v>
      </c>
      <c r="X12" s="13"/>
      <c r="Y12" s="13"/>
    </row>
    <row r="13" spans="1:25" hidden="1">
      <c r="A13" t="s">
        <v>1274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126</v>
      </c>
      <c r="X13" s="13"/>
      <c r="Y13" s="13"/>
    </row>
    <row r="14" spans="1:25" hidden="1">
      <c r="A14" t="s">
        <v>1274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150</v>
      </c>
      <c r="X14" s="13"/>
      <c r="Y14" s="13"/>
    </row>
    <row r="15" spans="1:25" hidden="1">
      <c r="A15" t="s">
        <v>1274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>
      <c r="A16" t="s">
        <v>1274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>
      <c r="A17" t="s">
        <v>1274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>
      <c r="A18" t="s">
        <v>1274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>
      <c r="A19" t="s">
        <v>1274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>
      <c r="A20" t="s">
        <v>1274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 hidden="1">
      <c r="A21" t="s">
        <v>1274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>
      <c r="A22" t="s">
        <v>1274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 hidden="1">
      <c r="A23" t="s">
        <v>1274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 hidden="1">
      <c r="A24" t="s">
        <v>1274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>
      <c r="A25" t="s">
        <v>1274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 hidden="1">
      <c r="A26" t="s">
        <v>1274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>
      <c r="A27" t="s">
        <v>1274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>
      <c r="A28" t="s">
        <v>1274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>
      <c r="A29" t="s">
        <v>1274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>
      <c r="A30" t="s">
        <v>1274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>
      <c r="A31" t="s">
        <v>1274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>
      <c r="A32" t="s">
        <v>1274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 hidden="1">
      <c r="A33" t="s">
        <v>1275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>
      <c r="A34" t="s">
        <v>1275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>
      <c r="A35" t="s">
        <v>1275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>
      <c r="A36" t="s">
        <v>1275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>
      <c r="A37" t="s">
        <v>1275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>
      <c r="A38" t="s">
        <v>1275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>
      <c r="A39" t="s">
        <v>1275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>
      <c r="A40" t="s">
        <v>1276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>
      <c r="A41" t="s">
        <v>1276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>
      <c r="A42" t="s">
        <v>1276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>
      <c r="A43" t="s">
        <v>1276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>
      <c r="A44" t="s">
        <v>1276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>
      <c r="A45" t="s">
        <v>1276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>
      <c r="A46" t="s">
        <v>1276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>
      <c r="A47" t="s">
        <v>1276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>
      <c r="A48" t="s">
        <v>1276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>
      <c r="A49" t="s">
        <v>1276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>
      <c r="A50" t="s">
        <v>1276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>
      <c r="A51" t="s">
        <v>1276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>
      <c r="A52" t="s">
        <v>1276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>
      <c r="A53" t="s">
        <v>1276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>
      <c r="A54" t="s">
        <v>1276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>
      <c r="A55" t="s">
        <v>1276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>
      <c r="A56" t="s">
        <v>1276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>
      <c r="A57" t="s">
        <v>1276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>
      <c r="A58" t="s">
        <v>1276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>
      <c r="A59" t="s">
        <v>1276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>
      <c r="A60" t="s">
        <v>1276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>
      <c r="A61" t="s">
        <v>1276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>
      <c r="A62" t="s">
        <v>1276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>
      <c r="A63" t="s">
        <v>1271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>
      <c r="A64" t="s">
        <v>1271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>
      <c r="A65" t="s">
        <v>1271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>
      <c r="A66" t="s">
        <v>1271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>
      <c r="A67" t="s">
        <v>1271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>
      <c r="A68" t="s">
        <v>1271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>
      <c r="A69" t="s">
        <v>1271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>
      <c r="A70" t="s">
        <v>1271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>
      <c r="A71" t="s">
        <v>1271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>
      <c r="A72" t="s">
        <v>1271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>
      <c r="A73" t="s">
        <v>1271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>
      <c r="A74" t="s">
        <v>1272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>
      <c r="A75" t="s">
        <v>1272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6"/>
    </row>
    <row r="76" spans="1:22">
      <c r="A76" t="s">
        <v>1272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>
      <c r="A77" t="s">
        <v>1272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>
      <c r="A78" t="s">
        <v>1272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>
      <c r="A79" t="s">
        <v>1272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9" hidden="1">
      <c r="A97" t="s">
        <v>1320</v>
      </c>
      <c r="B97">
        <v>1</v>
      </c>
      <c r="C97" t="s">
        <v>126</v>
      </c>
      <c r="D97" t="s">
        <v>126</v>
      </c>
      <c r="E97" t="s">
        <v>126</v>
      </c>
      <c r="F97" t="s">
        <v>126</v>
      </c>
      <c r="G97" t="s">
        <v>126</v>
      </c>
      <c r="H97" t="s">
        <v>126</v>
      </c>
      <c r="I97" t="s">
        <v>126</v>
      </c>
    </row>
  </sheetData>
  <pageMargins left="0.7" right="0.7" top="0.75" bottom="0.75" header="0.3" footer="0.3"/>
  <pageSetup orientation="portrait" r:id="rId1"/>
  <legacy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4:E56"/>
  <sheetViews>
    <sheetView workbookViewId="0">
      <selection activeCell="W8" sqref="W8"/>
    </sheetView>
  </sheetViews>
  <sheetFormatPr defaultRowHeight="1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>
      <c r="A4" t="s">
        <v>0</v>
      </c>
      <c r="B4" t="s">
        <v>1</v>
      </c>
      <c r="C4" t="s">
        <v>2</v>
      </c>
      <c r="D4" t="s">
        <v>1329</v>
      </c>
      <c r="E4" t="s">
        <v>1330</v>
      </c>
    </row>
    <row r="5" spans="1:5">
      <c r="A5" t="s">
        <v>90</v>
      </c>
      <c r="B5" t="s">
        <v>3</v>
      </c>
      <c r="C5" t="s">
        <v>4</v>
      </c>
      <c r="D5" t="s">
        <v>1331</v>
      </c>
      <c r="E5" t="s">
        <v>1332</v>
      </c>
    </row>
    <row r="6" spans="1:5">
      <c r="A6" t="s">
        <v>90</v>
      </c>
      <c r="B6" t="s">
        <v>3</v>
      </c>
      <c r="C6" t="s">
        <v>4</v>
      </c>
      <c r="D6" t="s">
        <v>1333</v>
      </c>
      <c r="E6" t="s">
        <v>1332</v>
      </c>
    </row>
    <row r="7" spans="1:5">
      <c r="A7" t="s">
        <v>90</v>
      </c>
      <c r="B7" t="s">
        <v>3</v>
      </c>
      <c r="C7" t="s">
        <v>4</v>
      </c>
      <c r="D7" t="s">
        <v>1334</v>
      </c>
      <c r="E7" t="s">
        <v>1332</v>
      </c>
    </row>
    <row r="8" spans="1:5">
      <c r="A8" t="s">
        <v>90</v>
      </c>
      <c r="B8" t="s">
        <v>3</v>
      </c>
      <c r="C8" t="s">
        <v>4</v>
      </c>
      <c r="D8" t="s">
        <v>1335</v>
      </c>
      <c r="E8" t="s">
        <v>1332</v>
      </c>
    </row>
    <row r="9" spans="1:5">
      <c r="A9" t="s">
        <v>90</v>
      </c>
      <c r="B9" t="s">
        <v>3</v>
      </c>
      <c r="C9" t="s">
        <v>4</v>
      </c>
      <c r="D9" t="s">
        <v>1336</v>
      </c>
      <c r="E9" t="s">
        <v>1332</v>
      </c>
    </row>
    <row r="10" spans="1:5">
      <c r="A10" t="s">
        <v>90</v>
      </c>
      <c r="B10" t="s">
        <v>3</v>
      </c>
      <c r="C10" t="s">
        <v>4</v>
      </c>
      <c r="D10" t="s">
        <v>1337</v>
      </c>
      <c r="E10" t="s">
        <v>1332</v>
      </c>
    </row>
    <row r="11" spans="1:5">
      <c r="A11" t="s">
        <v>90</v>
      </c>
      <c r="B11" t="s">
        <v>3</v>
      </c>
      <c r="C11" t="s">
        <v>4</v>
      </c>
      <c r="D11" t="s">
        <v>1338</v>
      </c>
      <c r="E11" t="s">
        <v>1332</v>
      </c>
    </row>
    <row r="12" spans="1:5">
      <c r="A12" t="s">
        <v>90</v>
      </c>
      <c r="B12" t="s">
        <v>3</v>
      </c>
      <c r="C12" t="s">
        <v>4</v>
      </c>
      <c r="D12" t="s">
        <v>1339</v>
      </c>
      <c r="E12" t="s">
        <v>1332</v>
      </c>
    </row>
    <row r="13" spans="1:5">
      <c r="A13" t="s">
        <v>90</v>
      </c>
      <c r="B13" t="s">
        <v>3</v>
      </c>
      <c r="C13" t="s">
        <v>4</v>
      </c>
      <c r="D13" t="s">
        <v>1340</v>
      </c>
      <c r="E13" t="s">
        <v>1332</v>
      </c>
    </row>
    <row r="14" spans="1:5">
      <c r="A14" t="s">
        <v>90</v>
      </c>
      <c r="B14" t="s">
        <v>3</v>
      </c>
      <c r="C14" t="s">
        <v>4</v>
      </c>
      <c r="D14" t="s">
        <v>1341</v>
      </c>
      <c r="E14" t="s">
        <v>1332</v>
      </c>
    </row>
    <row r="15" spans="1:5">
      <c r="A15" t="s">
        <v>90</v>
      </c>
      <c r="B15" t="s">
        <v>3</v>
      </c>
      <c r="C15" t="s">
        <v>4</v>
      </c>
      <c r="D15" t="s">
        <v>1342</v>
      </c>
      <c r="E15" t="s">
        <v>1332</v>
      </c>
    </row>
    <row r="16" spans="1:5">
      <c r="A16" t="s">
        <v>90</v>
      </c>
      <c r="B16" t="s">
        <v>3</v>
      </c>
      <c r="C16" t="s">
        <v>4</v>
      </c>
      <c r="D16" t="s">
        <v>1343</v>
      </c>
      <c r="E16" t="s">
        <v>1332</v>
      </c>
    </row>
    <row r="17" spans="1:5">
      <c r="A17" t="s">
        <v>90</v>
      </c>
      <c r="B17" t="s">
        <v>3</v>
      </c>
      <c r="C17" t="s">
        <v>4</v>
      </c>
      <c r="D17" t="s">
        <v>1344</v>
      </c>
      <c r="E17" t="s">
        <v>1332</v>
      </c>
    </row>
    <row r="18" spans="1:5">
      <c r="A18" t="s">
        <v>90</v>
      </c>
      <c r="B18" t="s">
        <v>3</v>
      </c>
      <c r="C18" t="s">
        <v>4</v>
      </c>
      <c r="D18" t="s">
        <v>1345</v>
      </c>
      <c r="E18" t="s">
        <v>1332</v>
      </c>
    </row>
    <row r="19" spans="1:5">
      <c r="A19" t="s">
        <v>90</v>
      </c>
      <c r="B19" t="s">
        <v>3</v>
      </c>
      <c r="C19" t="s">
        <v>4</v>
      </c>
      <c r="D19" t="s">
        <v>1346</v>
      </c>
      <c r="E19" t="s">
        <v>1332</v>
      </c>
    </row>
    <row r="20" spans="1:5">
      <c r="A20" t="s">
        <v>90</v>
      </c>
      <c r="B20" t="s">
        <v>3</v>
      </c>
      <c r="C20" t="s">
        <v>4</v>
      </c>
      <c r="D20" t="s">
        <v>1347</v>
      </c>
      <c r="E20" t="s">
        <v>1332</v>
      </c>
    </row>
    <row r="21" spans="1:5">
      <c r="A21" t="s">
        <v>90</v>
      </c>
      <c r="B21" t="s">
        <v>3</v>
      </c>
      <c r="C21" t="s">
        <v>4</v>
      </c>
      <c r="D21" t="s">
        <v>1348</v>
      </c>
      <c r="E21" t="s">
        <v>1332</v>
      </c>
    </row>
    <row r="22" spans="1:5">
      <c r="A22" t="s">
        <v>90</v>
      </c>
      <c r="B22" t="s">
        <v>3</v>
      </c>
      <c r="C22" t="s">
        <v>4</v>
      </c>
      <c r="D22" t="s">
        <v>1349</v>
      </c>
      <c r="E22" t="s">
        <v>1332</v>
      </c>
    </row>
    <row r="23" spans="1:5">
      <c r="A23" t="s">
        <v>90</v>
      </c>
      <c r="B23" t="s">
        <v>3</v>
      </c>
      <c r="C23" t="s">
        <v>4</v>
      </c>
      <c r="D23" t="s">
        <v>1350</v>
      </c>
      <c r="E23" t="s">
        <v>1332</v>
      </c>
    </row>
    <row r="24" spans="1:5">
      <c r="A24" t="s">
        <v>93</v>
      </c>
      <c r="B24" t="s">
        <v>5</v>
      </c>
      <c r="C24" t="s">
        <v>6</v>
      </c>
      <c r="D24" t="s">
        <v>1344</v>
      </c>
      <c r="E24" t="s">
        <v>1332</v>
      </c>
    </row>
    <row r="25" spans="1:5">
      <c r="A25" t="s">
        <v>93</v>
      </c>
      <c r="B25" t="s">
        <v>5</v>
      </c>
      <c r="C25" t="s">
        <v>6</v>
      </c>
      <c r="D25" t="s">
        <v>1345</v>
      </c>
      <c r="E25" t="s">
        <v>1332</v>
      </c>
    </row>
    <row r="26" spans="1:5">
      <c r="A26" t="s">
        <v>93</v>
      </c>
      <c r="B26" t="s">
        <v>5</v>
      </c>
      <c r="C26" t="s">
        <v>6</v>
      </c>
      <c r="D26" t="s">
        <v>1346</v>
      </c>
      <c r="E26" t="s">
        <v>1332</v>
      </c>
    </row>
    <row r="27" spans="1:5">
      <c r="A27" t="s">
        <v>93</v>
      </c>
      <c r="B27" t="s">
        <v>5</v>
      </c>
      <c r="C27" t="s">
        <v>6</v>
      </c>
      <c r="D27" t="s">
        <v>1347</v>
      </c>
      <c r="E27" t="s">
        <v>1332</v>
      </c>
    </row>
    <row r="28" spans="1:5">
      <c r="A28" t="s">
        <v>93</v>
      </c>
      <c r="B28" t="s">
        <v>5</v>
      </c>
      <c r="C28" t="s">
        <v>6</v>
      </c>
      <c r="D28" t="s">
        <v>1348</v>
      </c>
      <c r="E28" t="s">
        <v>1332</v>
      </c>
    </row>
    <row r="29" spans="1:5">
      <c r="A29" t="s">
        <v>93</v>
      </c>
      <c r="B29" t="s">
        <v>5</v>
      </c>
      <c r="C29" t="s">
        <v>6</v>
      </c>
      <c r="D29" t="s">
        <v>1349</v>
      </c>
      <c r="E29" t="s">
        <v>1332</v>
      </c>
    </row>
    <row r="30" spans="1:5">
      <c r="A30" t="s">
        <v>93</v>
      </c>
      <c r="B30" t="s">
        <v>5</v>
      </c>
      <c r="C30" t="s">
        <v>6</v>
      </c>
      <c r="D30" t="s">
        <v>1350</v>
      </c>
      <c r="E30" t="s">
        <v>1332</v>
      </c>
    </row>
    <row r="31" spans="1:5">
      <c r="A31" t="s">
        <v>93</v>
      </c>
      <c r="B31" t="s">
        <v>5</v>
      </c>
      <c r="C31" t="s">
        <v>6</v>
      </c>
      <c r="D31" t="s">
        <v>1351</v>
      </c>
      <c r="E31" t="s">
        <v>1332</v>
      </c>
    </row>
    <row r="32" spans="1:5">
      <c r="A32" t="s">
        <v>93</v>
      </c>
      <c r="B32" t="s">
        <v>5</v>
      </c>
      <c r="C32" t="s">
        <v>6</v>
      </c>
      <c r="D32" t="s">
        <v>1352</v>
      </c>
      <c r="E32" t="s">
        <v>1332</v>
      </c>
    </row>
    <row r="33" spans="1:5">
      <c r="A33" t="s">
        <v>93</v>
      </c>
      <c r="B33" t="s">
        <v>5</v>
      </c>
      <c r="C33" t="s">
        <v>6</v>
      </c>
      <c r="D33" t="s">
        <v>1353</v>
      </c>
      <c r="E33" t="s">
        <v>1332</v>
      </c>
    </row>
    <row r="34" spans="1:5">
      <c r="A34" t="s">
        <v>93</v>
      </c>
      <c r="B34" t="s">
        <v>5</v>
      </c>
      <c r="C34" t="s">
        <v>6</v>
      </c>
      <c r="D34" t="s">
        <v>1354</v>
      </c>
      <c r="E34" t="s">
        <v>1332</v>
      </c>
    </row>
    <row r="35" spans="1:5">
      <c r="A35" t="s">
        <v>93</v>
      </c>
      <c r="B35" t="s">
        <v>5</v>
      </c>
      <c r="C35" t="s">
        <v>6</v>
      </c>
      <c r="D35" t="s">
        <v>1355</v>
      </c>
      <c r="E35" t="s">
        <v>1332</v>
      </c>
    </row>
    <row r="36" spans="1:5">
      <c r="A36" t="s">
        <v>93</v>
      </c>
      <c r="B36" t="s">
        <v>5</v>
      </c>
      <c r="C36" t="s">
        <v>6</v>
      </c>
      <c r="D36" t="s">
        <v>1356</v>
      </c>
      <c r="E36" t="s">
        <v>1332</v>
      </c>
    </row>
    <row r="37" spans="1:5">
      <c r="A37" t="s">
        <v>93</v>
      </c>
      <c r="B37" t="s">
        <v>5</v>
      </c>
      <c r="C37" t="s">
        <v>6</v>
      </c>
      <c r="D37" t="s">
        <v>1357</v>
      </c>
      <c r="E37" t="s">
        <v>1332</v>
      </c>
    </row>
    <row r="38" spans="1:5">
      <c r="A38" t="s">
        <v>94</v>
      </c>
      <c r="B38" t="s">
        <v>7</v>
      </c>
      <c r="C38" t="s">
        <v>8</v>
      </c>
      <c r="D38" t="s">
        <v>1358</v>
      </c>
      <c r="E38" t="s">
        <v>1332</v>
      </c>
    </row>
    <row r="39" spans="1:5">
      <c r="A39" t="s">
        <v>94</v>
      </c>
      <c r="B39" t="s">
        <v>7</v>
      </c>
      <c r="C39" t="s">
        <v>8</v>
      </c>
      <c r="D39" t="s">
        <v>1359</v>
      </c>
      <c r="E39" t="s">
        <v>1332</v>
      </c>
    </row>
    <row r="40" spans="1:5">
      <c r="A40" t="s">
        <v>94</v>
      </c>
      <c r="B40" t="s">
        <v>7</v>
      </c>
      <c r="C40" t="s">
        <v>8</v>
      </c>
      <c r="D40" t="s">
        <v>1360</v>
      </c>
      <c r="E40" t="s">
        <v>1332</v>
      </c>
    </row>
    <row r="41" spans="1:5">
      <c r="A41" t="s">
        <v>94</v>
      </c>
      <c r="B41" t="s">
        <v>7</v>
      </c>
      <c r="C41" t="s">
        <v>8</v>
      </c>
      <c r="D41" t="s">
        <v>1361</v>
      </c>
      <c r="E41" t="s">
        <v>1332</v>
      </c>
    </row>
    <row r="42" spans="1:5">
      <c r="A42" t="s">
        <v>94</v>
      </c>
      <c r="B42" t="s">
        <v>7</v>
      </c>
      <c r="C42" t="s">
        <v>8</v>
      </c>
      <c r="D42" t="s">
        <v>1362</v>
      </c>
      <c r="E42" t="s">
        <v>1332</v>
      </c>
    </row>
    <row r="43" spans="1:5">
      <c r="A43" t="s">
        <v>94</v>
      </c>
      <c r="B43" t="s">
        <v>7</v>
      </c>
      <c r="C43" t="s">
        <v>8</v>
      </c>
      <c r="D43" t="s">
        <v>1363</v>
      </c>
      <c r="E43" t="s">
        <v>1332</v>
      </c>
    </row>
    <row r="44" spans="1:5">
      <c r="A44" t="s">
        <v>94</v>
      </c>
      <c r="B44" t="s">
        <v>7</v>
      </c>
      <c r="C44" t="s">
        <v>8</v>
      </c>
      <c r="D44" t="s">
        <v>1364</v>
      </c>
      <c r="E44" t="s">
        <v>1332</v>
      </c>
    </row>
    <row r="45" spans="1:5">
      <c r="A45" t="s">
        <v>94</v>
      </c>
      <c r="B45" t="s">
        <v>7</v>
      </c>
      <c r="C45" t="s">
        <v>8</v>
      </c>
      <c r="D45" t="s">
        <v>1365</v>
      </c>
      <c r="E45" t="s">
        <v>1332</v>
      </c>
    </row>
    <row r="46" spans="1:5">
      <c r="A46" t="s">
        <v>94</v>
      </c>
      <c r="B46" t="s">
        <v>7</v>
      </c>
      <c r="C46" t="s">
        <v>8</v>
      </c>
      <c r="D46" t="s">
        <v>1366</v>
      </c>
      <c r="E46" t="s">
        <v>1332</v>
      </c>
    </row>
    <row r="47" spans="1:5">
      <c r="A47" t="s">
        <v>94</v>
      </c>
      <c r="B47" t="s">
        <v>7</v>
      </c>
      <c r="C47" t="s">
        <v>8</v>
      </c>
      <c r="D47" t="s">
        <v>1367</v>
      </c>
      <c r="E47" t="s">
        <v>1332</v>
      </c>
    </row>
    <row r="48" spans="1:5">
      <c r="A48" t="s">
        <v>94</v>
      </c>
      <c r="B48" t="s">
        <v>7</v>
      </c>
      <c r="C48" t="s">
        <v>8</v>
      </c>
      <c r="D48" t="s">
        <v>1368</v>
      </c>
      <c r="E48" t="s">
        <v>1332</v>
      </c>
    </row>
    <row r="49" spans="1:5">
      <c r="A49" t="s">
        <v>94</v>
      </c>
      <c r="B49" t="s">
        <v>7</v>
      </c>
      <c r="C49" t="s">
        <v>8</v>
      </c>
      <c r="D49" t="s">
        <v>1369</v>
      </c>
      <c r="E49" t="s">
        <v>1332</v>
      </c>
    </row>
    <row r="50" spans="1:5">
      <c r="A50" t="s">
        <v>94</v>
      </c>
      <c r="B50" t="s">
        <v>7</v>
      </c>
      <c r="C50" t="s">
        <v>8</v>
      </c>
      <c r="D50" t="s">
        <v>1370</v>
      </c>
      <c r="E50" t="s">
        <v>1332</v>
      </c>
    </row>
    <row r="51" spans="1:5">
      <c r="A51" t="s">
        <v>94</v>
      </c>
      <c r="B51" t="s">
        <v>7</v>
      </c>
      <c r="C51" t="s">
        <v>8</v>
      </c>
      <c r="D51" t="s">
        <v>1371</v>
      </c>
      <c r="E51" t="s">
        <v>1332</v>
      </c>
    </row>
    <row r="52" spans="1:5">
      <c r="A52" t="s">
        <v>94</v>
      </c>
      <c r="B52" t="s">
        <v>7</v>
      </c>
      <c r="C52" t="s">
        <v>8</v>
      </c>
      <c r="D52" t="s">
        <v>1372</v>
      </c>
      <c r="E52" t="s">
        <v>1332</v>
      </c>
    </row>
    <row r="53" spans="1:5">
      <c r="A53" t="s">
        <v>94</v>
      </c>
      <c r="B53" t="s">
        <v>7</v>
      </c>
      <c r="C53" t="s">
        <v>8</v>
      </c>
      <c r="D53" t="s">
        <v>1373</v>
      </c>
      <c r="E53" t="s">
        <v>1332</v>
      </c>
    </row>
    <row r="54" spans="1:5">
      <c r="A54" t="s">
        <v>94</v>
      </c>
      <c r="B54" t="s">
        <v>7</v>
      </c>
      <c r="C54" t="s">
        <v>8</v>
      </c>
      <c r="D54" t="s">
        <v>1374</v>
      </c>
      <c r="E54" t="s">
        <v>1332</v>
      </c>
    </row>
    <row r="55" spans="1:5">
      <c r="A55" t="s">
        <v>90</v>
      </c>
      <c r="B55" t="s">
        <v>3</v>
      </c>
      <c r="C55" t="s">
        <v>4</v>
      </c>
      <c r="D55" t="s">
        <v>1375</v>
      </c>
      <c r="E55" t="s">
        <v>1332</v>
      </c>
    </row>
    <row r="56" spans="1:5">
      <c r="A56" t="s">
        <v>90</v>
      </c>
      <c r="B56" t="s">
        <v>3</v>
      </c>
      <c r="C56" t="s">
        <v>4</v>
      </c>
      <c r="D56" t="s">
        <v>1376</v>
      </c>
      <c r="E56" t="s">
        <v>1332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2:P3028"/>
  <sheetViews>
    <sheetView topLeftCell="A2759" workbookViewId="0">
      <selection activeCell="M2589" sqref="M2589"/>
    </sheetView>
  </sheetViews>
  <sheetFormatPr defaultRowHeight="1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>
      <c r="E2" s="1"/>
      <c r="F2" s="1"/>
    </row>
    <row r="3" spans="1:16">
      <c r="E3" s="1"/>
      <c r="F3" s="1"/>
    </row>
    <row r="4" spans="1:16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 hidden="1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 hidden="1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 hidden="1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 hidden="1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 hidden="1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 hidden="1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 hidden="1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 hidden="1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hidden="1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hidden="1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 hidden="1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hidden="1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 hidden="1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hidden="1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hidden="1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hidden="1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hidden="1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 hidden="1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hidden="1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hidden="1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 hidden="1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hidden="1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hidden="1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hidden="1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hidden="1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 hidden="1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hidden="1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 hidden="1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hidden="1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hidden="1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hidden="1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hidden="1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hidden="1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 hidden="1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hidden="1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hidden="1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 hidden="1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 hidden="1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 hidden="1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hidden="1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hidden="1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hidden="1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hidden="1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hidden="1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 hidden="1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hidden="1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 hidden="1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 hidden="1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hidden="1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hidden="1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 hidden="1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hidden="1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 hidden="1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hidden="1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hidden="1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hidden="1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 hidden="1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hidden="1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 hidden="1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hidden="1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 hidden="1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 hidden="1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 hidden="1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hidden="1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hidden="1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hidden="1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hidden="1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hidden="1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 hidden="1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hidden="1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hidden="1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 hidden="1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hidden="1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 hidden="1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hidden="1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hidden="1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hidden="1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hidden="1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hidden="1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 hidden="1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hidden="1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 hidden="1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 hidden="1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hidden="1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hidden="1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hidden="1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hidden="1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hidden="1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hidden="1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hidden="1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hidden="1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 hidden="1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hidden="1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hidden="1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hidden="1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hidden="1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hidden="1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hidden="1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hidden="1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 hidden="1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 hidden="1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hidden="1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hidden="1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 hidden="1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 hidden="1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hidden="1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hidden="1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hidden="1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hidden="1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hidden="1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hidden="1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 hidden="1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 hidden="1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 hidden="1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hidden="1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 hidden="1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 hidden="1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hidden="1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hidden="1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 hidden="1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 hidden="1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 hidden="1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 hidden="1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 hidden="1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 hidden="1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 hidden="1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hidden="1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 hidden="1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hidden="1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hidden="1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 hidden="1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hidden="1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 hidden="1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hidden="1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hidden="1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 hidden="1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hidden="1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 hidden="1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 hidden="1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hidden="1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 hidden="1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hidden="1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hidden="1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 hidden="1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hidden="1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hidden="1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hidden="1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hidden="1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hidden="1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 hidden="1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hidden="1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hidden="1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hidden="1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hidden="1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 hidden="1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hidden="1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 hidden="1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 hidden="1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 hidden="1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 hidden="1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hidden="1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hidden="1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 hidden="1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hidden="1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hidden="1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 hidden="1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hidden="1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hidden="1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hidden="1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hidden="1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hidden="1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hidden="1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hidden="1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hidden="1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 hidden="1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hidden="1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hidden="1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hidden="1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 hidden="1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hidden="1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 hidden="1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hidden="1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hidden="1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 hidden="1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hidden="1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 hidden="1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hidden="1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hidden="1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hidden="1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 hidden="1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hidden="1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 hidden="1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hidden="1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 hidden="1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hidden="1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hidden="1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 hidden="1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hidden="1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 hidden="1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hidden="1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hidden="1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hidden="1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hidden="1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 hidden="1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hidden="1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hidden="1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hidden="1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 hidden="1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hidden="1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hidden="1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 hidden="1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hidden="1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 hidden="1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hidden="1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hidden="1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hidden="1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 hidden="1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hidden="1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 hidden="1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hidden="1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 hidden="1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 hidden="1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hidden="1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 hidden="1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hidden="1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hidden="1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hidden="1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hidden="1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 hidden="1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 hidden="1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hidden="1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hidden="1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hidden="1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hidden="1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hidden="1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hidden="1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hidden="1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hidden="1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hidden="1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hidden="1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hidden="1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hidden="1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 hidden="1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hidden="1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hidden="1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 hidden="1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hidden="1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hidden="1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hidden="1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 hidden="1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hidden="1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hidden="1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hidden="1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 hidden="1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hidden="1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hidden="1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hidden="1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hidden="1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hidden="1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hidden="1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 hidden="1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 hidden="1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 hidden="1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 hidden="1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hidden="1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hidden="1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 hidden="1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 hidden="1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hidden="1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hidden="1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hidden="1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hidden="1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hidden="1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hidden="1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hidden="1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hidden="1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 hidden="1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 hidden="1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 hidden="1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hidden="1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hidden="1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hidden="1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hidden="1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hidden="1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hidden="1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hidden="1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hidden="1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hidden="1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hidden="1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hidden="1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hidden="1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hidden="1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hidden="1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hidden="1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hidden="1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hidden="1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hidden="1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hidden="1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hidden="1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hidden="1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hidden="1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hidden="1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hidden="1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hidden="1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hidden="1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hidden="1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hidden="1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hidden="1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hidden="1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hidden="1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hidden="1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hidden="1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hidden="1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hidden="1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hidden="1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hidden="1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hidden="1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hidden="1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hidden="1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hidden="1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hidden="1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hidden="1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hidden="1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hidden="1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hidden="1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hidden="1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 hidden="1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 hidden="1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 hidden="1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 hidden="1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hidden="1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hidden="1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hidden="1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hidden="1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hidden="1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hidden="1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hidden="1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hidden="1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hidden="1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hidden="1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hidden="1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hidden="1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hidden="1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hidden="1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hidden="1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hidden="1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hidden="1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hidden="1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 hidden="1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 hidden="1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hidden="1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hidden="1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hidden="1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hidden="1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hidden="1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hidden="1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hidden="1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hidden="1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hidden="1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hidden="1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hidden="1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hidden="1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hidden="1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hidden="1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hidden="1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hidden="1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hidden="1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hidden="1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hidden="1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hidden="1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hidden="1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hidden="1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hidden="1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hidden="1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hidden="1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hidden="1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hidden="1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 hidden="1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hidden="1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hidden="1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hidden="1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hidden="1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hidden="1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hidden="1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hidden="1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hidden="1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hidden="1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hidden="1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hidden="1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hidden="1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hidden="1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hidden="1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hidden="1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hidden="1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hidden="1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hidden="1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hidden="1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hidden="1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hidden="1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hidden="1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hidden="1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hidden="1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hidden="1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hidden="1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hidden="1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hidden="1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hidden="1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hidden="1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hidden="1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hidden="1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hidden="1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hidden="1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hidden="1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hidden="1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hidden="1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hidden="1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hidden="1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hidden="1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hidden="1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hidden="1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hidden="1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hidden="1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hidden="1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hidden="1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hidden="1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hidden="1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hidden="1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hidden="1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hidden="1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hidden="1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hidden="1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hidden="1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hidden="1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hidden="1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hidden="1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hidden="1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hidden="1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hidden="1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hidden="1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hidden="1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hidden="1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hidden="1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hidden="1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hidden="1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hidden="1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hidden="1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hidden="1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hidden="1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hidden="1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hidden="1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hidden="1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hidden="1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hidden="1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hidden="1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hidden="1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hidden="1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hidden="1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hidden="1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hidden="1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hidden="1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hidden="1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hidden="1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hidden="1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hidden="1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hidden="1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hidden="1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hidden="1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hidden="1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hidden="1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hidden="1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hidden="1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hidden="1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hidden="1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hidden="1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hidden="1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hidden="1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hidden="1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hidden="1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hidden="1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hidden="1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hidden="1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hidden="1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hidden="1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hidden="1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hidden="1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hidden="1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hidden="1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hidden="1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hidden="1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hidden="1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hidden="1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hidden="1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hidden="1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hidden="1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hidden="1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hidden="1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hidden="1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hidden="1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hidden="1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hidden="1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hidden="1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hidden="1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hidden="1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hidden="1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hidden="1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hidden="1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hidden="1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hidden="1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hidden="1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hidden="1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hidden="1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hidden="1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hidden="1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hidden="1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hidden="1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hidden="1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hidden="1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hidden="1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hidden="1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hidden="1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hidden="1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hidden="1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hidden="1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hidden="1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hidden="1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hidden="1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hidden="1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hidden="1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hidden="1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hidden="1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hidden="1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hidden="1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hidden="1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hidden="1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hidden="1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hidden="1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hidden="1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hidden="1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hidden="1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hidden="1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hidden="1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hidden="1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hidden="1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hidden="1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hidden="1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hidden="1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hidden="1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hidden="1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hidden="1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hidden="1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hidden="1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hidden="1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hidden="1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hidden="1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hidden="1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hidden="1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hidden="1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hidden="1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hidden="1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hidden="1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hidden="1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hidden="1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hidden="1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hidden="1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hidden="1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hidden="1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hidden="1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hidden="1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hidden="1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hidden="1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hidden="1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hidden="1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hidden="1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hidden="1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hidden="1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hidden="1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hidden="1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hidden="1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hidden="1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hidden="1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hidden="1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hidden="1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hidden="1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hidden="1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hidden="1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hidden="1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hidden="1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hidden="1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hidden="1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hidden="1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hidden="1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hidden="1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hidden="1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hidden="1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hidden="1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hidden="1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hidden="1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hidden="1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hidden="1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hidden="1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hidden="1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hidden="1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hidden="1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hidden="1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hidden="1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hidden="1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hidden="1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hidden="1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hidden="1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hidden="1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hidden="1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hidden="1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hidden="1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hidden="1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hidden="1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hidden="1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hidden="1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hidden="1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hidden="1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hidden="1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hidden="1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hidden="1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hidden="1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hidden="1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hidden="1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hidden="1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hidden="1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hidden="1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hidden="1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hidden="1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hidden="1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hidden="1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hidden="1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hidden="1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hidden="1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hidden="1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hidden="1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hidden="1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hidden="1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hidden="1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hidden="1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hidden="1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hidden="1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hidden="1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hidden="1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hidden="1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hidden="1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hidden="1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hidden="1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hidden="1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hidden="1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hidden="1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hidden="1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hidden="1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hidden="1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hidden="1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hidden="1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hidden="1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hidden="1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hidden="1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hidden="1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hidden="1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hidden="1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hidden="1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hidden="1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hidden="1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hidden="1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hidden="1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hidden="1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hidden="1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hidden="1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hidden="1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hidden="1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hidden="1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hidden="1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hidden="1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hidden="1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hidden="1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hidden="1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hidden="1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hidden="1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hidden="1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hidden="1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hidden="1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hidden="1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hidden="1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hidden="1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hidden="1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hidden="1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hidden="1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hidden="1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hidden="1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hidden="1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hidden="1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hidden="1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 hidden="1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hidden="1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hidden="1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hidden="1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hidden="1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hidden="1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hidden="1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hidden="1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 hidden="1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hidden="1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hidden="1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hidden="1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hidden="1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hidden="1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hidden="1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hidden="1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hidden="1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hidden="1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hidden="1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hidden="1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hidden="1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hidden="1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hidden="1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hidden="1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hidden="1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hidden="1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hidden="1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hidden="1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hidden="1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hidden="1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hidden="1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hidden="1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hidden="1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hidden="1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hidden="1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hidden="1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hidden="1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hidden="1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hidden="1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hidden="1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hidden="1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hidden="1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hidden="1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hidden="1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hidden="1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hidden="1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hidden="1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 hidden="1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hidden="1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hidden="1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hidden="1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hidden="1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hidden="1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hidden="1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hidden="1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hidden="1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hidden="1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hidden="1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hidden="1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hidden="1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hidden="1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hidden="1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hidden="1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hidden="1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hidden="1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hidden="1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hidden="1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hidden="1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hidden="1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hidden="1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hidden="1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hidden="1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hidden="1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hidden="1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hidden="1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hidden="1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hidden="1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hidden="1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hidden="1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hidden="1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hidden="1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hidden="1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hidden="1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hidden="1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hidden="1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hidden="1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hidden="1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hidden="1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hidden="1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hidden="1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hidden="1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hidden="1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hidden="1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hidden="1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hidden="1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hidden="1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hidden="1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hidden="1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hidden="1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hidden="1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hidden="1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hidden="1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hidden="1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hidden="1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hidden="1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hidden="1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hidden="1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hidden="1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hidden="1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hidden="1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hidden="1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hidden="1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hidden="1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hidden="1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hidden="1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hidden="1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hidden="1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hidden="1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hidden="1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hidden="1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hidden="1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hidden="1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hidden="1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hidden="1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hidden="1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hidden="1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hidden="1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hidden="1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hidden="1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hidden="1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 hidden="1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 hidden="1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hidden="1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hidden="1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 hidden="1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 hidden="1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hidden="1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hidden="1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hidden="1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hidden="1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hidden="1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hidden="1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hidden="1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hidden="1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hidden="1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hidden="1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hidden="1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hidden="1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hidden="1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hidden="1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hidden="1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hidden="1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hidden="1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hidden="1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hidden="1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hidden="1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hidden="1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hidden="1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hidden="1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hidden="1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hidden="1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hidden="1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hidden="1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hidden="1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hidden="1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hidden="1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hidden="1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hidden="1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hidden="1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hidden="1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hidden="1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hidden="1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hidden="1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hidden="1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hidden="1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hidden="1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hidden="1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hidden="1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hidden="1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hidden="1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hidden="1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hidden="1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hidden="1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hidden="1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hidden="1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hidden="1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hidden="1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hidden="1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hidden="1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hidden="1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hidden="1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hidden="1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hidden="1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hidden="1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hidden="1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hidden="1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hidden="1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hidden="1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hidden="1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hidden="1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hidden="1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hidden="1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hidden="1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hidden="1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hidden="1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hidden="1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hidden="1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hidden="1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hidden="1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hidden="1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hidden="1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hidden="1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hidden="1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hidden="1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hidden="1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hidden="1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hidden="1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hidden="1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hidden="1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hidden="1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hidden="1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hidden="1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hidden="1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hidden="1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hidden="1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hidden="1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hidden="1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hidden="1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hidden="1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hidden="1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hidden="1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hidden="1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hidden="1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hidden="1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hidden="1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hidden="1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hidden="1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hidden="1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hidden="1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hidden="1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hidden="1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hidden="1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hidden="1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hidden="1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hidden="1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hidden="1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hidden="1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hidden="1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hidden="1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hidden="1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hidden="1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hidden="1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hidden="1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hidden="1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hidden="1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hidden="1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hidden="1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hidden="1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hidden="1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hidden="1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hidden="1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hidden="1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hidden="1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hidden="1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hidden="1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hidden="1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hidden="1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hidden="1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hidden="1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hidden="1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hidden="1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hidden="1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hidden="1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hidden="1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hidden="1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hidden="1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hidden="1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hidden="1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hidden="1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hidden="1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hidden="1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hidden="1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hidden="1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hidden="1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hidden="1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hidden="1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hidden="1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hidden="1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hidden="1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hidden="1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hidden="1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hidden="1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hidden="1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hidden="1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hidden="1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hidden="1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hidden="1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hidden="1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hidden="1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hidden="1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hidden="1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hidden="1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hidden="1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hidden="1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hidden="1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hidden="1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hidden="1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hidden="1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hidden="1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hidden="1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hidden="1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hidden="1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hidden="1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hidden="1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hidden="1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hidden="1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hidden="1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hidden="1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hidden="1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hidden="1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hidden="1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hidden="1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hidden="1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hidden="1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hidden="1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hidden="1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hidden="1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hidden="1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hidden="1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hidden="1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hidden="1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hidden="1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hidden="1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hidden="1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hidden="1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hidden="1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hidden="1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hidden="1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hidden="1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hidden="1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hidden="1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hidden="1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hidden="1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hidden="1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hidden="1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hidden="1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hidden="1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hidden="1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hidden="1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hidden="1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hidden="1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hidden="1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hidden="1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hidden="1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hidden="1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hidden="1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hidden="1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hidden="1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hidden="1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hidden="1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hidden="1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hidden="1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hidden="1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hidden="1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hidden="1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hidden="1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hidden="1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hidden="1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hidden="1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hidden="1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hidden="1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hidden="1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 hidden="1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hidden="1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hidden="1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hidden="1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hidden="1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hidden="1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hidden="1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hidden="1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hidden="1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hidden="1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hidden="1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hidden="1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hidden="1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hidden="1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hidden="1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hidden="1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hidden="1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hidden="1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hidden="1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hidden="1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hidden="1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hidden="1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hidden="1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hidden="1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hidden="1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hidden="1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hidden="1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hidden="1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hidden="1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hidden="1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hidden="1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hidden="1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hidden="1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hidden="1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hidden="1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hidden="1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hidden="1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hidden="1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hidden="1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hidden="1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hidden="1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hidden="1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hidden="1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hidden="1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hidden="1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hidden="1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hidden="1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hidden="1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hidden="1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hidden="1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hidden="1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hidden="1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hidden="1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hidden="1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hidden="1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hidden="1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hidden="1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hidden="1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hidden="1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hidden="1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hidden="1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hidden="1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hidden="1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hidden="1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hidden="1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hidden="1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hidden="1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hidden="1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hidden="1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hidden="1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hidden="1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hidden="1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hidden="1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hidden="1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hidden="1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hidden="1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hidden="1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hidden="1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hidden="1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hidden="1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hidden="1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hidden="1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hidden="1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hidden="1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hidden="1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hidden="1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hidden="1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hidden="1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hidden="1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hidden="1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hidden="1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hidden="1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hidden="1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hidden="1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hidden="1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hidden="1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hidden="1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hidden="1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hidden="1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hidden="1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hidden="1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hidden="1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hidden="1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hidden="1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hidden="1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hidden="1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hidden="1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hidden="1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hidden="1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hidden="1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hidden="1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hidden="1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hidden="1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hidden="1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hidden="1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hidden="1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hidden="1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hidden="1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hidden="1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hidden="1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hidden="1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 hidden="1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hidden="1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hidden="1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 hidden="1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hidden="1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hidden="1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hidden="1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hidden="1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hidden="1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hidden="1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hidden="1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hidden="1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hidden="1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hidden="1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hidden="1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hidden="1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hidden="1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hidden="1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hidden="1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hidden="1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hidden="1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hidden="1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hidden="1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hidden="1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hidden="1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hidden="1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hidden="1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hidden="1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hidden="1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hidden="1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hidden="1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hidden="1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hidden="1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hidden="1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hidden="1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hidden="1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hidden="1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hidden="1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hidden="1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hidden="1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hidden="1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hidden="1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hidden="1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hidden="1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hidden="1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hidden="1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hidden="1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hidden="1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hidden="1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hidden="1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hidden="1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hidden="1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hidden="1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hidden="1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hidden="1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hidden="1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hidden="1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hidden="1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hidden="1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hidden="1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hidden="1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hidden="1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hidden="1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hidden="1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hidden="1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hidden="1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hidden="1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hidden="1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hidden="1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hidden="1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hidden="1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hidden="1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hidden="1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hidden="1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hidden="1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hidden="1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hidden="1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hidden="1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hidden="1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hidden="1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hidden="1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hidden="1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hidden="1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hidden="1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hidden="1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hidden="1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hidden="1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hidden="1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hidden="1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hidden="1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hidden="1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hidden="1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hidden="1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hidden="1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hidden="1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hidden="1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hidden="1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hidden="1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hidden="1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hidden="1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hidden="1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hidden="1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hidden="1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hidden="1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hidden="1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hidden="1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hidden="1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hidden="1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hidden="1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hidden="1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hidden="1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hidden="1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hidden="1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hidden="1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hidden="1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hidden="1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hidden="1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hidden="1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hidden="1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hidden="1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hidden="1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hidden="1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hidden="1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hidden="1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hidden="1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hidden="1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hidden="1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hidden="1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hidden="1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hidden="1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hidden="1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hidden="1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hidden="1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hidden="1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hidden="1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hidden="1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hidden="1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hidden="1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hidden="1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hidden="1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hidden="1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hidden="1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hidden="1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hidden="1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hidden="1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hidden="1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hidden="1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hidden="1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hidden="1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hidden="1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hidden="1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hidden="1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hidden="1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hidden="1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hidden="1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hidden="1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hidden="1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hidden="1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hidden="1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hidden="1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hidden="1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hidden="1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hidden="1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hidden="1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hidden="1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hidden="1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hidden="1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hidden="1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hidden="1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hidden="1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hidden="1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hidden="1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hidden="1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hidden="1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hidden="1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hidden="1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hidden="1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hidden="1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hidden="1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hidden="1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hidden="1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hidden="1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hidden="1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hidden="1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hidden="1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hidden="1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hidden="1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hidden="1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hidden="1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hidden="1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hidden="1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hidden="1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hidden="1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hidden="1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hidden="1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hidden="1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hidden="1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hidden="1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hidden="1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hidden="1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hidden="1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hidden="1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hidden="1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hidden="1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hidden="1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hidden="1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hidden="1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hidden="1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hidden="1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hidden="1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hidden="1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hidden="1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hidden="1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hidden="1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hidden="1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hidden="1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hidden="1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hidden="1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hidden="1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hidden="1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hidden="1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hidden="1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hidden="1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hidden="1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hidden="1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hidden="1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hidden="1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hidden="1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hidden="1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hidden="1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hidden="1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hidden="1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hidden="1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hidden="1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hidden="1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hidden="1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hidden="1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hidden="1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hidden="1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hidden="1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hidden="1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hidden="1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hidden="1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hidden="1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hidden="1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hidden="1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hidden="1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hidden="1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hidden="1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hidden="1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hidden="1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hidden="1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hidden="1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hidden="1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hidden="1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hidden="1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hidden="1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hidden="1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hidden="1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hidden="1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hidden="1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hidden="1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hidden="1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hidden="1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hidden="1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hidden="1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hidden="1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hidden="1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hidden="1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hidden="1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hidden="1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hidden="1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hidden="1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hidden="1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hidden="1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hidden="1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hidden="1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hidden="1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hidden="1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hidden="1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hidden="1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hidden="1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hidden="1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hidden="1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hidden="1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hidden="1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hidden="1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hidden="1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hidden="1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hidden="1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hidden="1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hidden="1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hidden="1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hidden="1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hidden="1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hidden="1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hidden="1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hidden="1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hidden="1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hidden="1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hidden="1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hidden="1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hidden="1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hidden="1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hidden="1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hidden="1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hidden="1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hidden="1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hidden="1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hidden="1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hidden="1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hidden="1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hidden="1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hidden="1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hidden="1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hidden="1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hidden="1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hidden="1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hidden="1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hidden="1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hidden="1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hidden="1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hidden="1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hidden="1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hidden="1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hidden="1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hidden="1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hidden="1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hidden="1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40974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hidden="1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40981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hidden="1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40988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hidden="1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40995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hidden="1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40974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hidden="1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40981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hidden="1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40988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hidden="1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40995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hidden="1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40974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hidden="1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40981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hidden="1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40988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hidden="1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40995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hidden="1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40974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hidden="1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40981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hidden="1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40988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hidden="1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40995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hidden="1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40974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hidden="1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40981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hidden="1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40988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hidden="1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40995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hidden="1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40974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hidden="1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40981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hidden="1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40988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hidden="1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40995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hidden="1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40974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hidden="1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40981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hidden="1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40988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hidden="1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40995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hidden="1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40974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hidden="1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40981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hidden="1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40988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hidden="1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40995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hidden="1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40974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hidden="1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40981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hidden="1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40988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hidden="1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40995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hidden="1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40974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hidden="1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40981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hidden="1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40988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hidden="1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40995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hidden="1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40974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hidden="1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40981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hidden="1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40988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hidden="1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40995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 hidden="1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40974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 hidden="1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40981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 hidden="1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40988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 hidden="1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40995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hidden="1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40974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hidden="1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40981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hidden="1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40988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hidden="1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40995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hidden="1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40974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hidden="1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40981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hidden="1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40988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hidden="1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40995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hidden="1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40974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hidden="1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40981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40988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hidden="1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40995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40974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40981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40988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40995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40974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40981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40988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40995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hidden="1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40974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hidden="1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40981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hidden="1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40988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hidden="1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40995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hidden="1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40974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hidden="1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40981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hidden="1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40988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hidden="1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40995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hidden="1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40974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hidden="1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40981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hidden="1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40988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hidden="1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40995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hidden="1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40974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hidden="1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40981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hidden="1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40988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40995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40974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hidden="1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40981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hidden="1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40988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hidden="1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40995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hidden="1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40974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hidden="1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40981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hidden="1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40988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hidden="1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40995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hidden="1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40974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40981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40988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40995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hidden="1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40974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hidden="1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40981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hidden="1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40988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hidden="1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40995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hidden="1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40974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hidden="1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40981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hidden="1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40988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hidden="1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40995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hidden="1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40974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hidden="1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40981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hidden="1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40988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hidden="1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40995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hidden="1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40974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hidden="1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40981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hidden="1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40988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hidden="1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hidden="1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40974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hidden="1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40981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hidden="1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40988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hidden="1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40995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hidden="1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41002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hidden="1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41009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hidden="1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41016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hidden="1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41023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hidden="1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41002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hidden="1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41009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hidden="1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41016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hidden="1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41023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hidden="1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41002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hidden="1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41009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hidden="1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41016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hidden="1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41023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41002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hidden="1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41009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hidden="1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41016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hidden="1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41023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hidden="1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41002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hidden="1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41009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hidden="1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41016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hidden="1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41023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hidden="1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41002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 hidden="1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41009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hidden="1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41016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hidden="1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41023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 hidden="1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41002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hidden="1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41009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41016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hidden="1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41023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hidden="1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41002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hidden="1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41009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hidden="1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41016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hidden="1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41023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hidden="1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41002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 hidden="1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41009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hidden="1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41016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hidden="1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41023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hidden="1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41002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hidden="1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41009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hidden="1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41016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hidden="1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41023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hidden="1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41002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hidden="1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41009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hidden="1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41016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hidden="1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41023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 hidden="1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41002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 hidden="1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41009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 hidden="1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41016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 hidden="1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41023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hidden="1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41002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 hidden="1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41009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hidden="1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41016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hidden="1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41023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hidden="1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41002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hidden="1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41009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hidden="1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41016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hidden="1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41023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hidden="1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41002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hidden="1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41009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hidden="1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41016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hidden="1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41023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41002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41009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41016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41023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41002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41009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41016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41023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hidden="1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41002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hidden="1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41009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hidden="1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41016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hidden="1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41023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hidden="1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41002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hidden="1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41009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hidden="1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41016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hidden="1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41023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hidden="1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41002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hidden="1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41009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hidden="1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41016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hidden="1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41023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hidden="1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41002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hidden="1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41009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hidden="1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41016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hidden="1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41023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hidden="1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41002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hidden="1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41009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hidden="1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41016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hidden="1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41023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hidden="1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41002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hidden="1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41009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hidden="1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41016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hidden="1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41023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hidden="1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41002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hidden="1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41009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hidden="1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41016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hidden="1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41023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hidden="1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41002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hidden="1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41009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hidden="1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41016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hidden="1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41023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hidden="1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41002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hidden="1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41009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hidden="1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41016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hidden="1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41023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hidden="1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41002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 hidden="1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41009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hidden="1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41016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hidden="1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41023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hidden="1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41002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hidden="1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41009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hidden="1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41016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hidden="1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41023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hidden="1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41002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hidden="1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41009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hidden="1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41016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hidden="1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41023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 hidden="1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41002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 hidden="1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41009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 hidden="1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41016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 hidden="1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41023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hidden="1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41002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 hidden="1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41009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hidden="1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41016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hidden="1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41023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hidden="1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41002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 hidden="1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41009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hidden="1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41016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hidden="1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41023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hidden="1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41030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hidden="1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41037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hidden="1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41044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hidden="1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41051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hidden="1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41058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hidden="1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41030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hidden="1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41037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hidden="1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41044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hidden="1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41051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hidden="1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41058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hidden="1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41030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hidden="1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41037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hidden="1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41044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hidden="1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41051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hidden="1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41058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hidden="1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41030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hidden="1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41037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hidden="1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41044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hidden="1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41051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hidden="1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41058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hidden="1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41030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hidden="1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41037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hidden="1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41044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hidden="1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41051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hidden="1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41058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hidden="1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41030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hidden="1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41037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 hidden="1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41044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 hidden="1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41051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 hidden="1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41058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hidden="1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41030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hidden="1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41037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hidden="1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41044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hidden="1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41051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hidden="1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41058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41030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hidden="1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41037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hidden="1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41044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hidden="1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41051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hidden="1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41058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hidden="1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41030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hidden="1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41037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hidden="1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41044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41051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hidden="1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41058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hidden="1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41030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hidden="1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41037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hidden="1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41044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hidden="1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41051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hidden="1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41058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hidden="1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41030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hidden="1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41037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hidden="1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41044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hidden="1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41051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hidden="1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41058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 hidden="1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41030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 hidden="1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41037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 hidden="1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41044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 hidden="1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41051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 hidden="1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41058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 hidden="1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41030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 hidden="1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41037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 hidden="1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41044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 hidden="1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41051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 hidden="1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41058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hidden="1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41030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hidden="1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41037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hidden="1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41044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hidden="1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41051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hidden="1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41058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hidden="1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41030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hidden="1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41037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hidden="1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41044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hidden="1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41051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hidden="1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41058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hidden="1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41030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hidden="1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41037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hidden="1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41044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hidden="1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41051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hidden="1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41058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hidden="1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41030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hidden="1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41037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hidden="1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41044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hidden="1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41051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hidden="1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41058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41030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41037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41044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41051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41058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41030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41037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41044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41051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41058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hidden="1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41030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hidden="1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41037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hidden="1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hidden="1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41051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hidden="1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41058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hidden="1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41030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hidden="1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41037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hidden="1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41044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hidden="1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41051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hidden="1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41058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hidden="1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41030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hidden="1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41037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hidden="1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41044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hidden="1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41051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hidden="1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41058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hidden="1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41030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hidden="1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41037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hidden="1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41044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hidden="1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41051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hidden="1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41058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hidden="1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41030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hidden="1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41037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hidden="1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41044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41051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hidden="1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41058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hidden="1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41030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hidden="1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41037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hidden="1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41044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hidden="1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41051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hidden="1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41058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hidden="1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41030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hidden="1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41037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hidden="1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41044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hidden="1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41051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hidden="1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41058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hidden="1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41030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hidden="1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41037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41044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hidden="1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41051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hidden="1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41058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hidden="1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41030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hidden="1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41037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hidden="1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41044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hidden="1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41051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hidden="1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41058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hidden="1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41030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hidden="1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41037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hidden="1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41044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hidden="1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41051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hidden="1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41058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hidden="1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41030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hidden="1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41037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hidden="1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41044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hidden="1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41051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hidden="1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41058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hidden="1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41030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hidden="1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41037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hidden="1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41044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hidden="1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41051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hidden="1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41058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hidden="1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41030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hidden="1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41037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hidden="1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41044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hidden="1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41051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hidden="1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41058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hidden="1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41065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hidden="1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41072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hidden="1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41079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hidden="1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41086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hidden="1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41065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hidden="1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41072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hidden="1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41079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hidden="1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41086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hidden="1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41065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hidden="1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41072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hidden="1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41079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hidden="1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41086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hidden="1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41065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hidden="1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41072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hidden="1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41079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hidden="1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41086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hidden="1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41065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hidden="1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41072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hidden="1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41079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hidden="1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41086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hidden="1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41065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hidden="1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41072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hidden="1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41079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hidden="1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41086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hidden="1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41065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hidden="1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41072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hidden="1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41079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hidden="1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41086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hidden="1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41065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hidden="1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41072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hidden="1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41079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hidden="1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41086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hidden="1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41065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hidden="1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41072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hidden="1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41079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hidden="1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41086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hidden="1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41065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hidden="1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41072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hidden="1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41079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hidden="1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41086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hidden="1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41065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hidden="1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41072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hidden="1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41079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hidden="1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41086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 hidden="1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41065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 hidden="1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41072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 hidden="1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41079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 hidden="1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41086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 hidden="1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41065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 hidden="1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41072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hidden="1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41079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hidden="1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41065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 hidden="1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41072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hidden="1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41079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hidden="1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41086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hidden="1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41065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hidden="1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41072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hidden="1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41079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hidden="1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41086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hidden="1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41065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hidden="1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41072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hidden="1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41079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hidden="1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41086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hidden="1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41065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41072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41079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41086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41065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41072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41079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41086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hidden="1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41065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hidden="1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41072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hidden="1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41079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hidden="1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41086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hidden="1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41065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hidden="1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41072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hidden="1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41079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hidden="1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41086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hidden="1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41065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hidden="1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41072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hidden="1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41079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41086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hidden="1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hidden="1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41072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hidden="1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41079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hidden="1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41086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hidden="1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41065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hidden="1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41072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hidden="1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41079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hidden="1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41086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hidden="1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41065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hidden="1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41072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hidden="1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41079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hidden="1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41086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hidden="1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41065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hidden="1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41072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hidden="1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41079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hidden="1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41086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hidden="1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41065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hidden="1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41072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hidden="1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41079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hidden="1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41086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hidden="1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41065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hidden="1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41072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hidden="1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41079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hidden="1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41086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hidden="1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41065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hidden="1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41072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hidden="1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41079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hidden="1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41086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hidden="1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41065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hidden="1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41072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hidden="1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41079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hidden="1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41086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hidden="1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41065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hidden="1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41072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41079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hidden="1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41086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hidden="1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41065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hidden="1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41072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hidden="1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41079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hidden="1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41086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 hidden="1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41086</v>
      </c>
      <c r="H2114">
        <v>26</v>
      </c>
      <c r="I2114">
        <v>2016</v>
      </c>
    </row>
    <row r="2115" spans="1:16" hidden="1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41093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hidden="1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41100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hidden="1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41107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hidden="1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41114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hidden="1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41093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hidden="1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41100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hidden="1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41107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hidden="1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41114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hidden="1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41093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hidden="1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41100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hidden="1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41107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hidden="1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41114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hidden="1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41093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hidden="1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41100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hidden="1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41107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hidden="1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41114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hidden="1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41093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hidden="1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41100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hidden="1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41107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hidden="1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41114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hidden="1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41093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 hidden="1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41100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hidden="1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41107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hidden="1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41114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hidden="1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41093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hidden="1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41100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hidden="1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41107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hidden="1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41114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hidden="1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41093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hidden="1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41100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hidden="1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41107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hidden="1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41114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hidden="1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41093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hidden="1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41100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hidden="1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41107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hidden="1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41114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hidden="1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41093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hidden="1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41100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hidden="1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41107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hidden="1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41114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hidden="1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41093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hidden="1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41100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hidden="1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41107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hidden="1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41114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 hidden="1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41093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 hidden="1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41100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 hidden="1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41107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 hidden="1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41114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 hidden="1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41093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 hidden="1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41100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 hidden="1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41107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 hidden="1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41114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hidden="1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41093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hidden="1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41100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hidden="1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41107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hidden="1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41114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hidden="1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41093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hidden="1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41100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41107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hidden="1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41114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hidden="1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hidden="1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41100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hidden="1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41107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hidden="1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41114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hidden="1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41093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hidden="1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41100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hidden="1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41107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hidden="1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41114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41093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41100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41107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41114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41093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41100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41107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41114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hidden="1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41093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hidden="1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41100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hidden="1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41107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hidden="1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41114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hidden="1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41093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hidden="1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41100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hidden="1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41107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hidden="1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41114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hidden="1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41093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hidden="1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41100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hidden="1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41107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hidden="1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41114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hidden="1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41093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hidden="1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41100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hidden="1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41107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hidden="1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41114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hidden="1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41093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hidden="1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41100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hidden="1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41107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hidden="1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41114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hidden="1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41093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hidden="1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41100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hidden="1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41107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hidden="1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41114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hidden="1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41093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hidden="1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41100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hidden="1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41107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hidden="1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41114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hidden="1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41093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hidden="1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41100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hidden="1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41107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hidden="1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41114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hidden="1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41093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hidden="1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41100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hidden="1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41107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hidden="1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41114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hidden="1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41093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hidden="1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41100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hidden="1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41107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hidden="1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41114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hidden="1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41093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hidden="1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41100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hidden="1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41107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hidden="1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41114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hidden="1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41093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hidden="1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41100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41107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hidden="1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41114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hidden="1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41093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hidden="1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41100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hidden="1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41107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hidden="1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41114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hidden="1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41121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hidden="1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41128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hidden="1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41135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hidden="1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41142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hidden="1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41149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hidden="1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41121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hidden="1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41128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hidden="1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41135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hidden="1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41142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hidden="1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41149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hidden="1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41121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hidden="1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41128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hidden="1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41135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hidden="1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41142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hidden="1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41149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hidden="1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41121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hidden="1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41128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hidden="1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41135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hidden="1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41142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hidden="1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41149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hidden="1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41121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hidden="1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41128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hidden="1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41135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hidden="1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41142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hidden="1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41149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hidden="1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41121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hidden="1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41128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 hidden="1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41135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 hidden="1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41142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hidden="1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41149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hidden="1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41121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hidden="1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41128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hidden="1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41135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hidden="1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41142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hidden="1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41149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hidden="1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41121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hidden="1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41128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hidden="1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41135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hidden="1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41142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41149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hidden="1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41121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hidden="1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41128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hidden="1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41135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hidden="1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41142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hidden="1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41149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hidden="1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41121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hidden="1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41128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hidden="1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41135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hidden="1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41142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hidden="1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41149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hidden="1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41121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hidden="1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41128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hidden="1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41135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hidden="1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41142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hidden="1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41149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 hidden="1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41121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 hidden="1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41121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 hidden="1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41128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 hidden="1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41135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 hidden="1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41142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 hidden="1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41149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hidden="1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41121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hidden="1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41128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hidden="1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41135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hidden="1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41142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hidden="1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41149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hidden="1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41121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hidden="1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41128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hidden="1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41135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hidden="1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41142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hidden="1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41149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hidden="1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41121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hidden="1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41128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hidden="1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41135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hidden="1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41142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hidden="1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41149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hidden="1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41121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hidden="1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41128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hidden="1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41135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hidden="1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41142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hidden="1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41149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41121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41128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41135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41142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41149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41121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41128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41135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41142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41149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hidden="1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41121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hidden="1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41121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hidden="1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41128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hidden="1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41135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hidden="1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41142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hidden="1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41149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hidden="1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41121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hidden="1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41128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hidden="1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41135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hidden="1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41142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hidden="1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41149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hidden="1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41121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hidden="1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41128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hidden="1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41135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hidden="1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41142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hidden="1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41149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hidden="1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41121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hidden="1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41128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hidden="1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41135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hidden="1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41142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hidden="1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41149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hidden="1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41121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hidden="1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41128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hidden="1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41135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hidden="1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41142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hidden="1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41149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hidden="1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41121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hidden="1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41128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hidden="1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41135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hidden="1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41142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hidden="1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41149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hidden="1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41121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hidden="1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41128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hidden="1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41135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hidden="1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41142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hidden="1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41149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hidden="1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41121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hidden="1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41128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hidden="1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41135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hidden="1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41142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hidden="1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41149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hidden="1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41121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hidden="1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41128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hidden="1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41135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hidden="1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41142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hidden="1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41149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hidden="1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41121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hidden="1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41128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hidden="1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41135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hidden="1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41142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hidden="1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41149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hidden="1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41121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hidden="1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41128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hidden="1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41135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hidden="1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41142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hidden="1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41149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hidden="1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41121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hidden="1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41128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hidden="1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41135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hidden="1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41142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hidden="1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41149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 hidden="1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41149</v>
      </c>
      <c r="H2395">
        <v>35</v>
      </c>
      <c r="I2395">
        <v>2016</v>
      </c>
    </row>
    <row r="2396" spans="1:16" hidden="1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41149</v>
      </c>
      <c r="H2396">
        <v>35</v>
      </c>
      <c r="I2396">
        <v>2016</v>
      </c>
      <c r="J2396" t="s">
        <v>132</v>
      </c>
    </row>
    <row r="2397" spans="1:16" hidden="1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41156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hidden="1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41163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hidden="1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41170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hidden="1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41177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hidden="1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41156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hidden="1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41163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hidden="1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41170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hidden="1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41177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hidden="1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41156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 hidden="1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41163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hidden="1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41170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hidden="1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41177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hidden="1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41156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hidden="1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41163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hidden="1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41170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hidden="1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41177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hidden="1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41156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hidden="1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41163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hidden="1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41170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hidden="1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41177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hidden="1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41156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hidden="1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41163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hidden="1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41170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hidden="1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41177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 hidden="1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41156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hidden="1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41163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hidden="1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41170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hidden="1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41177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hidden="1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41156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hidden="1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41163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hidden="1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41170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hidden="1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41177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hidden="1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41156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hidden="1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41163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hidden="1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41170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hidden="1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hidden="1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41156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hidden="1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41163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hidden="1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41170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hidden="1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41177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hidden="1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41156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hidden="1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41163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hidden="1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41170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hidden="1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41177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 hidden="1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41156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 hidden="1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41163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 hidden="1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41170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 hidden="1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41177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 hidden="1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41156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 hidden="1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41163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 hidden="1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41170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 hidden="1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41177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 hidden="1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41156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hidden="1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41163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hidden="1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41170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hidden="1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41177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 hidden="1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41156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hidden="1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41163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hidden="1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41170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hidden="1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41177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hidden="1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41156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41163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hidden="1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41170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hidden="1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41177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hidden="1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41156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hidden="1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41163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hidden="1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41170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hidden="1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41177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41156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41163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41170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41177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41156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41163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41170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41177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hidden="1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41156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hidden="1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41163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hidden="1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41170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hidden="1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41177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hidden="1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41156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hidden="1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41163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hidden="1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41170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hidden="1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41177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hidden="1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41156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hidden="1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41163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hidden="1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41170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hidden="1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41177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hidden="1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41156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hidden="1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41163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hidden="1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41170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 hidden="1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41177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 hidden="1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41156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41163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41170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hidden="1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41177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hidden="1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41156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hidden="1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41163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hidden="1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41170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hidden="1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41177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hidden="1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41156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hidden="1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41163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hidden="1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41170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hidden="1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41177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 hidden="1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41156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hidden="1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41163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hidden="1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41170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hidden="1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41177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hidden="1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41156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hidden="1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41163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hidden="1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41170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hidden="1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41177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hidden="1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41156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hidden="1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41163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hidden="1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41170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hidden="1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41177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 hidden="1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41156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hidden="1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41163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hidden="1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41170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hidden="1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41177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 hidden="1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41156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hidden="1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41163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hidden="1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41170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hidden="1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41177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 hidden="1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41156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hidden="1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41163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hidden="1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41170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hidden="1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41177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hidden="1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41184</v>
      </c>
      <c r="H2525">
        <v>40</v>
      </c>
      <c r="I2525">
        <v>2016</v>
      </c>
      <c r="J2525" t="s">
        <v>73</v>
      </c>
      <c r="K2525" t="s">
        <v>74</v>
      </c>
      <c r="L2525" t="s">
        <v>74</v>
      </c>
      <c r="M2525" t="s">
        <v>74</v>
      </c>
      <c r="N2525" t="s">
        <v>76</v>
      </c>
      <c r="O2525" t="s">
        <v>77</v>
      </c>
      <c r="P2525" t="s">
        <v>73</v>
      </c>
    </row>
    <row r="2526" spans="1:16" hidden="1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41191</v>
      </c>
      <c r="H2526">
        <v>41</v>
      </c>
      <c r="I2526">
        <v>2016</v>
      </c>
      <c r="J2526" t="s">
        <v>74</v>
      </c>
      <c r="K2526" t="s">
        <v>74</v>
      </c>
      <c r="L2526" t="s">
        <v>74</v>
      </c>
      <c r="M2526" t="s">
        <v>74</v>
      </c>
      <c r="N2526" t="s">
        <v>74</v>
      </c>
      <c r="O2526" t="s">
        <v>73</v>
      </c>
      <c r="P2526" t="s">
        <v>74</v>
      </c>
    </row>
    <row r="2527" spans="1:16" hidden="1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41198</v>
      </c>
      <c r="H2527">
        <v>42</v>
      </c>
      <c r="I2527">
        <v>2016</v>
      </c>
      <c r="J2527" t="s">
        <v>74</v>
      </c>
      <c r="K2527" t="s">
        <v>74</v>
      </c>
      <c r="L2527" t="s">
        <v>76</v>
      </c>
      <c r="M2527" t="s">
        <v>77</v>
      </c>
      <c r="N2527" t="s">
        <v>73</v>
      </c>
      <c r="O2527" t="s">
        <v>74</v>
      </c>
      <c r="P2527" t="s">
        <v>74</v>
      </c>
    </row>
    <row r="2528" spans="1:16" hidden="1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41205</v>
      </c>
      <c r="H2528">
        <v>43</v>
      </c>
      <c r="I2528">
        <v>2016</v>
      </c>
      <c r="J2528" t="s">
        <v>74</v>
      </c>
      <c r="K2528" t="s">
        <v>74</v>
      </c>
      <c r="L2528" t="s">
        <v>74</v>
      </c>
      <c r="M2528" t="s">
        <v>73</v>
      </c>
      <c r="N2528" t="s">
        <v>74</v>
      </c>
      <c r="O2528" t="s">
        <v>74</v>
      </c>
      <c r="P2528" t="s">
        <v>74</v>
      </c>
    </row>
    <row r="2529" spans="1:16" hidden="1">
      <c r="A2529" t="s">
        <v>1100</v>
      </c>
      <c r="B2529" t="s">
        <v>3</v>
      </c>
      <c r="C2529" t="s">
        <v>4</v>
      </c>
      <c r="D2529" t="s">
        <v>90</v>
      </c>
      <c r="E2529" s="1" t="s">
        <v>1271</v>
      </c>
      <c r="F2529">
        <v>5</v>
      </c>
      <c r="G2529" s="1">
        <v>41212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74</v>
      </c>
      <c r="O2529" t="s">
        <v>74</v>
      </c>
      <c r="P2529" t="s">
        <v>76</v>
      </c>
    </row>
    <row r="2530" spans="1:16" hidden="1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41184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hidden="1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41191</v>
      </c>
      <c r="H2531">
        <v>41</v>
      </c>
      <c r="I2531">
        <v>2016</v>
      </c>
      <c r="J2531" t="s">
        <v>75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hidden="1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41198</v>
      </c>
      <c r="H2532">
        <v>42</v>
      </c>
      <c r="I2532">
        <v>2016</v>
      </c>
      <c r="J2532" t="s">
        <v>74</v>
      </c>
      <c r="K2532" t="s">
        <v>75</v>
      </c>
      <c r="L2532" t="s">
        <v>92</v>
      </c>
      <c r="M2532" t="s">
        <v>73</v>
      </c>
      <c r="N2532" t="s">
        <v>92</v>
      </c>
      <c r="O2532" t="s">
        <v>92</v>
      </c>
      <c r="P2532" t="s">
        <v>92</v>
      </c>
    </row>
    <row r="2533" spans="1:16" hidden="1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41205</v>
      </c>
      <c r="H2533">
        <v>43</v>
      </c>
      <c r="I2533">
        <v>2016</v>
      </c>
      <c r="J2533" t="s">
        <v>92</v>
      </c>
      <c r="K2533" t="s">
        <v>92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hidden="1">
      <c r="A2534" t="s">
        <v>1105</v>
      </c>
      <c r="B2534" t="s">
        <v>5</v>
      </c>
      <c r="C2534" t="s">
        <v>6</v>
      </c>
      <c r="D2534" t="s">
        <v>93</v>
      </c>
      <c r="E2534" s="1" t="s">
        <v>1271</v>
      </c>
      <c r="F2534">
        <v>6</v>
      </c>
      <c r="G2534" s="1">
        <v>41212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hidden="1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41184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75</v>
      </c>
      <c r="O2535" t="s">
        <v>92</v>
      </c>
      <c r="P2535" t="s">
        <v>73</v>
      </c>
    </row>
    <row r="2536" spans="1:16" hidden="1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41191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74</v>
      </c>
      <c r="N2536" t="s">
        <v>75</v>
      </c>
      <c r="O2536" t="s">
        <v>73</v>
      </c>
      <c r="P2536" t="s">
        <v>74</v>
      </c>
    </row>
    <row r="2537" spans="1:16" hidden="1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41198</v>
      </c>
      <c r="H2537">
        <v>42</v>
      </c>
      <c r="I2537">
        <v>2016</v>
      </c>
      <c r="J2537" t="s">
        <v>75</v>
      </c>
      <c r="K2537" t="s">
        <v>75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hidden="1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41205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hidden="1">
      <c r="A2539" t="s">
        <v>1110</v>
      </c>
      <c r="B2539" t="s">
        <v>7</v>
      </c>
      <c r="C2539" t="s">
        <v>8</v>
      </c>
      <c r="D2539" t="s">
        <v>94</v>
      </c>
      <c r="E2539" s="1" t="s">
        <v>1271</v>
      </c>
      <c r="F2539">
        <v>11</v>
      </c>
      <c r="G2539" s="1">
        <v>41212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hidden="1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41184</v>
      </c>
      <c r="H2540">
        <v>40</v>
      </c>
      <c r="I2540">
        <v>2016</v>
      </c>
      <c r="J2540" t="s">
        <v>75</v>
      </c>
      <c r="K2540" t="s">
        <v>92</v>
      </c>
      <c r="L2540" t="s">
        <v>75</v>
      </c>
      <c r="M2540" t="s">
        <v>76</v>
      </c>
      <c r="N2540" t="s">
        <v>77</v>
      </c>
      <c r="O2540" t="s">
        <v>73</v>
      </c>
      <c r="P2540" t="s">
        <v>92</v>
      </c>
    </row>
    <row r="2541" spans="1:16" hidden="1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41191</v>
      </c>
      <c r="H2541">
        <v>41</v>
      </c>
      <c r="I2541">
        <v>2016</v>
      </c>
      <c r="J2541" t="s">
        <v>75</v>
      </c>
      <c r="K2541" t="s">
        <v>75</v>
      </c>
      <c r="L2541" t="s">
        <v>75</v>
      </c>
      <c r="M2541" t="s">
        <v>75</v>
      </c>
      <c r="N2541" t="s">
        <v>73</v>
      </c>
      <c r="O2541" t="s">
        <v>74</v>
      </c>
      <c r="P2541" t="s">
        <v>74</v>
      </c>
    </row>
    <row r="2542" spans="1:16" hidden="1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41198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hidden="1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41205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hidden="1">
      <c r="A2544" t="s">
        <v>1115</v>
      </c>
      <c r="B2544" t="s">
        <v>9</v>
      </c>
      <c r="C2544" t="s">
        <v>10</v>
      </c>
      <c r="D2544" t="s">
        <v>96</v>
      </c>
      <c r="E2544" s="1" t="s">
        <v>1271</v>
      </c>
      <c r="F2544">
        <v>1</v>
      </c>
      <c r="G2544" s="1">
        <v>41212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hidden="1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41184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hidden="1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41191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hidden="1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41198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92</v>
      </c>
      <c r="O2547" t="s">
        <v>76</v>
      </c>
      <c r="P2547" t="s">
        <v>77</v>
      </c>
    </row>
    <row r="2548" spans="1:16" hidden="1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41205</v>
      </c>
      <c r="H2548">
        <v>43</v>
      </c>
      <c r="I2548">
        <v>2016</v>
      </c>
      <c r="J2548" t="s">
        <v>73</v>
      </c>
      <c r="K2548" t="s">
        <v>92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hidden="1">
      <c r="A2549" t="s">
        <v>1120</v>
      </c>
      <c r="B2549" t="s">
        <v>11</v>
      </c>
      <c r="C2549" t="s">
        <v>12</v>
      </c>
      <c r="D2549" t="s">
        <v>97</v>
      </c>
      <c r="E2549" s="1" t="s">
        <v>1271</v>
      </c>
      <c r="F2549">
        <v>2</v>
      </c>
      <c r="G2549" s="1">
        <v>41212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74</v>
      </c>
    </row>
    <row r="2550" spans="1:16" hidden="1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41184</v>
      </c>
      <c r="H2550">
        <v>40</v>
      </c>
      <c r="I2550">
        <v>2016</v>
      </c>
      <c r="J2550" t="s">
        <v>126</v>
      </c>
      <c r="K2550" t="s">
        <v>126</v>
      </c>
      <c r="L2550" t="s">
        <v>126</v>
      </c>
      <c r="M2550" t="s">
        <v>126</v>
      </c>
      <c r="N2550" t="s">
        <v>126</v>
      </c>
      <c r="O2550" t="s">
        <v>126</v>
      </c>
      <c r="P2550" t="s">
        <v>126</v>
      </c>
    </row>
    <row r="2551" spans="1:16" hidden="1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41191</v>
      </c>
      <c r="H2551">
        <v>41</v>
      </c>
      <c r="I2551">
        <v>2016</v>
      </c>
      <c r="J2551" t="s">
        <v>126</v>
      </c>
      <c r="K2551" t="s">
        <v>126</v>
      </c>
      <c r="L2551" t="s">
        <v>126</v>
      </c>
      <c r="M2551" t="s">
        <v>126</v>
      </c>
      <c r="N2551" t="s">
        <v>126</v>
      </c>
      <c r="O2551" t="s">
        <v>126</v>
      </c>
      <c r="P2551" t="s">
        <v>126</v>
      </c>
    </row>
    <row r="2552" spans="1:16" hidden="1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41198</v>
      </c>
      <c r="H2552">
        <v>42</v>
      </c>
      <c r="I2552">
        <v>2016</v>
      </c>
      <c r="J2552" t="s">
        <v>126</v>
      </c>
      <c r="K2552" t="s">
        <v>126</v>
      </c>
      <c r="L2552" t="s">
        <v>126</v>
      </c>
      <c r="M2552" t="s">
        <v>126</v>
      </c>
      <c r="N2552" t="s">
        <v>126</v>
      </c>
      <c r="O2552" t="s">
        <v>126</v>
      </c>
      <c r="P2552" t="s">
        <v>126</v>
      </c>
    </row>
    <row r="2553" spans="1:16" hidden="1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41205</v>
      </c>
      <c r="H2553">
        <v>43</v>
      </c>
      <c r="I2553">
        <v>2016</v>
      </c>
      <c r="J2553" t="s">
        <v>126</v>
      </c>
      <c r="K2553" t="s">
        <v>126</v>
      </c>
      <c r="L2553" t="s">
        <v>126</v>
      </c>
      <c r="M2553" t="s">
        <v>126</v>
      </c>
      <c r="N2553" t="s">
        <v>126</v>
      </c>
      <c r="O2553" t="s">
        <v>126</v>
      </c>
      <c r="P2553" t="s">
        <v>126</v>
      </c>
    </row>
    <row r="2554" spans="1:16" hidden="1">
      <c r="A2554" t="s">
        <v>1125</v>
      </c>
      <c r="B2554" t="s">
        <v>13</v>
      </c>
      <c r="C2554" t="s">
        <v>14</v>
      </c>
      <c r="D2554" t="s">
        <v>120</v>
      </c>
      <c r="E2554" s="1" t="s">
        <v>1320</v>
      </c>
      <c r="F2554">
        <v>1</v>
      </c>
      <c r="G2554" s="1">
        <v>41212</v>
      </c>
      <c r="H2554">
        <v>44</v>
      </c>
      <c r="I2554">
        <v>2016</v>
      </c>
      <c r="J2554" t="s">
        <v>126</v>
      </c>
      <c r="K2554" t="s">
        <v>126</v>
      </c>
      <c r="L2554" t="s">
        <v>126</v>
      </c>
      <c r="M2554" t="s">
        <v>126</v>
      </c>
      <c r="N2554" t="s">
        <v>126</v>
      </c>
      <c r="O2554" t="s">
        <v>126</v>
      </c>
      <c r="P2554" t="s">
        <v>126</v>
      </c>
    </row>
    <row r="2555" spans="1:16" hidden="1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41184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hidden="1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41191</v>
      </c>
      <c r="H2556">
        <v>41</v>
      </c>
      <c r="I2556">
        <v>2016</v>
      </c>
      <c r="J2556" t="s">
        <v>75</v>
      </c>
      <c r="K2556" t="s">
        <v>75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hidden="1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41198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hidden="1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41205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hidden="1">
      <c r="A2559" t="s">
        <v>1130</v>
      </c>
      <c r="B2559" t="s">
        <v>13</v>
      </c>
      <c r="C2559" t="s">
        <v>15</v>
      </c>
      <c r="D2559" t="s">
        <v>98</v>
      </c>
      <c r="E2559" s="1" t="s">
        <v>1272</v>
      </c>
      <c r="F2559">
        <v>3</v>
      </c>
      <c r="G2559" s="1">
        <v>41212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hidden="1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41184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hidden="1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41191</v>
      </c>
      <c r="H2561">
        <v>41</v>
      </c>
      <c r="I2561">
        <v>2016</v>
      </c>
      <c r="J2561" t="s">
        <v>74</v>
      </c>
      <c r="K2561" t="s">
        <v>75</v>
      </c>
      <c r="L2561" t="s">
        <v>75</v>
      </c>
      <c r="M2561" t="s">
        <v>73</v>
      </c>
      <c r="N2561" t="s">
        <v>75</v>
      </c>
      <c r="O2561" t="s">
        <v>74</v>
      </c>
      <c r="P2561" t="s">
        <v>75</v>
      </c>
    </row>
    <row r="2562" spans="1:16" hidden="1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41198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hidden="1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41205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hidden="1">
      <c r="A2564" t="s">
        <v>1135</v>
      </c>
      <c r="B2564" t="s">
        <v>16</v>
      </c>
      <c r="C2564" t="s">
        <v>17</v>
      </c>
      <c r="D2564" t="s">
        <v>99</v>
      </c>
      <c r="E2564" s="1" t="s">
        <v>1271</v>
      </c>
      <c r="F2564">
        <v>7</v>
      </c>
      <c r="G2564" s="1">
        <v>41212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1:16" hidden="1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41184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hidden="1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41191</v>
      </c>
      <c r="H2566">
        <v>41</v>
      </c>
      <c r="I2566">
        <v>2016</v>
      </c>
      <c r="J2566" t="s">
        <v>77</v>
      </c>
      <c r="K2566" t="s">
        <v>73</v>
      </c>
      <c r="L2566" t="s">
        <v>75</v>
      </c>
      <c r="M2566" t="s">
        <v>74</v>
      </c>
      <c r="N2566" t="s">
        <v>75</v>
      </c>
      <c r="O2566" t="s">
        <v>75</v>
      </c>
      <c r="P2566" t="s">
        <v>75</v>
      </c>
    </row>
    <row r="2567" spans="1:16" hidden="1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41198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75</v>
      </c>
      <c r="N2567" t="s">
        <v>75</v>
      </c>
      <c r="O2567" t="s">
        <v>75</v>
      </c>
      <c r="P2567" t="s">
        <v>73</v>
      </c>
    </row>
    <row r="2568" spans="1:16" hidden="1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41205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hidden="1">
      <c r="A2569" t="s">
        <v>1140</v>
      </c>
      <c r="B2569" t="s">
        <v>18</v>
      </c>
      <c r="C2569" t="s">
        <v>19</v>
      </c>
      <c r="D2569" t="s">
        <v>100</v>
      </c>
      <c r="E2569" s="1" t="s">
        <v>1271</v>
      </c>
      <c r="F2569">
        <v>9</v>
      </c>
      <c r="G2569" s="1">
        <v>41212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hidden="1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41184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hidden="1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41191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74</v>
      </c>
      <c r="O2571" t="s">
        <v>75</v>
      </c>
      <c r="P2571" t="s">
        <v>74</v>
      </c>
    </row>
    <row r="2572" spans="1:16" hidden="1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41198</v>
      </c>
      <c r="H2572">
        <v>42</v>
      </c>
      <c r="I2572">
        <v>2016</v>
      </c>
      <c r="J2572" t="s">
        <v>75</v>
      </c>
      <c r="K2572" t="s">
        <v>73</v>
      </c>
      <c r="L2572" t="s">
        <v>74</v>
      </c>
      <c r="M2572" t="s">
        <v>74</v>
      </c>
      <c r="N2572" t="s">
        <v>75</v>
      </c>
      <c r="O2572" t="s">
        <v>92</v>
      </c>
      <c r="P2572" t="s">
        <v>92</v>
      </c>
    </row>
    <row r="2573" spans="1:16" hidden="1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41205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hidden="1">
      <c r="A2574" t="s">
        <v>1145</v>
      </c>
      <c r="B2574" t="s">
        <v>20</v>
      </c>
      <c r="C2574" t="s">
        <v>21</v>
      </c>
      <c r="D2574" t="s">
        <v>101</v>
      </c>
      <c r="E2574" s="1" t="s">
        <v>1271</v>
      </c>
      <c r="F2574">
        <v>8</v>
      </c>
      <c r="G2574" s="1">
        <v>41212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hidden="1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41184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hidden="1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41191</v>
      </c>
      <c r="H2576">
        <v>41</v>
      </c>
      <c r="I2576">
        <v>2016</v>
      </c>
      <c r="J2576" t="s">
        <v>76</v>
      </c>
      <c r="K2576" t="s">
        <v>77</v>
      </c>
      <c r="L2576" t="s">
        <v>73</v>
      </c>
      <c r="M2576" t="s">
        <v>75</v>
      </c>
      <c r="N2576" t="s">
        <v>75</v>
      </c>
      <c r="O2576" t="s">
        <v>74</v>
      </c>
      <c r="P2576" t="s">
        <v>76</v>
      </c>
    </row>
    <row r="2577" spans="1:16" hidden="1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41198</v>
      </c>
      <c r="H2577">
        <v>42</v>
      </c>
      <c r="I2577">
        <v>2016</v>
      </c>
      <c r="J2577" t="s">
        <v>77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hidden="1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41205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hidden="1">
      <c r="A2579" t="s">
        <v>1150</v>
      </c>
      <c r="B2579" t="s">
        <v>22</v>
      </c>
      <c r="C2579" t="s">
        <v>17</v>
      </c>
      <c r="D2579" t="s">
        <v>102</v>
      </c>
      <c r="E2579" s="1" t="s">
        <v>1272</v>
      </c>
      <c r="F2579">
        <v>6</v>
      </c>
      <c r="G2579" s="1">
        <v>41212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75</v>
      </c>
      <c r="N2579" t="s">
        <v>75</v>
      </c>
      <c r="O2579" t="s">
        <v>73</v>
      </c>
      <c r="P2579" t="s">
        <v>75</v>
      </c>
    </row>
    <row r="2580" spans="1:16" hidden="1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41184</v>
      </c>
      <c r="H2580">
        <v>40</v>
      </c>
      <c r="I2580">
        <v>2016</v>
      </c>
      <c r="J2580" t="s">
        <v>75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 hidden="1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41191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 hidden="1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41198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74</v>
      </c>
      <c r="O2582" t="s">
        <v>75</v>
      </c>
      <c r="P2582" t="s">
        <v>73</v>
      </c>
    </row>
    <row r="2583" spans="1:16" hidden="1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41205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134</v>
      </c>
      <c r="O2583" t="s">
        <v>73</v>
      </c>
      <c r="P2583" t="s">
        <v>75</v>
      </c>
    </row>
    <row r="2584" spans="1:16" hidden="1">
      <c r="A2584" t="s">
        <v>1155</v>
      </c>
      <c r="B2584" t="s">
        <v>23</v>
      </c>
      <c r="C2584" t="s">
        <v>24</v>
      </c>
      <c r="D2584" t="s">
        <v>103</v>
      </c>
      <c r="E2584" s="1" t="s">
        <v>1272</v>
      </c>
      <c r="F2584">
        <v>1</v>
      </c>
      <c r="G2584" s="1">
        <v>41212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 hidden="1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41184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75</v>
      </c>
      <c r="P2585" t="s">
        <v>75</v>
      </c>
    </row>
    <row r="2586" spans="1:16" hidden="1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41191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 hidden="1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41198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74</v>
      </c>
      <c r="O2587" t="s">
        <v>75</v>
      </c>
      <c r="P2587" t="s">
        <v>76</v>
      </c>
    </row>
    <row r="2588" spans="1:16" hidden="1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41205</v>
      </c>
      <c r="H2588">
        <v>43</v>
      </c>
      <c r="I2588">
        <v>2016</v>
      </c>
      <c r="J2588" t="s">
        <v>77</v>
      </c>
      <c r="K2588" t="s">
        <v>73</v>
      </c>
      <c r="L2588" t="s">
        <v>75</v>
      </c>
      <c r="M2588" t="s">
        <v>74</v>
      </c>
      <c r="N2588" t="s">
        <v>75</v>
      </c>
      <c r="O2588" t="s">
        <v>74</v>
      </c>
      <c r="P2588" t="s">
        <v>74</v>
      </c>
    </row>
    <row r="2589" spans="1:16" hidden="1">
      <c r="A2589" t="s">
        <v>1160</v>
      </c>
      <c r="B2589" t="s">
        <v>23</v>
      </c>
      <c r="C2589" t="s">
        <v>55</v>
      </c>
      <c r="D2589" t="s">
        <v>127</v>
      </c>
      <c r="E2589" s="1" t="s">
        <v>1271</v>
      </c>
      <c r="F2589">
        <v>7</v>
      </c>
      <c r="G2589" s="1">
        <v>41212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134</v>
      </c>
      <c r="N2589" t="s">
        <v>74</v>
      </c>
      <c r="O2589" t="s">
        <v>75</v>
      </c>
      <c r="P2589" t="s">
        <v>73</v>
      </c>
    </row>
    <row r="2590" spans="1:16" hidden="1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41184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hidden="1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41191</v>
      </c>
      <c r="H2591">
        <v>41</v>
      </c>
      <c r="I2591">
        <v>2016</v>
      </c>
      <c r="J2591" t="s">
        <v>73</v>
      </c>
      <c r="K2591" t="s">
        <v>74</v>
      </c>
      <c r="L2591" t="s">
        <v>74</v>
      </c>
      <c r="M2591" t="s">
        <v>75</v>
      </c>
      <c r="N2591" t="s">
        <v>74</v>
      </c>
      <c r="O2591" t="s">
        <v>75</v>
      </c>
      <c r="P2591" t="s">
        <v>73</v>
      </c>
    </row>
    <row r="2592" spans="1:16" hidden="1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41198</v>
      </c>
      <c r="H2592">
        <v>42</v>
      </c>
      <c r="I2592">
        <v>2016</v>
      </c>
      <c r="J2592" t="s">
        <v>75</v>
      </c>
      <c r="K2592" t="s">
        <v>134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hidden="1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41205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75</v>
      </c>
      <c r="P2593" t="s">
        <v>75</v>
      </c>
    </row>
    <row r="2594" spans="1:16" hidden="1">
      <c r="A2594" t="s">
        <v>1165</v>
      </c>
      <c r="B2594" t="s">
        <v>25</v>
      </c>
      <c r="C2594" t="s">
        <v>132</v>
      </c>
      <c r="D2594" t="s">
        <v>104</v>
      </c>
      <c r="E2594" s="1" t="s">
        <v>1271</v>
      </c>
      <c r="F2594">
        <v>10</v>
      </c>
      <c r="G2594" s="1">
        <v>41212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hidden="1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41184</v>
      </c>
      <c r="H2595">
        <v>40</v>
      </c>
      <c r="I2595">
        <v>2016</v>
      </c>
      <c r="J2595" t="s">
        <v>75</v>
      </c>
      <c r="K2595" t="s">
        <v>74</v>
      </c>
      <c r="L2595" t="s">
        <v>75</v>
      </c>
      <c r="M2595" t="s">
        <v>75</v>
      </c>
      <c r="N2595" t="s">
        <v>73</v>
      </c>
      <c r="O2595" t="s">
        <v>74</v>
      </c>
      <c r="P2595" t="s">
        <v>74</v>
      </c>
    </row>
    <row r="2596" spans="1:16" hidden="1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41191</v>
      </c>
      <c r="H2596">
        <v>41</v>
      </c>
      <c r="I2596">
        <v>2016</v>
      </c>
      <c r="J2596" t="s">
        <v>74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hidden="1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41198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hidden="1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41205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hidden="1">
      <c r="A2599" t="s">
        <v>1170</v>
      </c>
      <c r="B2599" t="s">
        <v>56</v>
      </c>
      <c r="C2599" t="s">
        <v>57</v>
      </c>
      <c r="D2599" t="s">
        <v>129</v>
      </c>
      <c r="E2599" s="1" t="s">
        <v>1271</v>
      </c>
      <c r="F2599">
        <v>2</v>
      </c>
      <c r="G2599" s="1">
        <v>41212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hidden="1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41184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hidden="1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41191</v>
      </c>
      <c r="H2601">
        <v>41</v>
      </c>
      <c r="I2601">
        <v>2016</v>
      </c>
      <c r="J2601" t="s">
        <v>74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hidden="1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41198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92</v>
      </c>
      <c r="O2602" t="s">
        <v>74</v>
      </c>
      <c r="P2602" t="s">
        <v>73</v>
      </c>
    </row>
    <row r="2603" spans="1:16" hidden="1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41205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hidden="1">
      <c r="A2604" t="s">
        <v>1175</v>
      </c>
      <c r="B2604" t="s">
        <v>26</v>
      </c>
      <c r="C2604" t="s">
        <v>27</v>
      </c>
      <c r="D2604" t="s">
        <v>105</v>
      </c>
      <c r="E2604" s="1" t="s">
        <v>1271</v>
      </c>
      <c r="F2604">
        <v>3</v>
      </c>
      <c r="G2604" s="1">
        <v>41212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92</v>
      </c>
      <c r="P2604" t="s">
        <v>92</v>
      </c>
    </row>
    <row r="2605" spans="1:16" hidden="1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41184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hidden="1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41191</v>
      </c>
      <c r="H2606">
        <v>41</v>
      </c>
      <c r="I2606">
        <v>2016</v>
      </c>
      <c r="J2606" t="s">
        <v>77</v>
      </c>
      <c r="K2606" t="s">
        <v>73</v>
      </c>
      <c r="L2606" t="s">
        <v>75</v>
      </c>
      <c r="M2606" t="s">
        <v>75</v>
      </c>
      <c r="N2606" t="s">
        <v>75</v>
      </c>
      <c r="O2606" t="s">
        <v>75</v>
      </c>
      <c r="P2606" t="s">
        <v>74</v>
      </c>
    </row>
    <row r="2607" spans="1:16" hidden="1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41198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hidden="1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41205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134</v>
      </c>
    </row>
    <row r="2609" spans="1:16" hidden="1">
      <c r="A2609" t="s">
        <v>1180</v>
      </c>
      <c r="B2609" t="s">
        <v>28</v>
      </c>
      <c r="C2609" t="s">
        <v>29</v>
      </c>
      <c r="D2609" t="s">
        <v>106</v>
      </c>
      <c r="E2609" s="1" t="s">
        <v>1271</v>
      </c>
      <c r="F2609">
        <v>9</v>
      </c>
      <c r="G2609" s="1">
        <v>41212</v>
      </c>
      <c r="H2609">
        <v>44</v>
      </c>
      <c r="I2609">
        <v>2016</v>
      </c>
      <c r="J2609" t="s">
        <v>75</v>
      </c>
      <c r="K2609" t="s">
        <v>75</v>
      </c>
      <c r="L2609" t="s">
        <v>74</v>
      </c>
      <c r="M2609" t="s">
        <v>75</v>
      </c>
      <c r="N2609" t="s">
        <v>73</v>
      </c>
      <c r="O2609" t="s">
        <v>75</v>
      </c>
      <c r="P2609" t="s">
        <v>74</v>
      </c>
    </row>
    <row r="2610" spans="1:16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41184</v>
      </c>
      <c r="H2610">
        <v>40</v>
      </c>
      <c r="I2610">
        <v>2016</v>
      </c>
      <c r="J2610" t="s">
        <v>73</v>
      </c>
      <c r="K2610" t="s">
        <v>92</v>
      </c>
      <c r="L2610" t="s">
        <v>92</v>
      </c>
      <c r="M2610" t="s">
        <v>92</v>
      </c>
      <c r="N2610" t="s">
        <v>1298</v>
      </c>
      <c r="O2610" t="s">
        <v>75</v>
      </c>
      <c r="P2610" t="s">
        <v>73</v>
      </c>
    </row>
    <row r="2611" spans="1:16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41191</v>
      </c>
      <c r="H2611">
        <v>41</v>
      </c>
      <c r="I2611">
        <v>2016</v>
      </c>
      <c r="J2611" t="s">
        <v>75</v>
      </c>
      <c r="K2611" t="s">
        <v>75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41198</v>
      </c>
      <c r="H2612">
        <v>42</v>
      </c>
      <c r="I2612">
        <v>2016</v>
      </c>
      <c r="J2612" t="s">
        <v>75</v>
      </c>
      <c r="K2612" t="s">
        <v>75</v>
      </c>
      <c r="L2612" t="s">
        <v>75</v>
      </c>
      <c r="M2612" t="s">
        <v>75</v>
      </c>
      <c r="N2612" t="s">
        <v>73</v>
      </c>
      <c r="O2612" t="s">
        <v>1298</v>
      </c>
      <c r="P2612" t="s">
        <v>75</v>
      </c>
    </row>
    <row r="2613" spans="1:16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41205</v>
      </c>
      <c r="H2613">
        <v>43</v>
      </c>
      <c r="I2613">
        <v>2016</v>
      </c>
      <c r="J2613" t="s">
        <v>74</v>
      </c>
      <c r="K2613" t="s">
        <v>75</v>
      </c>
      <c r="L2613" t="s">
        <v>134</v>
      </c>
      <c r="M2613" t="s">
        <v>73</v>
      </c>
      <c r="N2613" t="s">
        <v>75</v>
      </c>
      <c r="O2613" t="s">
        <v>1298</v>
      </c>
      <c r="P2613" t="s">
        <v>75</v>
      </c>
    </row>
    <row r="2614" spans="1:16">
      <c r="A2614" t="s">
        <v>1185</v>
      </c>
      <c r="B2614" t="s">
        <v>30</v>
      </c>
      <c r="C2614" t="s">
        <v>8</v>
      </c>
      <c r="D2614" t="s">
        <v>107</v>
      </c>
      <c r="E2614" s="1" t="s">
        <v>1272</v>
      </c>
      <c r="F2614">
        <v>3</v>
      </c>
      <c r="G2614" s="1">
        <v>41212</v>
      </c>
      <c r="H2614">
        <v>44</v>
      </c>
      <c r="I2614">
        <v>2016</v>
      </c>
      <c r="J2614" t="s">
        <v>74</v>
      </c>
      <c r="K2614" t="s">
        <v>75</v>
      </c>
      <c r="L2614" t="s">
        <v>73</v>
      </c>
      <c r="M2614" t="s">
        <v>75</v>
      </c>
      <c r="N2614" t="s">
        <v>75</v>
      </c>
      <c r="O2614" t="s">
        <v>75</v>
      </c>
      <c r="P2614" t="s">
        <v>75</v>
      </c>
    </row>
    <row r="2615" spans="1:16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41184</v>
      </c>
      <c r="H2615">
        <v>40</v>
      </c>
      <c r="I2615">
        <v>2016</v>
      </c>
      <c r="J2615" t="s">
        <v>75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41191</v>
      </c>
      <c r="H2616">
        <v>41</v>
      </c>
      <c r="I2616">
        <v>2016</v>
      </c>
      <c r="J2616" t="s">
        <v>75</v>
      </c>
      <c r="K2616" t="s">
        <v>75</v>
      </c>
      <c r="L2616" t="s">
        <v>76</v>
      </c>
      <c r="M2616" t="s">
        <v>77</v>
      </c>
      <c r="N2616" t="s">
        <v>73</v>
      </c>
      <c r="O2616" t="s">
        <v>75</v>
      </c>
      <c r="P2616" t="s">
        <v>75</v>
      </c>
    </row>
    <row r="2617" spans="1:16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41198</v>
      </c>
      <c r="H2617">
        <v>42</v>
      </c>
      <c r="I2617">
        <v>2016</v>
      </c>
      <c r="J2617" t="s">
        <v>75</v>
      </c>
      <c r="K2617" t="s">
        <v>75</v>
      </c>
      <c r="L2617" t="s">
        <v>75</v>
      </c>
      <c r="M2617" t="s">
        <v>73</v>
      </c>
      <c r="N2617" t="s">
        <v>75</v>
      </c>
      <c r="O2617" t="s">
        <v>75</v>
      </c>
      <c r="P2617" t="s">
        <v>75</v>
      </c>
    </row>
    <row r="2618" spans="1:16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41205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75</v>
      </c>
      <c r="N2618" t="s">
        <v>75</v>
      </c>
      <c r="O2618" t="s">
        <v>75</v>
      </c>
      <c r="P2618" t="s">
        <v>76</v>
      </c>
    </row>
    <row r="2619" spans="1:16">
      <c r="A2619" t="s">
        <v>1190</v>
      </c>
      <c r="B2619" t="s">
        <v>30</v>
      </c>
      <c r="C2619" t="s">
        <v>31</v>
      </c>
      <c r="D2619" t="s">
        <v>108</v>
      </c>
      <c r="E2619" s="1" t="s">
        <v>1271</v>
      </c>
      <c r="F2619">
        <v>6</v>
      </c>
      <c r="G2619" s="1">
        <v>41212</v>
      </c>
      <c r="H2619">
        <v>44</v>
      </c>
      <c r="I2619">
        <v>2016</v>
      </c>
      <c r="J2619" t="s">
        <v>77</v>
      </c>
      <c r="K2619" t="s">
        <v>73</v>
      </c>
      <c r="L2619" t="s">
        <v>75</v>
      </c>
      <c r="M2619" t="s">
        <v>75</v>
      </c>
      <c r="N2619" t="s">
        <v>75</v>
      </c>
      <c r="O2619" t="s">
        <v>75</v>
      </c>
      <c r="P2619" t="s">
        <v>75</v>
      </c>
    </row>
    <row r="2620" spans="1:16" hidden="1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41184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hidden="1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41191</v>
      </c>
      <c r="H2621">
        <v>41</v>
      </c>
      <c r="I2621">
        <v>2016</v>
      </c>
      <c r="J2621" t="s">
        <v>75</v>
      </c>
      <c r="K2621" t="s">
        <v>74</v>
      </c>
      <c r="L2621" t="s">
        <v>74</v>
      </c>
      <c r="M2621" t="s">
        <v>73</v>
      </c>
      <c r="N2621" t="s">
        <v>75</v>
      </c>
      <c r="O2621" t="s">
        <v>75</v>
      </c>
      <c r="P2621" t="s">
        <v>74</v>
      </c>
    </row>
    <row r="2622" spans="1:16" hidden="1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41198</v>
      </c>
      <c r="H2622">
        <v>42</v>
      </c>
      <c r="I2622">
        <v>2016</v>
      </c>
      <c r="J2622" t="s">
        <v>92</v>
      </c>
      <c r="K2622" t="s">
        <v>134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hidden="1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41205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hidden="1">
      <c r="A2624" t="s">
        <v>1195</v>
      </c>
      <c r="B2624" t="s">
        <v>32</v>
      </c>
      <c r="C2624" t="s">
        <v>33</v>
      </c>
      <c r="D2624" t="s">
        <v>109</v>
      </c>
      <c r="E2624" s="1" t="s">
        <v>1272</v>
      </c>
      <c r="F2624">
        <v>5</v>
      </c>
      <c r="G2624" s="1">
        <v>41212</v>
      </c>
      <c r="H2624">
        <v>44</v>
      </c>
      <c r="I2624">
        <v>2016</v>
      </c>
      <c r="J2624" t="s">
        <v>73</v>
      </c>
      <c r="K2624" t="s">
        <v>75</v>
      </c>
      <c r="L2624" t="s">
        <v>74</v>
      </c>
      <c r="M2624" t="s">
        <v>74</v>
      </c>
      <c r="N2624" t="s">
        <v>75</v>
      </c>
      <c r="O2624" t="s">
        <v>74</v>
      </c>
      <c r="P2624" t="s">
        <v>73</v>
      </c>
    </row>
    <row r="2625" spans="1:16" hidden="1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41184</v>
      </c>
      <c r="H2625">
        <v>40</v>
      </c>
      <c r="I2625">
        <v>2016</v>
      </c>
      <c r="J2625" t="s">
        <v>75</v>
      </c>
      <c r="K2625" t="s">
        <v>75</v>
      </c>
      <c r="L2625" t="s">
        <v>75</v>
      </c>
      <c r="M2625" t="s">
        <v>75</v>
      </c>
      <c r="N2625" t="s">
        <v>75</v>
      </c>
      <c r="O2625" t="s">
        <v>73</v>
      </c>
      <c r="P2625" t="s">
        <v>75</v>
      </c>
    </row>
    <row r="2626" spans="1:16" hidden="1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41191</v>
      </c>
      <c r="H2626">
        <v>41</v>
      </c>
      <c r="I2626">
        <v>2016</v>
      </c>
      <c r="J2626" t="s">
        <v>74</v>
      </c>
      <c r="K2626" t="s">
        <v>75</v>
      </c>
      <c r="L2626" t="s">
        <v>74</v>
      </c>
      <c r="M2626" t="s">
        <v>75</v>
      </c>
      <c r="N2626" t="s">
        <v>73</v>
      </c>
      <c r="O2626" t="s">
        <v>74</v>
      </c>
      <c r="P2626" t="s">
        <v>75</v>
      </c>
    </row>
    <row r="2627" spans="1:16" hidden="1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41198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74</v>
      </c>
      <c r="O2627" t="s">
        <v>75</v>
      </c>
      <c r="P2627" t="s">
        <v>75</v>
      </c>
    </row>
    <row r="2628" spans="1:16" hidden="1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41205</v>
      </c>
      <c r="H2628">
        <v>43</v>
      </c>
      <c r="I2628">
        <v>2016</v>
      </c>
      <c r="J2628" t="s">
        <v>74</v>
      </c>
      <c r="K2628" t="s">
        <v>75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>
      <c r="A2629" t="s">
        <v>1200</v>
      </c>
      <c r="B2629" t="s">
        <v>32</v>
      </c>
      <c r="C2629" t="s">
        <v>34</v>
      </c>
      <c r="D2629" t="s">
        <v>122</v>
      </c>
      <c r="E2629" s="1" t="s">
        <v>1272</v>
      </c>
      <c r="F2629">
        <v>4</v>
      </c>
      <c r="G2629" s="1">
        <v>41212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75</v>
      </c>
      <c r="O2629" t="s">
        <v>75</v>
      </c>
      <c r="P2629" t="s">
        <v>75</v>
      </c>
    </row>
    <row r="2630" spans="1:16" hidden="1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41184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hidden="1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41191</v>
      </c>
      <c r="H2631">
        <v>41</v>
      </c>
      <c r="I2631">
        <v>2016</v>
      </c>
      <c r="J2631" t="s">
        <v>75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hidden="1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41198</v>
      </c>
      <c r="H2632">
        <v>42</v>
      </c>
      <c r="I2632">
        <v>2016</v>
      </c>
      <c r="J2632" t="s">
        <v>75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hidden="1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41205</v>
      </c>
      <c r="H2633">
        <v>43</v>
      </c>
      <c r="I2633">
        <v>2016</v>
      </c>
      <c r="J2633" t="s">
        <v>75</v>
      </c>
      <c r="K2633" t="s">
        <v>74</v>
      </c>
      <c r="L2633" t="s">
        <v>75</v>
      </c>
      <c r="M2633" t="s">
        <v>73</v>
      </c>
      <c r="N2633" t="s">
        <v>74</v>
      </c>
      <c r="O2633" t="s">
        <v>75</v>
      </c>
      <c r="P2633" t="s">
        <v>75</v>
      </c>
    </row>
    <row r="2634" spans="1:16" hidden="1">
      <c r="A2634" t="s">
        <v>1205</v>
      </c>
      <c r="B2634" t="s">
        <v>35</v>
      </c>
      <c r="C2634" t="s">
        <v>36</v>
      </c>
      <c r="D2634" t="s">
        <v>110</v>
      </c>
      <c r="E2634" s="1" t="s">
        <v>1271</v>
      </c>
      <c r="F2634">
        <v>11</v>
      </c>
      <c r="G2634" s="1">
        <v>41212</v>
      </c>
      <c r="H2634">
        <v>44</v>
      </c>
      <c r="I2634">
        <v>2016</v>
      </c>
      <c r="J2634" t="s">
        <v>75</v>
      </c>
      <c r="K2634" t="s">
        <v>134</v>
      </c>
      <c r="L2634" t="s">
        <v>73</v>
      </c>
      <c r="M2634" t="s">
        <v>74</v>
      </c>
      <c r="N2634" t="s">
        <v>75</v>
      </c>
      <c r="O2634" t="s">
        <v>76</v>
      </c>
      <c r="P2634" t="s">
        <v>77</v>
      </c>
    </row>
    <row r="2635" spans="1:16" hidden="1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41184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hidden="1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41191</v>
      </c>
      <c r="H2636">
        <v>41</v>
      </c>
      <c r="I2636">
        <v>2016</v>
      </c>
      <c r="J2636" t="s">
        <v>75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75</v>
      </c>
    </row>
    <row r="2637" spans="1:16" hidden="1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41198</v>
      </c>
      <c r="H2637">
        <v>42</v>
      </c>
      <c r="I2637">
        <v>2016</v>
      </c>
      <c r="J2637" t="s">
        <v>75</v>
      </c>
      <c r="K2637" t="s">
        <v>75</v>
      </c>
      <c r="L2637" t="s">
        <v>75</v>
      </c>
      <c r="M2637" t="s">
        <v>73</v>
      </c>
      <c r="N2637" t="s">
        <v>74</v>
      </c>
      <c r="O2637" t="s">
        <v>75</v>
      </c>
      <c r="P2637" t="s">
        <v>75</v>
      </c>
    </row>
    <row r="2638" spans="1:16" hidden="1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41205</v>
      </c>
      <c r="H2638">
        <v>43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75</v>
      </c>
      <c r="O2638" t="s">
        <v>75</v>
      </c>
      <c r="P2638" t="s">
        <v>75</v>
      </c>
    </row>
    <row r="2639" spans="1:16" hidden="1">
      <c r="A2639" t="s">
        <v>1210</v>
      </c>
      <c r="B2639" t="s">
        <v>58</v>
      </c>
      <c r="C2639" t="s">
        <v>59</v>
      </c>
      <c r="D2639" t="s">
        <v>130</v>
      </c>
      <c r="E2639" s="1" t="s">
        <v>1272</v>
      </c>
      <c r="F2639">
        <v>3</v>
      </c>
      <c r="G2639" s="1">
        <v>41212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134</v>
      </c>
      <c r="N2639" t="s">
        <v>75</v>
      </c>
      <c r="O2639" t="s">
        <v>75</v>
      </c>
      <c r="P2639" t="s">
        <v>75</v>
      </c>
    </row>
    <row r="2640" spans="1:16" hidden="1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41184</v>
      </c>
      <c r="H2640">
        <v>40</v>
      </c>
      <c r="I2640">
        <v>2016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hidden="1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41191</v>
      </c>
      <c r="H2641">
        <v>41</v>
      </c>
      <c r="I2641">
        <v>2016</v>
      </c>
      <c r="J2641" t="s">
        <v>75</v>
      </c>
      <c r="K2641" t="s">
        <v>75</v>
      </c>
      <c r="L2641" t="s">
        <v>75</v>
      </c>
      <c r="M2641" t="s">
        <v>75</v>
      </c>
      <c r="N2641" t="s">
        <v>73</v>
      </c>
      <c r="O2641" t="s">
        <v>74</v>
      </c>
      <c r="P2641" t="s">
        <v>75</v>
      </c>
    </row>
    <row r="2642" spans="1:16" hidden="1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41198</v>
      </c>
      <c r="H2642">
        <v>42</v>
      </c>
      <c r="I2642">
        <v>2016</v>
      </c>
      <c r="J2642" t="s">
        <v>134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hidden="1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41205</v>
      </c>
      <c r="H2643">
        <v>43</v>
      </c>
      <c r="I2643">
        <v>2016</v>
      </c>
      <c r="J2643" t="s">
        <v>76</v>
      </c>
      <c r="K2643" t="s">
        <v>77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hidden="1">
      <c r="A2644" t="s">
        <v>1215</v>
      </c>
      <c r="B2644" t="s">
        <v>37</v>
      </c>
      <c r="C2644" t="s">
        <v>38</v>
      </c>
      <c r="D2644" t="s">
        <v>111</v>
      </c>
      <c r="E2644" s="1" t="s">
        <v>1271</v>
      </c>
      <c r="F2644">
        <v>1</v>
      </c>
      <c r="G2644" s="1">
        <v>41212</v>
      </c>
      <c r="H2644">
        <v>44</v>
      </c>
      <c r="I2644">
        <v>2016</v>
      </c>
      <c r="J2644" t="s">
        <v>73</v>
      </c>
      <c r="K2644" t="s">
        <v>75</v>
      </c>
      <c r="L2644" t="s">
        <v>74</v>
      </c>
      <c r="M2644" t="s">
        <v>75</v>
      </c>
      <c r="N2644" t="s">
        <v>76</v>
      </c>
      <c r="O2644" t="s">
        <v>77</v>
      </c>
      <c r="P2644" t="s">
        <v>73</v>
      </c>
    </row>
    <row r="2645" spans="1:16" hidden="1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41184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hidden="1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41191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41198</v>
      </c>
      <c r="H2647">
        <v>42</v>
      </c>
      <c r="I2647">
        <v>2016</v>
      </c>
      <c r="J2647" t="s">
        <v>74</v>
      </c>
      <c r="K2647" t="s">
        <v>75</v>
      </c>
      <c r="L2647" t="s">
        <v>74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41205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>
      <c r="A2649" t="s">
        <v>1220</v>
      </c>
      <c r="B2649" t="s">
        <v>39</v>
      </c>
      <c r="C2649" t="s">
        <v>40</v>
      </c>
      <c r="D2649" t="s">
        <v>112</v>
      </c>
      <c r="E2649" s="1" t="s">
        <v>1272</v>
      </c>
      <c r="F2649">
        <v>2</v>
      </c>
      <c r="G2649" s="1">
        <v>41212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75</v>
      </c>
      <c r="P2649" t="s">
        <v>75</v>
      </c>
    </row>
    <row r="2650" spans="1:16" hidden="1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41184</v>
      </c>
      <c r="H2650">
        <v>40</v>
      </c>
      <c r="I2650">
        <v>2016</v>
      </c>
      <c r="J2650" t="s">
        <v>73</v>
      </c>
      <c r="K2650" t="s">
        <v>74</v>
      </c>
      <c r="L2650" t="s">
        <v>74</v>
      </c>
      <c r="M2650" t="s">
        <v>74</v>
      </c>
      <c r="N2650" t="s">
        <v>76</v>
      </c>
      <c r="O2650" t="s">
        <v>77</v>
      </c>
      <c r="P2650" t="s">
        <v>73</v>
      </c>
    </row>
    <row r="2651" spans="1:16" hidden="1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41191</v>
      </c>
      <c r="H2651">
        <v>41</v>
      </c>
      <c r="I2651">
        <v>2016</v>
      </c>
      <c r="J2651" t="s">
        <v>74</v>
      </c>
      <c r="K2651" t="s">
        <v>92</v>
      </c>
      <c r="L2651" t="s">
        <v>74</v>
      </c>
      <c r="M2651" t="s">
        <v>74</v>
      </c>
      <c r="N2651" t="s">
        <v>74</v>
      </c>
      <c r="O2651" t="s">
        <v>73</v>
      </c>
      <c r="P2651" t="s">
        <v>74</v>
      </c>
    </row>
    <row r="2652" spans="1:16" hidden="1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41198</v>
      </c>
      <c r="H2652">
        <v>42</v>
      </c>
      <c r="I2652">
        <v>2016</v>
      </c>
      <c r="J2652" t="s">
        <v>74</v>
      </c>
      <c r="K2652" t="s">
        <v>74</v>
      </c>
      <c r="L2652" t="s">
        <v>76</v>
      </c>
      <c r="M2652" t="s">
        <v>77</v>
      </c>
      <c r="N2652" t="s">
        <v>73</v>
      </c>
      <c r="O2652" t="s">
        <v>74</v>
      </c>
      <c r="P2652" t="s">
        <v>74</v>
      </c>
    </row>
    <row r="2653" spans="1:16" hidden="1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41205</v>
      </c>
      <c r="H2653">
        <v>43</v>
      </c>
      <c r="I2653">
        <v>2016</v>
      </c>
      <c r="J2653" t="s">
        <v>74</v>
      </c>
      <c r="K2653" t="s">
        <v>74</v>
      </c>
      <c r="L2653" t="s">
        <v>74</v>
      </c>
      <c r="M2653" t="s">
        <v>73</v>
      </c>
      <c r="N2653" t="s">
        <v>74</v>
      </c>
      <c r="O2653" t="s">
        <v>74</v>
      </c>
      <c r="P2653" t="s">
        <v>74</v>
      </c>
    </row>
    <row r="2654" spans="1:16" hidden="1">
      <c r="A2654" t="s">
        <v>1225</v>
      </c>
      <c r="B2654" t="s">
        <v>41</v>
      </c>
      <c r="C2654" t="s">
        <v>42</v>
      </c>
      <c r="D2654" t="s">
        <v>113</v>
      </c>
      <c r="E2654" s="1" t="s">
        <v>1271</v>
      </c>
      <c r="F2654">
        <v>5</v>
      </c>
      <c r="G2654" s="1">
        <v>41212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74</v>
      </c>
      <c r="O2654" t="s">
        <v>75</v>
      </c>
      <c r="P2654" t="s">
        <v>76</v>
      </c>
    </row>
    <row r="2655" spans="1:16" hidden="1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41184</v>
      </c>
      <c r="H2655">
        <v>40</v>
      </c>
      <c r="I2655">
        <v>2016</v>
      </c>
      <c r="J2655" t="s">
        <v>74</v>
      </c>
      <c r="K2655" t="s">
        <v>75</v>
      </c>
      <c r="L2655" t="s">
        <v>75</v>
      </c>
      <c r="M2655" t="s">
        <v>73</v>
      </c>
      <c r="N2655" t="s">
        <v>74</v>
      </c>
      <c r="O2655" t="s">
        <v>74</v>
      </c>
      <c r="P2655" t="s">
        <v>75</v>
      </c>
    </row>
    <row r="2656" spans="1:16" hidden="1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41191</v>
      </c>
      <c r="H2656">
        <v>41</v>
      </c>
      <c r="I2656">
        <v>2016</v>
      </c>
      <c r="J2656" t="s">
        <v>74</v>
      </c>
      <c r="K2656" t="s">
        <v>75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hidden="1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41198</v>
      </c>
      <c r="H2657">
        <v>42</v>
      </c>
      <c r="I2657">
        <v>2016</v>
      </c>
      <c r="J2657" t="s">
        <v>77</v>
      </c>
      <c r="K2657" t="s">
        <v>73</v>
      </c>
      <c r="L2657" t="s">
        <v>134</v>
      </c>
      <c r="M2657" t="s">
        <v>74</v>
      </c>
      <c r="N2657" t="s">
        <v>75</v>
      </c>
      <c r="O2657" t="s">
        <v>75</v>
      </c>
      <c r="P2657" t="s">
        <v>75</v>
      </c>
    </row>
    <row r="2658" spans="1:16" hidden="1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41205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75</v>
      </c>
      <c r="N2658" t="s">
        <v>74</v>
      </c>
      <c r="O2658" t="s">
        <v>75</v>
      </c>
      <c r="P2658" t="s">
        <v>73</v>
      </c>
    </row>
    <row r="2659" spans="1:16" hidden="1">
      <c r="A2659" t="s">
        <v>1230</v>
      </c>
      <c r="B2659" t="s">
        <v>43</v>
      </c>
      <c r="C2659" t="s">
        <v>44</v>
      </c>
      <c r="D2659" t="s">
        <v>114</v>
      </c>
      <c r="E2659" s="1" t="s">
        <v>1271</v>
      </c>
      <c r="F2659">
        <v>8</v>
      </c>
      <c r="G2659" s="1">
        <v>41212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hidden="1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41184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hidden="1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41191</v>
      </c>
      <c r="H2661">
        <v>41</v>
      </c>
      <c r="I2661">
        <v>2016</v>
      </c>
      <c r="J2661" t="s">
        <v>73</v>
      </c>
      <c r="K2661" t="s">
        <v>74</v>
      </c>
      <c r="L2661" t="s">
        <v>74</v>
      </c>
      <c r="M2661" t="s">
        <v>75</v>
      </c>
      <c r="N2661" t="s">
        <v>76</v>
      </c>
      <c r="O2661" t="s">
        <v>77</v>
      </c>
      <c r="P2661" t="s">
        <v>73</v>
      </c>
    </row>
    <row r="2662" spans="1:16" hidden="1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41198</v>
      </c>
      <c r="H2662">
        <v>42</v>
      </c>
      <c r="I2662">
        <v>2016</v>
      </c>
      <c r="J2662" t="s">
        <v>74</v>
      </c>
      <c r="K2662" t="s">
        <v>75</v>
      </c>
      <c r="L2662" t="s">
        <v>74</v>
      </c>
      <c r="M2662" t="s">
        <v>75</v>
      </c>
      <c r="N2662" t="s">
        <v>75</v>
      </c>
      <c r="O2662" t="s">
        <v>73</v>
      </c>
      <c r="P2662" t="s">
        <v>75</v>
      </c>
    </row>
    <row r="2663" spans="1:16" hidden="1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41205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hidden="1">
      <c r="A2664" t="s">
        <v>1235</v>
      </c>
      <c r="B2664" t="s">
        <v>45</v>
      </c>
      <c r="C2664" t="s">
        <v>46</v>
      </c>
      <c r="D2664" t="s">
        <v>115</v>
      </c>
      <c r="E2664" s="1" t="s">
        <v>1271</v>
      </c>
      <c r="F2664">
        <v>4</v>
      </c>
      <c r="G2664" s="1">
        <v>41212</v>
      </c>
      <c r="H2664">
        <v>44</v>
      </c>
      <c r="I2664">
        <v>2016</v>
      </c>
      <c r="J2664" t="s">
        <v>74</v>
      </c>
      <c r="K2664" t="s">
        <v>75</v>
      </c>
      <c r="L2664" t="s">
        <v>75</v>
      </c>
      <c r="M2664" t="s">
        <v>73</v>
      </c>
      <c r="N2664" t="s">
        <v>74</v>
      </c>
      <c r="O2664" t="s">
        <v>75</v>
      </c>
      <c r="P2664" t="s">
        <v>75</v>
      </c>
    </row>
    <row r="2665" spans="1:16" hidden="1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41184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hidden="1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41191</v>
      </c>
      <c r="H2666">
        <v>41</v>
      </c>
      <c r="I2666">
        <v>2016</v>
      </c>
      <c r="J2666" t="s">
        <v>73</v>
      </c>
      <c r="K2666" t="s">
        <v>74</v>
      </c>
      <c r="L2666" t="s">
        <v>75</v>
      </c>
      <c r="M2666" t="s">
        <v>75</v>
      </c>
      <c r="N2666" t="s">
        <v>75</v>
      </c>
      <c r="O2666" t="s">
        <v>75</v>
      </c>
      <c r="P2666" t="s">
        <v>73</v>
      </c>
    </row>
    <row r="2667" spans="1:16" hidden="1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41198</v>
      </c>
      <c r="H2667">
        <v>42</v>
      </c>
      <c r="I2667">
        <v>2016</v>
      </c>
      <c r="J2667" t="s">
        <v>74</v>
      </c>
      <c r="K2667" t="s">
        <v>74</v>
      </c>
      <c r="L2667" t="s">
        <v>75</v>
      </c>
      <c r="M2667" t="s">
        <v>134</v>
      </c>
      <c r="N2667" t="s">
        <v>75</v>
      </c>
      <c r="O2667" t="s">
        <v>73</v>
      </c>
      <c r="P2667" t="s">
        <v>74</v>
      </c>
    </row>
    <row r="2668" spans="1:16" hidden="1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41205</v>
      </c>
      <c r="H2668">
        <v>43</v>
      </c>
      <c r="I2668">
        <v>2016</v>
      </c>
      <c r="J2668" t="s">
        <v>75</v>
      </c>
      <c r="K2668" t="s">
        <v>75</v>
      </c>
      <c r="L2668" t="s">
        <v>74</v>
      </c>
      <c r="M2668" t="s">
        <v>75</v>
      </c>
      <c r="N2668" t="s">
        <v>73</v>
      </c>
      <c r="O2668" t="s">
        <v>74</v>
      </c>
      <c r="P2668" t="s">
        <v>75</v>
      </c>
    </row>
    <row r="2669" spans="1:16" hidden="1">
      <c r="A2669" t="s">
        <v>1240</v>
      </c>
      <c r="B2669" t="s">
        <v>47</v>
      </c>
      <c r="C2669" t="s">
        <v>48</v>
      </c>
      <c r="D2669" t="s">
        <v>116</v>
      </c>
      <c r="E2669" s="1" t="s">
        <v>1271</v>
      </c>
      <c r="F2669">
        <v>4</v>
      </c>
      <c r="G2669" s="1">
        <v>41212</v>
      </c>
      <c r="H2669">
        <v>44</v>
      </c>
      <c r="I2669">
        <v>2016</v>
      </c>
      <c r="J2669" t="s">
        <v>134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hidden="1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41184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74</v>
      </c>
    </row>
    <row r="2671" spans="1:16" hidden="1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41191</v>
      </c>
      <c r="H2671">
        <v>41</v>
      </c>
      <c r="I2671">
        <v>2016</v>
      </c>
      <c r="J2671" t="s">
        <v>150</v>
      </c>
      <c r="K2671" t="s">
        <v>150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hidden="1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41198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hidden="1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41205</v>
      </c>
      <c r="H2673">
        <v>43</v>
      </c>
      <c r="I2673">
        <v>2016</v>
      </c>
      <c r="J2673" t="s">
        <v>74</v>
      </c>
      <c r="K2673" t="s">
        <v>134</v>
      </c>
      <c r="L2673" t="s">
        <v>75</v>
      </c>
      <c r="M2673" t="s">
        <v>74</v>
      </c>
      <c r="N2673" t="s">
        <v>75</v>
      </c>
      <c r="O2673" t="s">
        <v>73</v>
      </c>
      <c r="P2673" t="s">
        <v>75</v>
      </c>
    </row>
    <row r="2674" spans="1:16" hidden="1">
      <c r="A2674" t="s">
        <v>1245</v>
      </c>
      <c r="B2674" t="s">
        <v>49</v>
      </c>
      <c r="C2674" t="s">
        <v>50</v>
      </c>
      <c r="D2674" t="s">
        <v>117</v>
      </c>
      <c r="E2674" s="1" t="s">
        <v>1271</v>
      </c>
      <c r="F2674">
        <v>3</v>
      </c>
      <c r="G2674" s="1">
        <v>41212</v>
      </c>
      <c r="H2674">
        <v>44</v>
      </c>
      <c r="I2674">
        <v>2016</v>
      </c>
      <c r="J2674" t="s">
        <v>75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hidden="1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41184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hidden="1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41191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hidden="1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41198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hidden="1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41205</v>
      </c>
      <c r="H2678">
        <v>43</v>
      </c>
      <c r="I2678">
        <v>2016</v>
      </c>
      <c r="J2678" t="s">
        <v>75</v>
      </c>
      <c r="K2678" t="s">
        <v>75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hidden="1">
      <c r="A2679" t="s">
        <v>1250</v>
      </c>
      <c r="B2679" t="s">
        <v>51</v>
      </c>
      <c r="C2679" t="s">
        <v>52</v>
      </c>
      <c r="D2679" t="s">
        <v>118</v>
      </c>
      <c r="E2679" s="1" t="s">
        <v>1271</v>
      </c>
      <c r="F2679">
        <v>10</v>
      </c>
      <c r="G2679" s="1">
        <v>41212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75</v>
      </c>
    </row>
    <row r="2680" spans="1:16" hidden="1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41184</v>
      </c>
      <c r="H2680">
        <v>40</v>
      </c>
      <c r="I2680">
        <v>2016</v>
      </c>
      <c r="J2680" t="s">
        <v>75</v>
      </c>
      <c r="K2680" t="s">
        <v>75</v>
      </c>
      <c r="L2680" t="s">
        <v>73</v>
      </c>
      <c r="M2680" t="s">
        <v>74</v>
      </c>
      <c r="N2680" t="s">
        <v>75</v>
      </c>
      <c r="O2680" t="s">
        <v>74</v>
      </c>
      <c r="P2680" t="s">
        <v>75</v>
      </c>
    </row>
    <row r="2681" spans="1:16" hidden="1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41191</v>
      </c>
      <c r="H2681">
        <v>41</v>
      </c>
      <c r="I2681">
        <v>2016</v>
      </c>
      <c r="J2681" t="s">
        <v>75</v>
      </c>
      <c r="K2681" t="s">
        <v>73</v>
      </c>
      <c r="L2681" t="s">
        <v>92</v>
      </c>
      <c r="M2681" t="s">
        <v>75</v>
      </c>
      <c r="N2681" t="s">
        <v>75</v>
      </c>
      <c r="O2681" t="s">
        <v>74</v>
      </c>
      <c r="P2681" t="s">
        <v>75</v>
      </c>
    </row>
    <row r="2682" spans="1:16" hidden="1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41198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76</v>
      </c>
      <c r="O2682" t="s">
        <v>77</v>
      </c>
      <c r="P2682" t="s">
        <v>73</v>
      </c>
    </row>
    <row r="2683" spans="1:16" hidden="1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41205</v>
      </c>
      <c r="H2683">
        <v>43</v>
      </c>
      <c r="I2683">
        <v>2016</v>
      </c>
      <c r="J2683" t="s">
        <v>75</v>
      </c>
      <c r="K2683" t="s">
        <v>75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>
      <c r="A2684" t="s">
        <v>1255</v>
      </c>
      <c r="B2684" t="s">
        <v>53</v>
      </c>
      <c r="C2684" t="s">
        <v>54</v>
      </c>
      <c r="D2684" t="s">
        <v>119</v>
      </c>
      <c r="E2684" t="s">
        <v>1272</v>
      </c>
      <c r="F2684">
        <v>1</v>
      </c>
      <c r="G2684" s="1">
        <v>41212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75</v>
      </c>
    </row>
    <row r="2685" spans="1:16" hidden="1">
      <c r="A2685" t="s">
        <v>1299</v>
      </c>
      <c r="B2685" t="s">
        <v>1289</v>
      </c>
      <c r="C2685" t="s">
        <v>132</v>
      </c>
      <c r="D2685" t="s">
        <v>1292</v>
      </c>
      <c r="E2685" t="s">
        <v>72</v>
      </c>
      <c r="F2685">
        <v>9999</v>
      </c>
      <c r="G2685" s="1">
        <v>41184</v>
      </c>
      <c r="H2685">
        <v>40</v>
      </c>
      <c r="I2685">
        <v>2016</v>
      </c>
      <c r="J2685" t="s">
        <v>126</v>
      </c>
      <c r="K2685" t="s">
        <v>126</v>
      </c>
      <c r="L2685" t="s">
        <v>126</v>
      </c>
      <c r="M2685" t="s">
        <v>75</v>
      </c>
      <c r="N2685" t="s">
        <v>74</v>
      </c>
      <c r="O2685" t="s">
        <v>75</v>
      </c>
      <c r="P2685" t="s">
        <v>75</v>
      </c>
    </row>
    <row r="2686" spans="1:16" hidden="1">
      <c r="A2686" t="s">
        <v>1300</v>
      </c>
      <c r="B2686" t="s">
        <v>1289</v>
      </c>
      <c r="C2686" t="s">
        <v>132</v>
      </c>
      <c r="D2686" t="s">
        <v>1292</v>
      </c>
      <c r="E2686" t="s">
        <v>72</v>
      </c>
      <c r="F2686">
        <v>9999</v>
      </c>
      <c r="G2686" s="1">
        <v>41191</v>
      </c>
      <c r="H2686">
        <v>41</v>
      </c>
      <c r="I2686">
        <v>2016</v>
      </c>
      <c r="J2686" t="s">
        <v>75</v>
      </c>
      <c r="K2686" t="s">
        <v>73</v>
      </c>
      <c r="L2686" t="s">
        <v>74</v>
      </c>
      <c r="M2686" t="s">
        <v>74</v>
      </c>
      <c r="N2686" t="s">
        <v>75</v>
      </c>
      <c r="O2686" t="s">
        <v>75</v>
      </c>
      <c r="P2686" t="s">
        <v>73</v>
      </c>
    </row>
    <row r="2687" spans="1:16" hidden="1">
      <c r="A2687" t="s">
        <v>1301</v>
      </c>
      <c r="B2687" t="s">
        <v>1289</v>
      </c>
      <c r="C2687" t="s">
        <v>132</v>
      </c>
      <c r="D2687" t="s">
        <v>1292</v>
      </c>
      <c r="E2687" t="s">
        <v>72</v>
      </c>
      <c r="F2687">
        <v>9999</v>
      </c>
      <c r="G2687" s="1">
        <v>41198</v>
      </c>
      <c r="H2687">
        <v>42</v>
      </c>
      <c r="I2687">
        <v>2016</v>
      </c>
      <c r="J2687" t="s">
        <v>74</v>
      </c>
      <c r="K2687" t="s">
        <v>75</v>
      </c>
      <c r="L2687" t="s">
        <v>75</v>
      </c>
      <c r="M2687" t="s">
        <v>74</v>
      </c>
      <c r="N2687" t="s">
        <v>75</v>
      </c>
      <c r="O2687" t="s">
        <v>73</v>
      </c>
      <c r="P2687" t="s">
        <v>75</v>
      </c>
    </row>
    <row r="2688" spans="1:16" hidden="1">
      <c r="A2688" t="s">
        <v>1302</v>
      </c>
      <c r="B2688" t="s">
        <v>1289</v>
      </c>
      <c r="C2688" t="s">
        <v>132</v>
      </c>
      <c r="D2688" t="s">
        <v>1292</v>
      </c>
      <c r="E2688" t="s">
        <v>72</v>
      </c>
      <c r="F2688">
        <v>9999</v>
      </c>
      <c r="G2688" s="1">
        <v>41205</v>
      </c>
      <c r="H2688">
        <v>43</v>
      </c>
      <c r="I2688">
        <v>2016</v>
      </c>
      <c r="J2688" t="s">
        <v>75</v>
      </c>
      <c r="K2688" t="s">
        <v>74</v>
      </c>
      <c r="L2688" t="s">
        <v>75</v>
      </c>
      <c r="M2688" t="s">
        <v>75</v>
      </c>
      <c r="N2688" t="s">
        <v>73</v>
      </c>
      <c r="O2688" t="s">
        <v>75</v>
      </c>
      <c r="P2688" t="s">
        <v>75</v>
      </c>
    </row>
    <row r="2689" spans="1:16" hidden="1">
      <c r="A2689" t="s">
        <v>1303</v>
      </c>
      <c r="B2689" t="s">
        <v>1289</v>
      </c>
      <c r="C2689" t="s">
        <v>132</v>
      </c>
      <c r="D2689" t="s">
        <v>1292</v>
      </c>
      <c r="E2689" t="s">
        <v>1272</v>
      </c>
      <c r="F2689">
        <v>3</v>
      </c>
      <c r="G2689" s="1">
        <v>41212</v>
      </c>
      <c r="H2689">
        <v>44</v>
      </c>
      <c r="I2689">
        <v>2016</v>
      </c>
      <c r="J2689" t="s">
        <v>74</v>
      </c>
      <c r="K2689" t="s">
        <v>75</v>
      </c>
      <c r="L2689" t="s">
        <v>73</v>
      </c>
      <c r="M2689" t="s">
        <v>74</v>
      </c>
      <c r="N2689" t="s">
        <v>75</v>
      </c>
      <c r="O2689" t="s">
        <v>75</v>
      </c>
      <c r="P2689" t="s">
        <v>75</v>
      </c>
    </row>
    <row r="2690" spans="1:16" hidden="1">
      <c r="A2690" t="s">
        <v>1304</v>
      </c>
      <c r="B2690" t="s">
        <v>1290</v>
      </c>
      <c r="C2690" t="s">
        <v>132</v>
      </c>
      <c r="D2690" t="s">
        <v>1294</v>
      </c>
      <c r="E2690" t="s">
        <v>72</v>
      </c>
      <c r="F2690">
        <v>9999</v>
      </c>
      <c r="G2690" s="1">
        <v>41184</v>
      </c>
      <c r="H2690">
        <v>40</v>
      </c>
      <c r="I2690">
        <v>2016</v>
      </c>
      <c r="J2690" t="s">
        <v>126</v>
      </c>
      <c r="K2690" t="s">
        <v>126</v>
      </c>
      <c r="L2690" t="s">
        <v>126</v>
      </c>
      <c r="M2690" t="s">
        <v>75</v>
      </c>
      <c r="N2690" t="s">
        <v>75</v>
      </c>
      <c r="O2690" t="s">
        <v>73</v>
      </c>
      <c r="P2690" t="s">
        <v>74</v>
      </c>
    </row>
    <row r="2691" spans="1:16" hidden="1">
      <c r="A2691" t="s">
        <v>1305</v>
      </c>
      <c r="B2691" t="s">
        <v>1290</v>
      </c>
      <c r="C2691" t="s">
        <v>132</v>
      </c>
      <c r="D2691" t="s">
        <v>1294</v>
      </c>
      <c r="E2691" t="s">
        <v>72</v>
      </c>
      <c r="F2691">
        <v>9999</v>
      </c>
      <c r="G2691" s="1">
        <v>41191</v>
      </c>
      <c r="H2691">
        <v>41</v>
      </c>
      <c r="I2691">
        <v>2016</v>
      </c>
      <c r="J2691" t="s">
        <v>75</v>
      </c>
      <c r="K2691" t="s">
        <v>74</v>
      </c>
      <c r="L2691" t="s">
        <v>75</v>
      </c>
      <c r="M2691" t="s">
        <v>75</v>
      </c>
      <c r="N2691" t="s">
        <v>73</v>
      </c>
      <c r="O2691" t="s">
        <v>74</v>
      </c>
      <c r="P2691" t="s">
        <v>75</v>
      </c>
    </row>
    <row r="2692" spans="1:16" hidden="1">
      <c r="A2692" t="s">
        <v>1306</v>
      </c>
      <c r="B2692" t="s">
        <v>1290</v>
      </c>
      <c r="C2692" t="s">
        <v>132</v>
      </c>
      <c r="D2692" t="s">
        <v>1294</v>
      </c>
      <c r="E2692" t="s">
        <v>72</v>
      </c>
      <c r="F2692">
        <v>9999</v>
      </c>
      <c r="G2692" s="1">
        <v>41198</v>
      </c>
      <c r="H2692">
        <v>42</v>
      </c>
      <c r="I2692">
        <v>2016</v>
      </c>
      <c r="J2692" t="s">
        <v>75</v>
      </c>
      <c r="K2692" t="s">
        <v>73</v>
      </c>
      <c r="L2692" t="s">
        <v>74</v>
      </c>
      <c r="M2692" t="s">
        <v>75</v>
      </c>
      <c r="N2692" t="s">
        <v>75</v>
      </c>
      <c r="O2692" t="s">
        <v>75</v>
      </c>
      <c r="P2692" t="s">
        <v>74</v>
      </c>
    </row>
    <row r="2693" spans="1:16" hidden="1">
      <c r="A2693" t="s">
        <v>1307</v>
      </c>
      <c r="B2693" t="s">
        <v>1290</v>
      </c>
      <c r="C2693" t="s">
        <v>132</v>
      </c>
      <c r="D2693" t="s">
        <v>1294</v>
      </c>
      <c r="E2693" t="s">
        <v>72</v>
      </c>
      <c r="F2693">
        <v>9999</v>
      </c>
      <c r="G2693" s="1">
        <v>41205</v>
      </c>
      <c r="H2693">
        <v>43</v>
      </c>
      <c r="I2693">
        <v>2016</v>
      </c>
      <c r="J2693" t="s">
        <v>73</v>
      </c>
      <c r="K2693" t="s">
        <v>75</v>
      </c>
      <c r="L2693" t="s">
        <v>74</v>
      </c>
      <c r="M2693" t="s">
        <v>75</v>
      </c>
      <c r="N2693" t="s">
        <v>74</v>
      </c>
      <c r="O2693" t="s">
        <v>75</v>
      </c>
      <c r="P2693" t="s">
        <v>73</v>
      </c>
    </row>
    <row r="2694" spans="1:16" hidden="1">
      <c r="A2694" t="s">
        <v>1308</v>
      </c>
      <c r="B2694" t="s">
        <v>1290</v>
      </c>
      <c r="C2694" t="s">
        <v>132</v>
      </c>
      <c r="D2694" t="s">
        <v>1294</v>
      </c>
      <c r="E2694" t="s">
        <v>1272</v>
      </c>
      <c r="F2694">
        <v>6</v>
      </c>
      <c r="G2694" s="1">
        <v>41212</v>
      </c>
      <c r="H2694">
        <v>44</v>
      </c>
      <c r="I2694">
        <v>2016</v>
      </c>
      <c r="J2694" t="s">
        <v>75</v>
      </c>
      <c r="K2694" t="s">
        <v>75</v>
      </c>
      <c r="L2694" t="s">
        <v>74</v>
      </c>
      <c r="M2694" t="s">
        <v>75</v>
      </c>
      <c r="N2694" t="s">
        <v>75</v>
      </c>
      <c r="O2694" t="s">
        <v>73</v>
      </c>
      <c r="P2694" t="s">
        <v>74</v>
      </c>
    </row>
    <row r="2695" spans="1:16" hidden="1">
      <c r="A2695" t="s">
        <v>1309</v>
      </c>
      <c r="B2695" t="s">
        <v>1296</v>
      </c>
      <c r="C2695" t="s">
        <v>1297</v>
      </c>
      <c r="D2695" t="s">
        <v>1293</v>
      </c>
      <c r="E2695" t="s">
        <v>72</v>
      </c>
      <c r="F2695">
        <v>9999</v>
      </c>
      <c r="G2695" s="1">
        <v>41184</v>
      </c>
      <c r="H2695">
        <v>40</v>
      </c>
      <c r="I2695">
        <v>2016</v>
      </c>
      <c r="J2695" t="s">
        <v>126</v>
      </c>
      <c r="K2695" t="s">
        <v>126</v>
      </c>
      <c r="L2695" t="s">
        <v>126</v>
      </c>
      <c r="M2695" t="s">
        <v>75</v>
      </c>
      <c r="N2695" t="s">
        <v>75</v>
      </c>
      <c r="O2695" t="s">
        <v>74</v>
      </c>
      <c r="P2695" t="s">
        <v>75</v>
      </c>
    </row>
    <row r="2696" spans="1:16" hidden="1">
      <c r="A2696" t="s">
        <v>1310</v>
      </c>
      <c r="B2696" t="s">
        <v>1296</v>
      </c>
      <c r="C2696" t="s">
        <v>1297</v>
      </c>
      <c r="D2696" t="s">
        <v>1293</v>
      </c>
      <c r="E2696" t="s">
        <v>72</v>
      </c>
      <c r="F2696">
        <v>9999</v>
      </c>
      <c r="G2696" s="1">
        <v>41191</v>
      </c>
      <c r="H2696">
        <v>41</v>
      </c>
      <c r="I2696">
        <v>2016</v>
      </c>
      <c r="J2696" t="s">
        <v>73</v>
      </c>
      <c r="K2696" t="s">
        <v>74</v>
      </c>
      <c r="L2696" t="s">
        <v>75</v>
      </c>
      <c r="M2696" t="s">
        <v>1311</v>
      </c>
      <c r="N2696" t="s">
        <v>1311</v>
      </c>
      <c r="O2696" t="s">
        <v>1311</v>
      </c>
      <c r="P2696" t="s">
        <v>73</v>
      </c>
    </row>
    <row r="2697" spans="1:16" hidden="1">
      <c r="A2697" t="s">
        <v>1312</v>
      </c>
      <c r="B2697" t="s">
        <v>1296</v>
      </c>
      <c r="C2697" t="s">
        <v>1297</v>
      </c>
      <c r="D2697" t="s">
        <v>1293</v>
      </c>
      <c r="E2697" t="s">
        <v>72</v>
      </c>
      <c r="F2697">
        <v>9999</v>
      </c>
      <c r="G2697" s="1">
        <v>41198</v>
      </c>
      <c r="H2697">
        <v>42</v>
      </c>
      <c r="I2697">
        <v>2016</v>
      </c>
      <c r="J2697" t="s">
        <v>75</v>
      </c>
      <c r="K2697" t="s">
        <v>75</v>
      </c>
      <c r="L2697" t="s">
        <v>75</v>
      </c>
      <c r="M2697" t="s">
        <v>75</v>
      </c>
      <c r="N2697" t="s">
        <v>73</v>
      </c>
      <c r="O2697" t="s">
        <v>74</v>
      </c>
      <c r="P2697" t="s">
        <v>75</v>
      </c>
    </row>
    <row r="2698" spans="1:16" hidden="1">
      <c r="A2698" t="s">
        <v>1313</v>
      </c>
      <c r="B2698" t="s">
        <v>1296</v>
      </c>
      <c r="C2698" t="s">
        <v>1297</v>
      </c>
      <c r="D2698" t="s">
        <v>1293</v>
      </c>
      <c r="E2698" t="s">
        <v>72</v>
      </c>
      <c r="F2698">
        <v>9999</v>
      </c>
      <c r="G2698" s="1">
        <v>41205</v>
      </c>
      <c r="H2698">
        <v>43</v>
      </c>
      <c r="I2698">
        <v>2016</v>
      </c>
      <c r="J2698" t="s">
        <v>75</v>
      </c>
      <c r="K2698" t="s">
        <v>75</v>
      </c>
      <c r="L2698" t="s">
        <v>75</v>
      </c>
      <c r="M2698" t="s">
        <v>73</v>
      </c>
      <c r="N2698" t="s">
        <v>75</v>
      </c>
      <c r="O2698" t="s">
        <v>75</v>
      </c>
      <c r="P2698" t="s">
        <v>74</v>
      </c>
    </row>
    <row r="2699" spans="1:16" hidden="1">
      <c r="A2699" t="s">
        <v>1314</v>
      </c>
      <c r="B2699" t="s">
        <v>1296</v>
      </c>
      <c r="C2699" t="s">
        <v>1297</v>
      </c>
      <c r="D2699" t="s">
        <v>1293</v>
      </c>
      <c r="E2699" t="s">
        <v>1272</v>
      </c>
      <c r="F2699">
        <v>4</v>
      </c>
      <c r="G2699" s="1">
        <v>41212</v>
      </c>
      <c r="H2699">
        <v>44</v>
      </c>
      <c r="I2699">
        <v>2016</v>
      </c>
      <c r="J2699" t="s">
        <v>75</v>
      </c>
      <c r="K2699" t="s">
        <v>73</v>
      </c>
      <c r="L2699" t="s">
        <v>75</v>
      </c>
      <c r="M2699" t="s">
        <v>75</v>
      </c>
      <c r="N2699" t="s">
        <v>75</v>
      </c>
      <c r="O2699" t="s">
        <v>74</v>
      </c>
      <c r="P2699" t="s">
        <v>75</v>
      </c>
    </row>
    <row r="2700" spans="1:16" hidden="1">
      <c r="A2700" t="s">
        <v>1315</v>
      </c>
      <c r="B2700" t="s">
        <v>1291</v>
      </c>
      <c r="C2700" t="s">
        <v>132</v>
      </c>
      <c r="D2700" t="s">
        <v>1295</v>
      </c>
      <c r="E2700" t="s">
        <v>72</v>
      </c>
      <c r="F2700">
        <v>9999</v>
      </c>
      <c r="G2700" s="1">
        <v>41184</v>
      </c>
      <c r="H2700">
        <v>40</v>
      </c>
      <c r="I2700">
        <v>2016</v>
      </c>
      <c r="J2700" t="s">
        <v>126</v>
      </c>
      <c r="K2700" t="s">
        <v>126</v>
      </c>
      <c r="L2700" t="s">
        <v>126</v>
      </c>
      <c r="M2700" t="s">
        <v>74</v>
      </c>
      <c r="N2700" t="s">
        <v>75</v>
      </c>
      <c r="O2700" t="s">
        <v>75</v>
      </c>
      <c r="P2700" t="s">
        <v>73</v>
      </c>
    </row>
    <row r="2701" spans="1:16" hidden="1">
      <c r="A2701" t="s">
        <v>1316</v>
      </c>
      <c r="B2701" t="s">
        <v>1291</v>
      </c>
      <c r="C2701" t="s">
        <v>132</v>
      </c>
      <c r="D2701" t="s">
        <v>1295</v>
      </c>
      <c r="E2701" t="s">
        <v>72</v>
      </c>
      <c r="F2701">
        <v>9999</v>
      </c>
      <c r="G2701" s="1">
        <v>41191</v>
      </c>
      <c r="H2701">
        <v>41</v>
      </c>
      <c r="I2701">
        <v>2016</v>
      </c>
      <c r="J2701" t="s">
        <v>74</v>
      </c>
      <c r="K2701" t="s">
        <v>75</v>
      </c>
      <c r="L2701" t="s">
        <v>1297</v>
      </c>
      <c r="M2701" t="s">
        <v>75</v>
      </c>
      <c r="N2701" t="s">
        <v>73</v>
      </c>
      <c r="O2701" t="s">
        <v>75</v>
      </c>
      <c r="P2701" t="s">
        <v>74</v>
      </c>
    </row>
    <row r="2702" spans="1:16" hidden="1">
      <c r="A2702" t="s">
        <v>1317</v>
      </c>
      <c r="B2702" t="s">
        <v>1291</v>
      </c>
      <c r="C2702" t="s">
        <v>132</v>
      </c>
      <c r="D2702" t="s">
        <v>1295</v>
      </c>
      <c r="E2702" t="s">
        <v>72</v>
      </c>
      <c r="F2702">
        <v>9999</v>
      </c>
      <c r="G2702" s="1">
        <v>41198</v>
      </c>
      <c r="H2702">
        <v>42</v>
      </c>
      <c r="I2702">
        <v>2016</v>
      </c>
      <c r="J2702" t="s">
        <v>75</v>
      </c>
      <c r="K2702" t="s">
        <v>74</v>
      </c>
      <c r="L2702" t="s">
        <v>75</v>
      </c>
      <c r="M2702" t="s">
        <v>73</v>
      </c>
      <c r="N2702" t="s">
        <v>74</v>
      </c>
      <c r="O2702" t="s">
        <v>75</v>
      </c>
      <c r="P2702" t="s">
        <v>75</v>
      </c>
    </row>
    <row r="2703" spans="1:16" hidden="1">
      <c r="A2703" t="s">
        <v>1318</v>
      </c>
      <c r="B2703" t="s">
        <v>1291</v>
      </c>
      <c r="C2703" t="s">
        <v>132</v>
      </c>
      <c r="D2703" t="s">
        <v>1295</v>
      </c>
      <c r="E2703" t="s">
        <v>72</v>
      </c>
      <c r="F2703">
        <v>9999</v>
      </c>
      <c r="G2703" s="1">
        <v>41205</v>
      </c>
      <c r="H2703">
        <v>43</v>
      </c>
      <c r="I2703">
        <v>2016</v>
      </c>
      <c r="J2703" t="s">
        <v>74</v>
      </c>
      <c r="K2703" t="s">
        <v>75</v>
      </c>
      <c r="L2703" t="s">
        <v>73</v>
      </c>
      <c r="M2703" t="s">
        <v>75</v>
      </c>
      <c r="N2703" t="s">
        <v>75</v>
      </c>
      <c r="O2703" t="s">
        <v>74</v>
      </c>
      <c r="P2703" t="s">
        <v>75</v>
      </c>
    </row>
    <row r="2704" spans="1:16" hidden="1">
      <c r="A2704" t="s">
        <v>1319</v>
      </c>
      <c r="B2704" t="s">
        <v>1291</v>
      </c>
      <c r="C2704" t="s">
        <v>132</v>
      </c>
      <c r="D2704" t="s">
        <v>1295</v>
      </c>
      <c r="E2704" t="s">
        <v>1272</v>
      </c>
      <c r="F2704">
        <v>5</v>
      </c>
      <c r="G2704" s="1">
        <v>41212</v>
      </c>
      <c r="H2704">
        <v>44</v>
      </c>
      <c r="I2704">
        <v>2016</v>
      </c>
      <c r="J2704" t="s">
        <v>73</v>
      </c>
      <c r="K2704" t="s">
        <v>74</v>
      </c>
      <c r="L2704" t="s">
        <v>75</v>
      </c>
      <c r="M2704" t="s">
        <v>75</v>
      </c>
      <c r="N2704" t="s">
        <v>74</v>
      </c>
      <c r="O2704" t="s">
        <v>75</v>
      </c>
      <c r="P2704" t="s">
        <v>73</v>
      </c>
    </row>
    <row r="2705" spans="1:16" hidden="1">
      <c r="A2705" t="s">
        <v>1425</v>
      </c>
      <c r="B2705" t="s">
        <v>3</v>
      </c>
      <c r="C2705" t="s">
        <v>4</v>
      </c>
      <c r="D2705" t="s">
        <v>90</v>
      </c>
      <c r="E2705" t="s">
        <v>1271</v>
      </c>
      <c r="F2705">
        <v>3</v>
      </c>
      <c r="G2705" s="10">
        <v>41275</v>
      </c>
      <c r="H2705">
        <v>1</v>
      </c>
      <c r="I2705">
        <v>2017</v>
      </c>
      <c r="J2705" t="s">
        <v>74</v>
      </c>
      <c r="K2705" t="s">
        <v>75</v>
      </c>
      <c r="L2705" t="s">
        <v>76</v>
      </c>
      <c r="M2705" t="s">
        <v>77</v>
      </c>
      <c r="N2705" t="s">
        <v>73</v>
      </c>
      <c r="O2705" t="s">
        <v>74</v>
      </c>
      <c r="P2705" t="s">
        <v>75</v>
      </c>
    </row>
    <row r="2706" spans="1:16" hidden="1">
      <c r="A2706" t="s">
        <v>1426</v>
      </c>
      <c r="B2706" t="s">
        <v>5</v>
      </c>
      <c r="C2706" t="s">
        <v>6</v>
      </c>
      <c r="D2706" t="s">
        <v>93</v>
      </c>
      <c r="E2706" t="s">
        <v>1271</v>
      </c>
      <c r="F2706">
        <v>4</v>
      </c>
      <c r="G2706" s="10">
        <v>41275</v>
      </c>
      <c r="H2706">
        <v>1</v>
      </c>
      <c r="I2706">
        <v>2017</v>
      </c>
      <c r="J2706" t="s">
        <v>74</v>
      </c>
      <c r="K2706" t="s">
        <v>75</v>
      </c>
      <c r="L2706" t="s">
        <v>74</v>
      </c>
      <c r="M2706" t="s">
        <v>73</v>
      </c>
      <c r="N2706" t="s">
        <v>74</v>
      </c>
      <c r="O2706" t="s">
        <v>74</v>
      </c>
      <c r="P2706" t="s">
        <v>75</v>
      </c>
    </row>
    <row r="2707" spans="1:16" hidden="1">
      <c r="A2707" t="s">
        <v>1427</v>
      </c>
      <c r="B2707" t="s">
        <v>7</v>
      </c>
      <c r="C2707" t="s">
        <v>8</v>
      </c>
      <c r="D2707" t="s">
        <v>94</v>
      </c>
      <c r="E2707" t="s">
        <v>1271</v>
      </c>
      <c r="F2707">
        <v>9</v>
      </c>
      <c r="G2707" s="10">
        <v>41275</v>
      </c>
      <c r="H2707">
        <v>1</v>
      </c>
      <c r="I2707">
        <v>2017</v>
      </c>
      <c r="J2707" t="s">
        <v>75</v>
      </c>
      <c r="K2707" t="s">
        <v>74</v>
      </c>
      <c r="L2707" t="s">
        <v>74</v>
      </c>
      <c r="M2707" t="s">
        <v>75</v>
      </c>
      <c r="N2707" t="s">
        <v>73</v>
      </c>
      <c r="O2707" t="s">
        <v>74</v>
      </c>
      <c r="P2707" t="s">
        <v>74</v>
      </c>
    </row>
    <row r="2708" spans="1:16" hidden="1">
      <c r="A2708" t="s">
        <v>1428</v>
      </c>
      <c r="B2708" t="s">
        <v>9</v>
      </c>
      <c r="C2708" t="s">
        <v>10</v>
      </c>
      <c r="D2708" t="s">
        <v>96</v>
      </c>
      <c r="E2708" t="s">
        <v>1271</v>
      </c>
      <c r="F2708">
        <v>10</v>
      </c>
      <c r="G2708" s="10">
        <v>41275</v>
      </c>
      <c r="H2708">
        <v>1</v>
      </c>
      <c r="I2708">
        <v>2017</v>
      </c>
      <c r="J2708" t="s">
        <v>75</v>
      </c>
      <c r="K2708" t="s">
        <v>76</v>
      </c>
      <c r="L2708" t="s">
        <v>77</v>
      </c>
      <c r="M2708" t="s">
        <v>73</v>
      </c>
      <c r="N2708" t="s">
        <v>74</v>
      </c>
      <c r="O2708" t="s">
        <v>75</v>
      </c>
      <c r="P2708" t="s">
        <v>75</v>
      </c>
    </row>
    <row r="2709" spans="1:16" hidden="1">
      <c r="A2709" t="s">
        <v>1429</v>
      </c>
      <c r="B2709" t="s">
        <v>11</v>
      </c>
      <c r="C2709" t="s">
        <v>12</v>
      </c>
      <c r="D2709" t="s">
        <v>97</v>
      </c>
      <c r="E2709" t="s">
        <v>1271</v>
      </c>
      <c r="F2709">
        <v>11</v>
      </c>
      <c r="G2709" s="10">
        <v>41275</v>
      </c>
      <c r="H2709">
        <v>1</v>
      </c>
      <c r="I2709">
        <v>2017</v>
      </c>
      <c r="J2709" t="s">
        <v>75</v>
      </c>
      <c r="K2709" t="s">
        <v>75</v>
      </c>
      <c r="L2709" t="s">
        <v>73</v>
      </c>
      <c r="M2709" t="s">
        <v>75</v>
      </c>
      <c r="N2709" t="s">
        <v>75</v>
      </c>
      <c r="O2709" t="s">
        <v>76</v>
      </c>
      <c r="P2709" t="s">
        <v>77</v>
      </c>
    </row>
    <row r="2710" spans="1:16" hidden="1">
      <c r="A2710" t="s">
        <v>1430</v>
      </c>
      <c r="B2710" t="s">
        <v>13</v>
      </c>
      <c r="C2710" t="s">
        <v>14</v>
      </c>
      <c r="D2710" t="s">
        <v>120</v>
      </c>
      <c r="E2710" t="s">
        <v>1320</v>
      </c>
      <c r="F2710">
        <v>1</v>
      </c>
      <c r="G2710" s="10">
        <v>41275</v>
      </c>
      <c r="H2710">
        <v>1</v>
      </c>
      <c r="I2710">
        <v>2017</v>
      </c>
      <c r="J2710" t="s">
        <v>126</v>
      </c>
      <c r="K2710" t="s">
        <v>126</v>
      </c>
      <c r="L2710" t="s">
        <v>126</v>
      </c>
      <c r="M2710" t="s">
        <v>126</v>
      </c>
      <c r="N2710" t="s">
        <v>126</v>
      </c>
      <c r="O2710" t="s">
        <v>126</v>
      </c>
      <c r="P2710" t="s">
        <v>126</v>
      </c>
    </row>
    <row r="2711" spans="1:16" hidden="1">
      <c r="A2711" t="s">
        <v>1431</v>
      </c>
      <c r="B2711" t="s">
        <v>13</v>
      </c>
      <c r="C2711" t="s">
        <v>15</v>
      </c>
      <c r="D2711" t="s">
        <v>98</v>
      </c>
      <c r="E2711" t="s">
        <v>1272</v>
      </c>
      <c r="F2711">
        <v>6</v>
      </c>
      <c r="G2711" s="10">
        <v>41275</v>
      </c>
      <c r="H2711">
        <v>1</v>
      </c>
      <c r="I2711">
        <v>2017</v>
      </c>
      <c r="J2711" t="s">
        <v>75</v>
      </c>
      <c r="K2711" t="s">
        <v>74</v>
      </c>
      <c r="L2711" t="s">
        <v>75</v>
      </c>
      <c r="M2711" t="s">
        <v>74</v>
      </c>
      <c r="N2711" t="s">
        <v>75</v>
      </c>
      <c r="O2711" t="s">
        <v>73</v>
      </c>
      <c r="P2711" t="s">
        <v>75</v>
      </c>
    </row>
    <row r="2712" spans="1:16" hidden="1">
      <c r="A2712" t="s">
        <v>1432</v>
      </c>
      <c r="B2712" t="s">
        <v>16</v>
      </c>
      <c r="C2712" t="s">
        <v>17</v>
      </c>
      <c r="D2712" t="s">
        <v>99</v>
      </c>
      <c r="E2712" t="s">
        <v>1271</v>
      </c>
      <c r="F2712">
        <v>5</v>
      </c>
      <c r="G2712" s="10">
        <v>41275</v>
      </c>
      <c r="H2712">
        <v>1</v>
      </c>
      <c r="I2712">
        <v>2017</v>
      </c>
      <c r="J2712" t="s">
        <v>76</v>
      </c>
      <c r="K2712" t="s">
        <v>77</v>
      </c>
      <c r="L2712" t="s">
        <v>73</v>
      </c>
      <c r="M2712" t="s">
        <v>74</v>
      </c>
      <c r="N2712" t="s">
        <v>75</v>
      </c>
      <c r="O2712" t="s">
        <v>75</v>
      </c>
      <c r="P2712" t="s">
        <v>76</v>
      </c>
    </row>
    <row r="2713" spans="1:16" hidden="1">
      <c r="A2713" t="s">
        <v>1433</v>
      </c>
      <c r="B2713" t="s">
        <v>18</v>
      </c>
      <c r="C2713" t="s">
        <v>19</v>
      </c>
      <c r="D2713" t="s">
        <v>100</v>
      </c>
      <c r="E2713" t="s">
        <v>1271</v>
      </c>
      <c r="F2713">
        <v>7</v>
      </c>
      <c r="G2713" s="10">
        <v>41275</v>
      </c>
      <c r="H2713">
        <v>1</v>
      </c>
      <c r="I2713">
        <v>2017</v>
      </c>
      <c r="J2713" t="s">
        <v>73</v>
      </c>
      <c r="K2713" t="s">
        <v>74</v>
      </c>
      <c r="L2713" t="s">
        <v>75</v>
      </c>
      <c r="M2713" t="s">
        <v>74</v>
      </c>
      <c r="N2713" t="s">
        <v>74</v>
      </c>
      <c r="O2713" t="s">
        <v>75</v>
      </c>
      <c r="P2713" t="s">
        <v>73</v>
      </c>
    </row>
    <row r="2714" spans="1:16" hidden="1">
      <c r="A2714" t="s">
        <v>1434</v>
      </c>
      <c r="B2714" t="s">
        <v>20</v>
      </c>
      <c r="C2714" t="s">
        <v>21</v>
      </c>
      <c r="D2714" t="s">
        <v>101</v>
      </c>
      <c r="E2714" t="s">
        <v>1271</v>
      </c>
      <c r="F2714">
        <v>6</v>
      </c>
      <c r="G2714" s="10">
        <v>41275</v>
      </c>
      <c r="H2714">
        <v>1</v>
      </c>
      <c r="I2714">
        <v>2017</v>
      </c>
      <c r="J2714" t="s">
        <v>77</v>
      </c>
      <c r="K2714" t="s">
        <v>73</v>
      </c>
      <c r="L2714" t="s">
        <v>74</v>
      </c>
      <c r="M2714" t="s">
        <v>74</v>
      </c>
      <c r="N2714" t="s">
        <v>75</v>
      </c>
      <c r="O2714" t="s">
        <v>75</v>
      </c>
      <c r="P2714" t="s">
        <v>74</v>
      </c>
    </row>
    <row r="2715" spans="1:16" hidden="1">
      <c r="A2715" t="s">
        <v>1435</v>
      </c>
      <c r="B2715" t="s">
        <v>22</v>
      </c>
      <c r="C2715" t="s">
        <v>17</v>
      </c>
      <c r="D2715" t="s">
        <v>102</v>
      </c>
      <c r="E2715" t="s">
        <v>1272</v>
      </c>
      <c r="F2715">
        <v>3</v>
      </c>
      <c r="G2715" s="10">
        <v>41275</v>
      </c>
      <c r="H2715">
        <v>1</v>
      </c>
      <c r="I2715">
        <v>2017</v>
      </c>
      <c r="J2715" t="s">
        <v>74</v>
      </c>
      <c r="K2715" t="s">
        <v>74</v>
      </c>
      <c r="L2715" t="s">
        <v>73</v>
      </c>
      <c r="M2715" t="s">
        <v>75</v>
      </c>
      <c r="N2715" t="s">
        <v>75</v>
      </c>
      <c r="O2715" t="s">
        <v>74</v>
      </c>
      <c r="P2715" t="s">
        <v>75</v>
      </c>
    </row>
    <row r="2716" spans="1:16" hidden="1">
      <c r="A2716" t="s">
        <v>1436</v>
      </c>
      <c r="B2716" t="s">
        <v>23</v>
      </c>
      <c r="C2716" t="s">
        <v>24</v>
      </c>
      <c r="D2716" t="s">
        <v>103</v>
      </c>
      <c r="E2716" t="s">
        <v>1272</v>
      </c>
      <c r="F2716">
        <v>4</v>
      </c>
      <c r="G2716" s="10">
        <v>41275</v>
      </c>
      <c r="H2716">
        <v>1</v>
      </c>
      <c r="I2716">
        <v>2017</v>
      </c>
      <c r="J2716" t="s">
        <v>75</v>
      </c>
      <c r="K2716" t="s">
        <v>73</v>
      </c>
      <c r="L2716" t="s">
        <v>74</v>
      </c>
      <c r="M2716" t="s">
        <v>75</v>
      </c>
      <c r="N2716" t="s">
        <v>74</v>
      </c>
      <c r="O2716" t="s">
        <v>75</v>
      </c>
      <c r="P2716" t="s">
        <v>75</v>
      </c>
    </row>
    <row r="2717" spans="1:16" hidden="1">
      <c r="A2717" t="s">
        <v>1437</v>
      </c>
      <c r="B2717" t="s">
        <v>23</v>
      </c>
      <c r="C2717" t="s">
        <v>55</v>
      </c>
      <c r="D2717" t="s">
        <v>127</v>
      </c>
      <c r="E2717" t="s">
        <v>1271</v>
      </c>
      <c r="F2717">
        <v>5</v>
      </c>
      <c r="G2717" s="10">
        <v>41275</v>
      </c>
      <c r="H2717">
        <v>1</v>
      </c>
      <c r="I2717">
        <v>2017</v>
      </c>
      <c r="J2717" t="s">
        <v>76</v>
      </c>
      <c r="K2717" t="s">
        <v>77</v>
      </c>
      <c r="L2717" t="s">
        <v>73</v>
      </c>
      <c r="M2717" t="s">
        <v>74</v>
      </c>
      <c r="N2717" t="s">
        <v>75</v>
      </c>
      <c r="O2717" t="s">
        <v>75</v>
      </c>
      <c r="P2717" t="s">
        <v>76</v>
      </c>
    </row>
    <row r="2718" spans="1:16" hidden="1">
      <c r="A2718" t="s">
        <v>1438</v>
      </c>
      <c r="B2718" t="s">
        <v>25</v>
      </c>
      <c r="C2718" t="s">
        <v>132</v>
      </c>
      <c r="D2718" t="s">
        <v>104</v>
      </c>
      <c r="E2718" t="s">
        <v>1271</v>
      </c>
      <c r="F2718">
        <v>8</v>
      </c>
      <c r="G2718" s="10">
        <v>41275</v>
      </c>
      <c r="H2718">
        <v>1</v>
      </c>
      <c r="I2718">
        <v>2017</v>
      </c>
      <c r="J2718" t="s">
        <v>75</v>
      </c>
      <c r="K2718" t="s">
        <v>75</v>
      </c>
      <c r="L2718" t="s">
        <v>75</v>
      </c>
      <c r="M2718" t="s">
        <v>76</v>
      </c>
      <c r="N2718" t="s">
        <v>77</v>
      </c>
      <c r="O2718" t="s">
        <v>73</v>
      </c>
      <c r="P2718" t="s">
        <v>74</v>
      </c>
    </row>
    <row r="2719" spans="1:16" hidden="1">
      <c r="A2719" t="s">
        <v>1439</v>
      </c>
      <c r="B2719" t="s">
        <v>56</v>
      </c>
      <c r="C2719" t="s">
        <v>57</v>
      </c>
      <c r="D2719" t="s">
        <v>129</v>
      </c>
      <c r="E2719" t="s">
        <v>1271</v>
      </c>
      <c r="F2719">
        <v>11</v>
      </c>
      <c r="G2719" s="10">
        <v>41275</v>
      </c>
      <c r="H2719">
        <v>1</v>
      </c>
      <c r="I2719">
        <v>2017</v>
      </c>
      <c r="J2719" t="s">
        <v>75</v>
      </c>
      <c r="K2719" t="s">
        <v>75</v>
      </c>
      <c r="L2719" t="s">
        <v>73</v>
      </c>
      <c r="M2719" t="s">
        <v>75</v>
      </c>
      <c r="N2719" t="s">
        <v>75</v>
      </c>
      <c r="O2719" t="s">
        <v>76</v>
      </c>
      <c r="P2719" t="s">
        <v>77</v>
      </c>
    </row>
    <row r="2720" spans="1:16" hidden="1">
      <c r="A2720" t="s">
        <v>1440</v>
      </c>
      <c r="B2720" t="s">
        <v>26</v>
      </c>
      <c r="C2720" t="s">
        <v>27</v>
      </c>
      <c r="D2720" t="s">
        <v>105</v>
      </c>
      <c r="E2720" t="s">
        <v>1271</v>
      </c>
      <c r="F2720">
        <v>1</v>
      </c>
      <c r="G2720" s="10">
        <v>41275</v>
      </c>
      <c r="H2720">
        <v>1</v>
      </c>
      <c r="I2720">
        <v>2017</v>
      </c>
      <c r="J2720" t="s">
        <v>73</v>
      </c>
      <c r="K2720" t="s">
        <v>74</v>
      </c>
      <c r="L2720" t="s">
        <v>75</v>
      </c>
      <c r="M2720" t="s">
        <v>75</v>
      </c>
      <c r="N2720" t="s">
        <v>76</v>
      </c>
      <c r="O2720" t="s">
        <v>77</v>
      </c>
      <c r="P2720" t="s">
        <v>73</v>
      </c>
    </row>
    <row r="2721" spans="1:16" hidden="1">
      <c r="A2721" t="s">
        <v>1441</v>
      </c>
      <c r="B2721" t="s">
        <v>28</v>
      </c>
      <c r="C2721" t="s">
        <v>29</v>
      </c>
      <c r="D2721" t="s">
        <v>106</v>
      </c>
      <c r="E2721" t="s">
        <v>1271</v>
      </c>
      <c r="F2721">
        <v>7</v>
      </c>
      <c r="G2721" s="10">
        <v>41275</v>
      </c>
      <c r="H2721">
        <v>1</v>
      </c>
      <c r="I2721">
        <v>2017</v>
      </c>
      <c r="J2721" t="s">
        <v>73</v>
      </c>
      <c r="K2721" t="s">
        <v>74</v>
      </c>
      <c r="L2721" t="s">
        <v>75</v>
      </c>
      <c r="M2721" t="s">
        <v>74</v>
      </c>
      <c r="N2721" t="s">
        <v>74</v>
      </c>
      <c r="O2721" t="s">
        <v>75</v>
      </c>
      <c r="P2721" t="s">
        <v>73</v>
      </c>
    </row>
    <row r="2722" spans="1:16" hidden="1">
      <c r="A2722" t="s">
        <v>1442</v>
      </c>
      <c r="B2722" t="s">
        <v>30</v>
      </c>
      <c r="C2722" t="s">
        <v>8</v>
      </c>
      <c r="D2722" t="s">
        <v>107</v>
      </c>
      <c r="E2722" t="s">
        <v>1272</v>
      </c>
      <c r="F2722">
        <v>6</v>
      </c>
      <c r="G2722" s="10">
        <v>41275</v>
      </c>
      <c r="H2722">
        <v>1</v>
      </c>
      <c r="I2722">
        <v>2017</v>
      </c>
      <c r="J2722" t="s">
        <v>75</v>
      </c>
      <c r="K2722" t="s">
        <v>74</v>
      </c>
      <c r="L2722" t="s">
        <v>75</v>
      </c>
      <c r="M2722" t="s">
        <v>74</v>
      </c>
      <c r="N2722" t="s">
        <v>75</v>
      </c>
      <c r="O2722" t="s">
        <v>73</v>
      </c>
      <c r="P2722" t="s">
        <v>75</v>
      </c>
    </row>
    <row r="2723" spans="1:16" hidden="1">
      <c r="A2723" t="s">
        <v>1443</v>
      </c>
      <c r="B2723" t="s">
        <v>30</v>
      </c>
      <c r="C2723" t="s">
        <v>31</v>
      </c>
      <c r="D2723" t="s">
        <v>108</v>
      </c>
      <c r="E2723" t="s">
        <v>1271</v>
      </c>
      <c r="F2723">
        <v>4</v>
      </c>
      <c r="G2723" s="10">
        <v>41275</v>
      </c>
      <c r="H2723">
        <v>1</v>
      </c>
      <c r="I2723">
        <v>2017</v>
      </c>
      <c r="J2723" t="s">
        <v>74</v>
      </c>
      <c r="K2723" t="s">
        <v>75</v>
      </c>
      <c r="L2723" t="s">
        <v>74</v>
      </c>
      <c r="M2723" t="s">
        <v>73</v>
      </c>
      <c r="N2723" t="s">
        <v>74</v>
      </c>
      <c r="O2723" t="s">
        <v>74</v>
      </c>
      <c r="P2723" t="s">
        <v>75</v>
      </c>
    </row>
    <row r="2724" spans="1:16" hidden="1">
      <c r="A2724" t="s">
        <v>1444</v>
      </c>
      <c r="B2724" t="s">
        <v>32</v>
      </c>
      <c r="C2724" t="s">
        <v>33</v>
      </c>
      <c r="D2724" t="s">
        <v>109</v>
      </c>
      <c r="E2724" t="s">
        <v>1272</v>
      </c>
      <c r="F2724">
        <v>2</v>
      </c>
      <c r="G2724" s="10">
        <v>41275</v>
      </c>
      <c r="H2724">
        <v>1</v>
      </c>
      <c r="I2724">
        <v>2017</v>
      </c>
      <c r="J2724" t="s">
        <v>74</v>
      </c>
      <c r="K2724" t="s">
        <v>75</v>
      </c>
      <c r="L2724" t="s">
        <v>74</v>
      </c>
      <c r="M2724" t="s">
        <v>73</v>
      </c>
      <c r="N2724" t="s">
        <v>74</v>
      </c>
      <c r="O2724" t="s">
        <v>75</v>
      </c>
      <c r="P2724" t="s">
        <v>74</v>
      </c>
    </row>
    <row r="2725" spans="1:16" hidden="1">
      <c r="A2725" t="s">
        <v>1445</v>
      </c>
      <c r="B2725" t="s">
        <v>32</v>
      </c>
      <c r="C2725" t="s">
        <v>34</v>
      </c>
      <c r="D2725" t="s">
        <v>122</v>
      </c>
      <c r="E2725" t="s">
        <v>1272</v>
      </c>
      <c r="F2725">
        <v>1</v>
      </c>
      <c r="G2725" s="10">
        <v>41275</v>
      </c>
      <c r="H2725">
        <v>1</v>
      </c>
      <c r="I2725">
        <v>2017</v>
      </c>
      <c r="J2725" t="s">
        <v>75</v>
      </c>
      <c r="K2725" t="s">
        <v>74</v>
      </c>
      <c r="L2725" t="s">
        <v>75</v>
      </c>
      <c r="M2725" t="s">
        <v>75</v>
      </c>
      <c r="N2725" t="s">
        <v>73</v>
      </c>
      <c r="O2725" t="s">
        <v>74</v>
      </c>
      <c r="P2725" t="s">
        <v>74</v>
      </c>
    </row>
    <row r="2726" spans="1:16" hidden="1">
      <c r="A2726" t="s">
        <v>1446</v>
      </c>
      <c r="B2726" t="s">
        <v>35</v>
      </c>
      <c r="C2726" t="s">
        <v>36</v>
      </c>
      <c r="D2726" t="s">
        <v>110</v>
      </c>
      <c r="E2726" t="s">
        <v>1271</v>
      </c>
      <c r="F2726">
        <v>9</v>
      </c>
      <c r="G2726" s="10">
        <v>41275</v>
      </c>
      <c r="H2726">
        <v>1</v>
      </c>
      <c r="I2726">
        <v>2017</v>
      </c>
      <c r="J2726" t="s">
        <v>75</v>
      </c>
      <c r="K2726" t="s">
        <v>74</v>
      </c>
      <c r="L2726" t="s">
        <v>74</v>
      </c>
      <c r="M2726" t="s">
        <v>75</v>
      </c>
      <c r="N2726" t="s">
        <v>73</v>
      </c>
      <c r="O2726" t="s">
        <v>74</v>
      </c>
      <c r="P2726" t="s">
        <v>74</v>
      </c>
    </row>
    <row r="2727" spans="1:16" hidden="1">
      <c r="A2727" t="s">
        <v>1447</v>
      </c>
      <c r="B2727" t="s">
        <v>58</v>
      </c>
      <c r="C2727" t="s">
        <v>59</v>
      </c>
      <c r="D2727" t="s">
        <v>130</v>
      </c>
      <c r="E2727" t="s">
        <v>1272</v>
      </c>
      <c r="F2727">
        <v>6</v>
      </c>
      <c r="G2727" s="10">
        <v>41275</v>
      </c>
      <c r="H2727">
        <v>1</v>
      </c>
      <c r="I2727">
        <v>2017</v>
      </c>
      <c r="J2727" t="s">
        <v>75</v>
      </c>
      <c r="K2727" t="s">
        <v>74</v>
      </c>
      <c r="L2727" t="s">
        <v>75</v>
      </c>
      <c r="M2727" t="s">
        <v>74</v>
      </c>
      <c r="N2727" t="s">
        <v>75</v>
      </c>
      <c r="O2727" t="s">
        <v>73</v>
      </c>
      <c r="P2727" t="s">
        <v>75</v>
      </c>
    </row>
    <row r="2728" spans="1:16" hidden="1">
      <c r="A2728" t="s">
        <v>1448</v>
      </c>
      <c r="B2728" t="s">
        <v>37</v>
      </c>
      <c r="C2728" t="s">
        <v>38</v>
      </c>
      <c r="D2728" t="s">
        <v>111</v>
      </c>
      <c r="E2728" t="s">
        <v>1271</v>
      </c>
      <c r="F2728">
        <v>10</v>
      </c>
      <c r="G2728" s="10">
        <v>41275</v>
      </c>
      <c r="H2728">
        <v>1</v>
      </c>
      <c r="I2728">
        <v>2017</v>
      </c>
      <c r="J2728" t="s">
        <v>75</v>
      </c>
      <c r="K2728" t="s">
        <v>76</v>
      </c>
      <c r="L2728" t="s">
        <v>77</v>
      </c>
      <c r="M2728" t="s">
        <v>73</v>
      </c>
      <c r="N2728" t="s">
        <v>74</v>
      </c>
      <c r="O2728" t="s">
        <v>75</v>
      </c>
      <c r="P2728" t="s">
        <v>75</v>
      </c>
    </row>
    <row r="2729" spans="1:16" hidden="1">
      <c r="A2729" t="s">
        <v>1449</v>
      </c>
      <c r="B2729" t="s">
        <v>39</v>
      </c>
      <c r="C2729" t="s">
        <v>40</v>
      </c>
      <c r="D2729" t="s">
        <v>112</v>
      </c>
      <c r="E2729" t="s">
        <v>1272</v>
      </c>
      <c r="F2729">
        <v>5</v>
      </c>
      <c r="G2729" s="10">
        <v>41275</v>
      </c>
      <c r="H2729">
        <v>1</v>
      </c>
      <c r="I2729">
        <v>2017</v>
      </c>
      <c r="J2729" t="s">
        <v>73</v>
      </c>
      <c r="K2729" t="s">
        <v>75</v>
      </c>
      <c r="L2729" t="s">
        <v>75</v>
      </c>
      <c r="M2729" t="s">
        <v>74</v>
      </c>
      <c r="N2729" t="s">
        <v>75</v>
      </c>
      <c r="O2729" t="s">
        <v>75</v>
      </c>
      <c r="P2729" t="s">
        <v>73</v>
      </c>
    </row>
    <row r="2730" spans="1:16" hidden="1">
      <c r="A2730" t="s">
        <v>1450</v>
      </c>
      <c r="B2730" t="s">
        <v>41</v>
      </c>
      <c r="C2730" t="s">
        <v>42</v>
      </c>
      <c r="D2730" t="s">
        <v>113</v>
      </c>
      <c r="E2730" t="s">
        <v>1271</v>
      </c>
      <c r="F2730">
        <v>3</v>
      </c>
      <c r="G2730" s="10">
        <v>41275</v>
      </c>
      <c r="H2730">
        <v>1</v>
      </c>
      <c r="I2730">
        <v>2017</v>
      </c>
      <c r="J2730" t="s">
        <v>74</v>
      </c>
      <c r="K2730" t="s">
        <v>75</v>
      </c>
      <c r="L2730" t="s">
        <v>76</v>
      </c>
      <c r="M2730" t="s">
        <v>77</v>
      </c>
      <c r="N2730" t="s">
        <v>73</v>
      </c>
      <c r="O2730" t="s">
        <v>74</v>
      </c>
      <c r="P2730" t="s">
        <v>75</v>
      </c>
    </row>
    <row r="2731" spans="1:16" hidden="1">
      <c r="A2731" t="s">
        <v>1451</v>
      </c>
      <c r="B2731" t="s">
        <v>43</v>
      </c>
      <c r="C2731" t="s">
        <v>44</v>
      </c>
      <c r="D2731" t="s">
        <v>114</v>
      </c>
      <c r="E2731" t="s">
        <v>1271</v>
      </c>
      <c r="F2731">
        <v>6</v>
      </c>
      <c r="G2731" s="10">
        <v>41275</v>
      </c>
      <c r="H2731">
        <v>1</v>
      </c>
      <c r="I2731">
        <v>2017</v>
      </c>
      <c r="J2731" t="s">
        <v>77</v>
      </c>
      <c r="K2731" t="s">
        <v>73</v>
      </c>
      <c r="L2731" t="s">
        <v>74</v>
      </c>
      <c r="M2731" t="s">
        <v>74</v>
      </c>
      <c r="N2731" t="s">
        <v>75</v>
      </c>
      <c r="O2731" t="s">
        <v>75</v>
      </c>
      <c r="P2731" t="s">
        <v>74</v>
      </c>
    </row>
    <row r="2732" spans="1:16" hidden="1">
      <c r="A2732" t="s">
        <v>1452</v>
      </c>
      <c r="B2732" t="s">
        <v>45</v>
      </c>
      <c r="C2732" t="s">
        <v>46</v>
      </c>
      <c r="D2732" t="s">
        <v>115</v>
      </c>
      <c r="E2732" t="s">
        <v>1271</v>
      </c>
      <c r="F2732">
        <v>2</v>
      </c>
      <c r="G2732" s="10">
        <v>41275</v>
      </c>
      <c r="H2732">
        <v>1</v>
      </c>
      <c r="I2732">
        <v>2017</v>
      </c>
      <c r="J2732" t="s">
        <v>74</v>
      </c>
      <c r="K2732" t="s">
        <v>75</v>
      </c>
      <c r="L2732" t="s">
        <v>75</v>
      </c>
      <c r="M2732" t="s">
        <v>75</v>
      </c>
      <c r="N2732" t="s">
        <v>75</v>
      </c>
      <c r="O2732" t="s">
        <v>73</v>
      </c>
      <c r="P2732" t="s">
        <v>75</v>
      </c>
    </row>
    <row r="2733" spans="1:16" hidden="1">
      <c r="A2733" t="s">
        <v>1453</v>
      </c>
      <c r="B2733" t="s">
        <v>47</v>
      </c>
      <c r="C2733" t="s">
        <v>48</v>
      </c>
      <c r="D2733" t="s">
        <v>116</v>
      </c>
      <c r="E2733" t="s">
        <v>1271</v>
      </c>
      <c r="F2733">
        <v>2</v>
      </c>
      <c r="G2733" s="10">
        <v>41275</v>
      </c>
      <c r="H2733">
        <v>1</v>
      </c>
      <c r="I2733">
        <v>2017</v>
      </c>
      <c r="J2733" t="s">
        <v>74</v>
      </c>
      <c r="K2733" t="s">
        <v>75</v>
      </c>
      <c r="L2733" t="s">
        <v>75</v>
      </c>
      <c r="M2733" t="s">
        <v>75</v>
      </c>
      <c r="N2733" t="s">
        <v>75</v>
      </c>
      <c r="O2733" t="s">
        <v>73</v>
      </c>
      <c r="P2733" t="s">
        <v>75</v>
      </c>
    </row>
    <row r="2734" spans="1:16" hidden="1">
      <c r="A2734" t="s">
        <v>1454</v>
      </c>
      <c r="B2734" t="s">
        <v>49</v>
      </c>
      <c r="C2734" t="s">
        <v>50</v>
      </c>
      <c r="D2734" t="s">
        <v>117</v>
      </c>
      <c r="E2734" t="s">
        <v>1271</v>
      </c>
      <c r="F2734">
        <v>1</v>
      </c>
      <c r="G2734" s="10">
        <v>41275</v>
      </c>
      <c r="H2734">
        <v>1</v>
      </c>
      <c r="I2734">
        <v>2017</v>
      </c>
      <c r="J2734" t="s">
        <v>73</v>
      </c>
      <c r="K2734" t="s">
        <v>74</v>
      </c>
      <c r="L2734" t="s">
        <v>75</v>
      </c>
      <c r="M2734" t="s">
        <v>75</v>
      </c>
      <c r="N2734" t="s">
        <v>76</v>
      </c>
      <c r="O2734" t="s">
        <v>77</v>
      </c>
      <c r="P2734" t="s">
        <v>73</v>
      </c>
    </row>
    <row r="2735" spans="1:16" hidden="1">
      <c r="A2735" t="s">
        <v>1455</v>
      </c>
      <c r="B2735" t="s">
        <v>51</v>
      </c>
      <c r="C2735" t="s">
        <v>52</v>
      </c>
      <c r="D2735" t="s">
        <v>118</v>
      </c>
      <c r="E2735" t="s">
        <v>1271</v>
      </c>
      <c r="F2735">
        <v>8</v>
      </c>
      <c r="G2735" s="10">
        <v>41275</v>
      </c>
      <c r="H2735">
        <v>1</v>
      </c>
      <c r="I2735">
        <v>2017</v>
      </c>
      <c r="J2735" t="s">
        <v>75</v>
      </c>
      <c r="K2735" t="s">
        <v>75</v>
      </c>
      <c r="L2735" t="s">
        <v>75</v>
      </c>
      <c r="M2735" t="s">
        <v>76</v>
      </c>
      <c r="N2735" t="s">
        <v>77</v>
      </c>
      <c r="O2735" t="s">
        <v>73</v>
      </c>
      <c r="P2735" t="s">
        <v>74</v>
      </c>
    </row>
    <row r="2736" spans="1:16" hidden="1">
      <c r="A2736" t="s">
        <v>1456</v>
      </c>
      <c r="B2736" t="s">
        <v>53</v>
      </c>
      <c r="C2736" t="s">
        <v>54</v>
      </c>
      <c r="D2736" t="s">
        <v>119</v>
      </c>
      <c r="E2736" t="s">
        <v>1272</v>
      </c>
      <c r="F2736">
        <v>4</v>
      </c>
      <c r="G2736" s="10">
        <v>41275</v>
      </c>
      <c r="H2736">
        <v>1</v>
      </c>
      <c r="I2736">
        <v>2017</v>
      </c>
      <c r="J2736" t="s">
        <v>75</v>
      </c>
      <c r="K2736" t="s">
        <v>73</v>
      </c>
      <c r="L2736" t="s">
        <v>74</v>
      </c>
      <c r="M2736" t="s">
        <v>75</v>
      </c>
      <c r="N2736" t="s">
        <v>74</v>
      </c>
      <c r="O2736" t="s">
        <v>75</v>
      </c>
      <c r="P2736" t="s">
        <v>75</v>
      </c>
    </row>
    <row r="2737" spans="1:16" hidden="1">
      <c r="A2737" t="s">
        <v>1457</v>
      </c>
      <c r="B2737" t="s">
        <v>1289</v>
      </c>
      <c r="C2737" t="s">
        <v>132</v>
      </c>
      <c r="D2737" t="s">
        <v>1292</v>
      </c>
      <c r="E2737" t="s">
        <v>1272</v>
      </c>
      <c r="F2737">
        <v>6</v>
      </c>
      <c r="G2737" s="10">
        <v>41275</v>
      </c>
      <c r="H2737">
        <v>1</v>
      </c>
      <c r="I2737">
        <v>2017</v>
      </c>
      <c r="J2737" t="s">
        <v>75</v>
      </c>
      <c r="K2737" t="s">
        <v>74</v>
      </c>
      <c r="L2737" t="s">
        <v>75</v>
      </c>
      <c r="M2737" t="s">
        <v>74</v>
      </c>
      <c r="N2737" t="s">
        <v>75</v>
      </c>
      <c r="O2737" t="s">
        <v>73</v>
      </c>
      <c r="P2737" t="s">
        <v>75</v>
      </c>
    </row>
    <row r="2738" spans="1:16" hidden="1">
      <c r="A2738" t="s">
        <v>1458</v>
      </c>
      <c r="B2738" t="s">
        <v>1290</v>
      </c>
      <c r="C2738" t="s">
        <v>132</v>
      </c>
      <c r="D2738" t="s">
        <v>1294</v>
      </c>
      <c r="E2738" t="s">
        <v>1272</v>
      </c>
      <c r="F2738">
        <v>3</v>
      </c>
      <c r="G2738" s="10">
        <v>41275</v>
      </c>
      <c r="H2738">
        <v>1</v>
      </c>
      <c r="I2738">
        <v>2017</v>
      </c>
      <c r="J2738" t="s">
        <v>74</v>
      </c>
      <c r="K2738" t="s">
        <v>74</v>
      </c>
      <c r="L2738" t="s">
        <v>73</v>
      </c>
      <c r="M2738" t="s">
        <v>75</v>
      </c>
      <c r="N2738" t="s">
        <v>75</v>
      </c>
      <c r="O2738" t="s">
        <v>74</v>
      </c>
      <c r="P2738" t="s">
        <v>75</v>
      </c>
    </row>
    <row r="2739" spans="1:16" hidden="1">
      <c r="A2739" t="s">
        <v>1459</v>
      </c>
      <c r="B2739" t="s">
        <v>1291</v>
      </c>
      <c r="C2739" t="s">
        <v>132</v>
      </c>
      <c r="D2739" t="s">
        <v>1295</v>
      </c>
      <c r="E2739" t="s">
        <v>1272</v>
      </c>
      <c r="F2739">
        <v>1</v>
      </c>
      <c r="G2739" s="10">
        <v>41275</v>
      </c>
      <c r="H2739">
        <v>1</v>
      </c>
      <c r="I2739">
        <v>2017</v>
      </c>
      <c r="J2739" t="s">
        <v>75</v>
      </c>
      <c r="K2739" t="s">
        <v>74</v>
      </c>
      <c r="L2739" t="s">
        <v>75</v>
      </c>
      <c r="M2739" t="s">
        <v>75</v>
      </c>
      <c r="N2739" t="s">
        <v>73</v>
      </c>
      <c r="O2739" t="s">
        <v>74</v>
      </c>
      <c r="P2739" t="s">
        <v>74</v>
      </c>
    </row>
    <row r="2740" spans="1:16" hidden="1">
      <c r="A2740" t="s">
        <v>1460</v>
      </c>
      <c r="B2740" t="s">
        <v>1296</v>
      </c>
      <c r="C2740" t="s">
        <v>1297</v>
      </c>
      <c r="D2740" t="s">
        <v>1293</v>
      </c>
      <c r="E2740" t="s">
        <v>1272</v>
      </c>
      <c r="F2740">
        <v>2</v>
      </c>
      <c r="G2740" s="10">
        <v>41275</v>
      </c>
      <c r="H2740">
        <v>1</v>
      </c>
      <c r="I2740">
        <v>2017</v>
      </c>
      <c r="J2740" t="s">
        <v>74</v>
      </c>
      <c r="K2740" t="s">
        <v>75</v>
      </c>
      <c r="L2740" t="s">
        <v>74</v>
      </c>
      <c r="M2740" t="s">
        <v>73</v>
      </c>
      <c r="N2740" t="s">
        <v>74</v>
      </c>
      <c r="O2740" t="s">
        <v>75</v>
      </c>
      <c r="P2740" t="s">
        <v>74</v>
      </c>
    </row>
    <row r="2741" spans="1:16" hidden="1">
      <c r="A2741" t="s">
        <v>1467</v>
      </c>
      <c r="B2741" t="s">
        <v>3</v>
      </c>
      <c r="C2741" t="s">
        <v>4</v>
      </c>
      <c r="D2741" t="s">
        <v>90</v>
      </c>
      <c r="E2741" t="s">
        <v>1271</v>
      </c>
      <c r="F2741">
        <v>6</v>
      </c>
      <c r="G2741" s="10">
        <v>41219</v>
      </c>
      <c r="H2741">
        <v>45</v>
      </c>
      <c r="I2741">
        <v>2016</v>
      </c>
      <c r="J2741" t="s">
        <v>77</v>
      </c>
      <c r="K2741" t="s">
        <v>73</v>
      </c>
      <c r="L2741" t="s">
        <v>74</v>
      </c>
      <c r="M2741" t="s">
        <v>74</v>
      </c>
      <c r="N2741" t="s">
        <v>75</v>
      </c>
      <c r="O2741" t="s">
        <v>75</v>
      </c>
      <c r="P2741" t="s">
        <v>74</v>
      </c>
    </row>
    <row r="2742" spans="1:16" hidden="1">
      <c r="A2742" t="s">
        <v>1468</v>
      </c>
      <c r="B2742" t="s">
        <v>5</v>
      </c>
      <c r="C2742" t="s">
        <v>6</v>
      </c>
      <c r="D2742" t="s">
        <v>93</v>
      </c>
      <c r="E2742" t="s">
        <v>1271</v>
      </c>
      <c r="F2742">
        <v>7</v>
      </c>
      <c r="G2742" s="10">
        <v>41219</v>
      </c>
      <c r="H2742">
        <v>45</v>
      </c>
      <c r="I2742">
        <v>2016</v>
      </c>
      <c r="J2742" t="s">
        <v>73</v>
      </c>
      <c r="K2742" t="s">
        <v>74</v>
      </c>
      <c r="L2742" t="s">
        <v>75</v>
      </c>
      <c r="M2742" t="s">
        <v>74</v>
      </c>
      <c r="N2742" t="s">
        <v>75</v>
      </c>
      <c r="O2742" t="s">
        <v>75</v>
      </c>
      <c r="P2742" t="s">
        <v>73</v>
      </c>
    </row>
    <row r="2743" spans="1:16" hidden="1">
      <c r="A2743" t="s">
        <v>1469</v>
      </c>
      <c r="B2743" t="s">
        <v>7</v>
      </c>
      <c r="C2743" t="s">
        <v>8</v>
      </c>
      <c r="D2743" t="s">
        <v>94</v>
      </c>
      <c r="E2743" t="s">
        <v>1271</v>
      </c>
      <c r="F2743">
        <v>1</v>
      </c>
      <c r="G2743" s="10">
        <v>41219</v>
      </c>
      <c r="H2743">
        <v>45</v>
      </c>
      <c r="I2743">
        <v>2016</v>
      </c>
      <c r="J2743" t="s">
        <v>73</v>
      </c>
      <c r="K2743" t="s">
        <v>74</v>
      </c>
      <c r="L2743" t="s">
        <v>75</v>
      </c>
      <c r="M2743" t="s">
        <v>75</v>
      </c>
      <c r="N2743" t="s">
        <v>76</v>
      </c>
      <c r="O2743" t="s">
        <v>77</v>
      </c>
      <c r="P2743" t="s">
        <v>73</v>
      </c>
    </row>
    <row r="2744" spans="1:16" hidden="1">
      <c r="A2744" t="s">
        <v>1470</v>
      </c>
      <c r="B2744" t="s">
        <v>9</v>
      </c>
      <c r="C2744" t="s">
        <v>10</v>
      </c>
      <c r="D2744" t="s">
        <v>96</v>
      </c>
      <c r="E2744" t="s">
        <v>1271</v>
      </c>
      <c r="F2744">
        <v>2</v>
      </c>
      <c r="G2744" s="10">
        <v>41219</v>
      </c>
      <c r="H2744">
        <v>45</v>
      </c>
      <c r="I2744">
        <v>2016</v>
      </c>
      <c r="J2744" t="s">
        <v>74</v>
      </c>
      <c r="K2744" t="s">
        <v>75</v>
      </c>
      <c r="L2744" t="s">
        <v>75</v>
      </c>
      <c r="M2744" t="s">
        <v>75</v>
      </c>
      <c r="N2744" t="s">
        <v>75</v>
      </c>
      <c r="O2744" t="s">
        <v>73</v>
      </c>
      <c r="P2744" t="s">
        <v>75</v>
      </c>
    </row>
    <row r="2745" spans="1:16" hidden="1">
      <c r="A2745" t="s">
        <v>1471</v>
      </c>
      <c r="B2745" t="s">
        <v>11</v>
      </c>
      <c r="C2745" t="s">
        <v>12</v>
      </c>
      <c r="D2745" t="s">
        <v>97</v>
      </c>
      <c r="E2745" t="s">
        <v>1271</v>
      </c>
      <c r="F2745">
        <v>3</v>
      </c>
      <c r="G2745" s="10">
        <v>41219</v>
      </c>
      <c r="H2745">
        <v>45</v>
      </c>
      <c r="I2745">
        <v>2016</v>
      </c>
      <c r="J2745" t="s">
        <v>74</v>
      </c>
      <c r="K2745" t="s">
        <v>75</v>
      </c>
      <c r="L2745" t="s">
        <v>76</v>
      </c>
      <c r="M2745" t="s">
        <v>77</v>
      </c>
      <c r="N2745" t="s">
        <v>73</v>
      </c>
      <c r="O2745" t="s">
        <v>74</v>
      </c>
      <c r="P2745" t="s">
        <v>75</v>
      </c>
    </row>
    <row r="2746" spans="1:16" hidden="1">
      <c r="A2746" t="s">
        <v>1472</v>
      </c>
      <c r="B2746" t="s">
        <v>13</v>
      </c>
      <c r="C2746" t="s">
        <v>14</v>
      </c>
      <c r="D2746" t="s">
        <v>120</v>
      </c>
      <c r="E2746" t="s">
        <v>1320</v>
      </c>
      <c r="F2746">
        <v>1</v>
      </c>
      <c r="G2746" s="10">
        <v>41219</v>
      </c>
      <c r="H2746">
        <v>45</v>
      </c>
      <c r="I2746">
        <v>2016</v>
      </c>
      <c r="J2746" t="s">
        <v>126</v>
      </c>
      <c r="K2746" t="s">
        <v>126</v>
      </c>
      <c r="L2746" t="s">
        <v>126</v>
      </c>
      <c r="M2746" t="s">
        <v>126</v>
      </c>
      <c r="N2746" t="s">
        <v>126</v>
      </c>
      <c r="O2746" t="s">
        <v>126</v>
      </c>
      <c r="P2746" t="s">
        <v>126</v>
      </c>
    </row>
    <row r="2747" spans="1:16" hidden="1">
      <c r="A2747" t="s">
        <v>1473</v>
      </c>
      <c r="B2747" t="s">
        <v>13</v>
      </c>
      <c r="C2747" t="s">
        <v>15</v>
      </c>
      <c r="D2747" t="s">
        <v>98</v>
      </c>
      <c r="E2747" t="s">
        <v>1272</v>
      </c>
      <c r="F2747">
        <v>4</v>
      </c>
      <c r="G2747" s="10">
        <v>41219</v>
      </c>
      <c r="H2747">
        <v>45</v>
      </c>
      <c r="I2747">
        <v>2016</v>
      </c>
      <c r="J2747" t="s">
        <v>134</v>
      </c>
      <c r="K2747" t="s">
        <v>73</v>
      </c>
      <c r="L2747" t="s">
        <v>134</v>
      </c>
      <c r="M2747" t="s">
        <v>75</v>
      </c>
      <c r="N2747" t="s">
        <v>74</v>
      </c>
      <c r="O2747" t="s">
        <v>75</v>
      </c>
      <c r="P2747" t="s">
        <v>75</v>
      </c>
    </row>
    <row r="2748" spans="1:16" hidden="1">
      <c r="A2748" t="s">
        <v>1474</v>
      </c>
      <c r="B2748" t="s">
        <v>16</v>
      </c>
      <c r="C2748" t="s">
        <v>17</v>
      </c>
      <c r="D2748" t="s">
        <v>99</v>
      </c>
      <c r="E2748" t="s">
        <v>1271</v>
      </c>
      <c r="F2748">
        <v>8</v>
      </c>
      <c r="G2748" s="10">
        <v>41219</v>
      </c>
      <c r="H2748">
        <v>45</v>
      </c>
      <c r="I2748">
        <v>2016</v>
      </c>
      <c r="J2748" t="s">
        <v>75</v>
      </c>
      <c r="K2748" t="s">
        <v>75</v>
      </c>
      <c r="L2748" t="s">
        <v>75</v>
      </c>
      <c r="M2748" t="s">
        <v>76</v>
      </c>
      <c r="N2748" t="s">
        <v>77</v>
      </c>
      <c r="O2748" t="s">
        <v>73</v>
      </c>
      <c r="P2748" t="s">
        <v>74</v>
      </c>
    </row>
    <row r="2749" spans="1:16" hidden="1">
      <c r="A2749" t="s">
        <v>1475</v>
      </c>
      <c r="B2749" t="s">
        <v>18</v>
      </c>
      <c r="C2749" t="s">
        <v>19</v>
      </c>
      <c r="D2749" t="s">
        <v>100</v>
      </c>
      <c r="E2749" t="s">
        <v>1271</v>
      </c>
      <c r="F2749">
        <v>10</v>
      </c>
      <c r="G2749" s="10">
        <v>41219</v>
      </c>
      <c r="H2749">
        <v>45</v>
      </c>
      <c r="I2749">
        <v>2016</v>
      </c>
      <c r="J2749" t="s">
        <v>75</v>
      </c>
      <c r="K2749" t="s">
        <v>76</v>
      </c>
      <c r="L2749" t="s">
        <v>77</v>
      </c>
      <c r="M2749" t="s">
        <v>73</v>
      </c>
      <c r="N2749" t="s">
        <v>74</v>
      </c>
      <c r="O2749" t="s">
        <v>75</v>
      </c>
      <c r="P2749" t="s">
        <v>75</v>
      </c>
    </row>
    <row r="2750" spans="1:16" hidden="1">
      <c r="A2750" t="s">
        <v>1476</v>
      </c>
      <c r="B2750" t="s">
        <v>20</v>
      </c>
      <c r="C2750" t="s">
        <v>21</v>
      </c>
      <c r="D2750" t="s">
        <v>101</v>
      </c>
      <c r="E2750" t="s">
        <v>1271</v>
      </c>
      <c r="F2750">
        <v>9</v>
      </c>
      <c r="G2750" s="10">
        <v>41219</v>
      </c>
      <c r="H2750">
        <v>45</v>
      </c>
      <c r="I2750">
        <v>2016</v>
      </c>
      <c r="J2750" t="s">
        <v>75</v>
      </c>
      <c r="K2750" t="s">
        <v>134</v>
      </c>
      <c r="L2750" t="s">
        <v>74</v>
      </c>
      <c r="M2750" t="s">
        <v>75</v>
      </c>
      <c r="N2750" t="s">
        <v>73</v>
      </c>
      <c r="O2750" t="s">
        <v>74</v>
      </c>
      <c r="P2750" t="s">
        <v>74</v>
      </c>
    </row>
    <row r="2751" spans="1:16" hidden="1">
      <c r="A2751" t="s">
        <v>1477</v>
      </c>
      <c r="B2751" t="s">
        <v>22</v>
      </c>
      <c r="C2751" t="s">
        <v>17</v>
      </c>
      <c r="D2751" t="s">
        <v>102</v>
      </c>
      <c r="E2751" t="s">
        <v>1272</v>
      </c>
      <c r="F2751">
        <v>1</v>
      </c>
      <c r="G2751" s="10">
        <v>41219</v>
      </c>
      <c r="H2751">
        <v>45</v>
      </c>
      <c r="I2751">
        <v>2016</v>
      </c>
      <c r="J2751" t="s">
        <v>75</v>
      </c>
      <c r="K2751" t="s">
        <v>74</v>
      </c>
      <c r="L2751" t="s">
        <v>75</v>
      </c>
      <c r="M2751" t="s">
        <v>75</v>
      </c>
      <c r="N2751" t="s">
        <v>73</v>
      </c>
      <c r="O2751" t="s">
        <v>74</v>
      </c>
      <c r="P2751" t="s">
        <v>74</v>
      </c>
    </row>
    <row r="2752" spans="1:16" hidden="1">
      <c r="A2752" t="s">
        <v>1478</v>
      </c>
      <c r="B2752" t="s">
        <v>23</v>
      </c>
      <c r="C2752" t="s">
        <v>24</v>
      </c>
      <c r="D2752" t="s">
        <v>103</v>
      </c>
      <c r="E2752" t="s">
        <v>1272</v>
      </c>
      <c r="F2752">
        <v>2</v>
      </c>
      <c r="G2752" s="10">
        <v>41219</v>
      </c>
      <c r="H2752">
        <v>45</v>
      </c>
      <c r="I2752">
        <v>2016</v>
      </c>
      <c r="J2752" t="s">
        <v>74</v>
      </c>
      <c r="K2752" t="s">
        <v>75</v>
      </c>
      <c r="L2752" t="s">
        <v>134</v>
      </c>
      <c r="M2752" t="s">
        <v>73</v>
      </c>
      <c r="N2752" t="s">
        <v>134</v>
      </c>
      <c r="O2752" t="s">
        <v>75</v>
      </c>
      <c r="P2752" t="s">
        <v>74</v>
      </c>
    </row>
    <row r="2753" spans="1:16" hidden="1">
      <c r="A2753" t="s">
        <v>1479</v>
      </c>
      <c r="B2753" t="s">
        <v>23</v>
      </c>
      <c r="C2753" t="s">
        <v>55</v>
      </c>
      <c r="D2753" t="s">
        <v>127</v>
      </c>
      <c r="E2753" t="s">
        <v>1271</v>
      </c>
      <c r="F2753">
        <v>8</v>
      </c>
      <c r="G2753" s="10">
        <v>41219</v>
      </c>
      <c r="H2753">
        <v>45</v>
      </c>
      <c r="I2753">
        <v>2016</v>
      </c>
      <c r="J2753" t="s">
        <v>75</v>
      </c>
      <c r="K2753" t="s">
        <v>75</v>
      </c>
      <c r="L2753" t="s">
        <v>75</v>
      </c>
      <c r="M2753" t="s">
        <v>76</v>
      </c>
      <c r="N2753" t="s">
        <v>77</v>
      </c>
      <c r="O2753" t="s">
        <v>73</v>
      </c>
      <c r="P2753" t="s">
        <v>74</v>
      </c>
    </row>
    <row r="2754" spans="1:16" hidden="1">
      <c r="A2754" t="s">
        <v>1480</v>
      </c>
      <c r="B2754" t="s">
        <v>25</v>
      </c>
      <c r="C2754" t="s">
        <v>132</v>
      </c>
      <c r="D2754" t="s">
        <v>104</v>
      </c>
      <c r="E2754" t="s">
        <v>1271</v>
      </c>
      <c r="F2754">
        <v>11</v>
      </c>
      <c r="G2754" s="10">
        <v>41219</v>
      </c>
      <c r="H2754">
        <v>45</v>
      </c>
      <c r="I2754">
        <v>2016</v>
      </c>
      <c r="J2754" t="s">
        <v>75</v>
      </c>
      <c r="K2754" t="s">
        <v>75</v>
      </c>
      <c r="L2754" t="s">
        <v>73</v>
      </c>
      <c r="M2754" t="s">
        <v>75</v>
      </c>
      <c r="N2754" t="s">
        <v>75</v>
      </c>
      <c r="O2754" t="s">
        <v>76</v>
      </c>
      <c r="P2754" t="s">
        <v>77</v>
      </c>
    </row>
    <row r="2755" spans="1:16" hidden="1">
      <c r="A2755" t="s">
        <v>1481</v>
      </c>
      <c r="B2755" t="s">
        <v>56</v>
      </c>
      <c r="C2755" t="s">
        <v>57</v>
      </c>
      <c r="D2755" t="s">
        <v>129</v>
      </c>
      <c r="E2755" t="s">
        <v>1271</v>
      </c>
      <c r="F2755">
        <v>3</v>
      </c>
      <c r="G2755" s="10">
        <v>41219</v>
      </c>
      <c r="H2755">
        <v>45</v>
      </c>
      <c r="I2755">
        <v>2016</v>
      </c>
      <c r="J2755" t="s">
        <v>74</v>
      </c>
      <c r="K2755" t="s">
        <v>75</v>
      </c>
      <c r="L2755" t="s">
        <v>76</v>
      </c>
      <c r="M2755" t="s">
        <v>77</v>
      </c>
      <c r="N2755" t="s">
        <v>73</v>
      </c>
      <c r="O2755" t="s">
        <v>74</v>
      </c>
      <c r="P2755" t="s">
        <v>75</v>
      </c>
    </row>
    <row r="2756" spans="1:16" hidden="1">
      <c r="A2756" t="s">
        <v>1482</v>
      </c>
      <c r="B2756" t="s">
        <v>26</v>
      </c>
      <c r="C2756" t="s">
        <v>27</v>
      </c>
      <c r="D2756" t="s">
        <v>105</v>
      </c>
      <c r="E2756" t="s">
        <v>1271</v>
      </c>
      <c r="F2756">
        <v>4</v>
      </c>
      <c r="G2756" s="10">
        <v>41219</v>
      </c>
      <c r="H2756">
        <v>45</v>
      </c>
      <c r="I2756">
        <v>2016</v>
      </c>
      <c r="J2756" t="s">
        <v>74</v>
      </c>
      <c r="K2756" t="s">
        <v>75</v>
      </c>
      <c r="L2756" t="s">
        <v>74</v>
      </c>
      <c r="M2756" t="s">
        <v>73</v>
      </c>
      <c r="N2756" t="s">
        <v>74</v>
      </c>
      <c r="O2756" t="s">
        <v>74</v>
      </c>
      <c r="P2756" t="s">
        <v>75</v>
      </c>
    </row>
    <row r="2757" spans="1:16" hidden="1">
      <c r="A2757" t="s">
        <v>1483</v>
      </c>
      <c r="B2757" t="s">
        <v>28</v>
      </c>
      <c r="C2757" t="s">
        <v>29</v>
      </c>
      <c r="D2757" t="s">
        <v>106</v>
      </c>
      <c r="E2757" t="s">
        <v>1271</v>
      </c>
      <c r="F2757">
        <v>10</v>
      </c>
      <c r="G2757" s="10">
        <v>41219</v>
      </c>
      <c r="H2757">
        <v>45</v>
      </c>
      <c r="I2757">
        <v>2016</v>
      </c>
      <c r="J2757" t="s">
        <v>75</v>
      </c>
      <c r="K2757" t="s">
        <v>76</v>
      </c>
      <c r="L2757" t="s">
        <v>77</v>
      </c>
      <c r="M2757" t="s">
        <v>73</v>
      </c>
      <c r="N2757" t="s">
        <v>74</v>
      </c>
      <c r="O2757" t="s">
        <v>75</v>
      </c>
      <c r="P2757" t="s">
        <v>75</v>
      </c>
    </row>
    <row r="2758" spans="1:16">
      <c r="A2758" t="s">
        <v>1484</v>
      </c>
      <c r="B2758" t="s">
        <v>30</v>
      </c>
      <c r="C2758" t="s">
        <v>8</v>
      </c>
      <c r="D2758" t="s">
        <v>107</v>
      </c>
      <c r="E2758" t="s">
        <v>1272</v>
      </c>
      <c r="F2758">
        <v>4</v>
      </c>
      <c r="G2758" s="10">
        <v>41219</v>
      </c>
      <c r="H2758">
        <v>45</v>
      </c>
      <c r="I2758">
        <v>2016</v>
      </c>
      <c r="J2758" t="s">
        <v>75</v>
      </c>
      <c r="K2758" t="s">
        <v>73</v>
      </c>
      <c r="L2758" t="s">
        <v>74</v>
      </c>
      <c r="M2758" t="s">
        <v>74</v>
      </c>
      <c r="N2758" t="s">
        <v>74</v>
      </c>
      <c r="O2758" t="s">
        <v>1298</v>
      </c>
      <c r="P2758" t="s">
        <v>75</v>
      </c>
    </row>
    <row r="2759" spans="1:16">
      <c r="A2759" t="s">
        <v>1485</v>
      </c>
      <c r="B2759" t="s">
        <v>30</v>
      </c>
      <c r="C2759" t="s">
        <v>31</v>
      </c>
      <c r="D2759" t="s">
        <v>108</v>
      </c>
      <c r="E2759" t="s">
        <v>1271</v>
      </c>
      <c r="F2759">
        <v>7</v>
      </c>
      <c r="G2759" s="10">
        <v>41219</v>
      </c>
      <c r="H2759">
        <v>45</v>
      </c>
      <c r="I2759">
        <v>2016</v>
      </c>
      <c r="J2759" t="s">
        <v>73</v>
      </c>
      <c r="K2759" t="s">
        <v>75</v>
      </c>
      <c r="L2759" t="s">
        <v>75</v>
      </c>
      <c r="M2759" t="s">
        <v>74</v>
      </c>
      <c r="N2759" t="s">
        <v>74</v>
      </c>
      <c r="O2759" t="s">
        <v>75</v>
      </c>
      <c r="P2759" t="s">
        <v>73</v>
      </c>
    </row>
    <row r="2760" spans="1:16" hidden="1">
      <c r="A2760" t="s">
        <v>1486</v>
      </c>
      <c r="B2760" t="s">
        <v>32</v>
      </c>
      <c r="C2760" t="s">
        <v>33</v>
      </c>
      <c r="D2760" t="s">
        <v>109</v>
      </c>
      <c r="E2760" t="s">
        <v>1272</v>
      </c>
      <c r="F2760">
        <v>6</v>
      </c>
      <c r="G2760" s="10">
        <v>41219</v>
      </c>
      <c r="H2760">
        <v>45</v>
      </c>
      <c r="I2760">
        <v>2016</v>
      </c>
      <c r="J2760" t="s">
        <v>75</v>
      </c>
      <c r="K2760" t="s">
        <v>74</v>
      </c>
      <c r="L2760" t="s">
        <v>75</v>
      </c>
      <c r="M2760" t="s">
        <v>74</v>
      </c>
      <c r="N2760" t="s">
        <v>134</v>
      </c>
      <c r="O2760" t="s">
        <v>73</v>
      </c>
      <c r="P2760" t="s">
        <v>75</v>
      </c>
    </row>
    <row r="2761" spans="1:16" hidden="1">
      <c r="A2761" t="s">
        <v>1487</v>
      </c>
      <c r="B2761" t="s">
        <v>32</v>
      </c>
      <c r="C2761" t="s">
        <v>34</v>
      </c>
      <c r="D2761" t="s">
        <v>122</v>
      </c>
      <c r="E2761" t="s">
        <v>1320</v>
      </c>
      <c r="F2761">
        <v>1</v>
      </c>
      <c r="G2761" s="10">
        <v>41219</v>
      </c>
      <c r="H2761">
        <v>45</v>
      </c>
      <c r="I2761">
        <v>2016</v>
      </c>
      <c r="J2761" t="s">
        <v>126</v>
      </c>
      <c r="K2761" t="s">
        <v>126</v>
      </c>
      <c r="L2761" t="s">
        <v>126</v>
      </c>
      <c r="M2761" t="s">
        <v>126</v>
      </c>
      <c r="N2761" t="s">
        <v>126</v>
      </c>
      <c r="O2761" t="s">
        <v>126</v>
      </c>
      <c r="P2761" t="s">
        <v>126</v>
      </c>
    </row>
    <row r="2762" spans="1:16" hidden="1">
      <c r="A2762" t="s">
        <v>1488</v>
      </c>
      <c r="B2762" t="s">
        <v>35</v>
      </c>
      <c r="C2762" t="s">
        <v>36</v>
      </c>
      <c r="D2762" t="s">
        <v>110</v>
      </c>
      <c r="E2762" t="s">
        <v>1271</v>
      </c>
      <c r="F2762">
        <v>1</v>
      </c>
      <c r="G2762" s="10">
        <v>41219</v>
      </c>
      <c r="H2762">
        <v>45</v>
      </c>
      <c r="I2762">
        <v>2016</v>
      </c>
      <c r="J2762" t="s">
        <v>73</v>
      </c>
      <c r="K2762" t="s">
        <v>74</v>
      </c>
      <c r="L2762" t="s">
        <v>75</v>
      </c>
      <c r="M2762" t="s">
        <v>75</v>
      </c>
      <c r="N2762" t="s">
        <v>76</v>
      </c>
      <c r="O2762" t="s">
        <v>77</v>
      </c>
      <c r="P2762" t="s">
        <v>73</v>
      </c>
    </row>
    <row r="2763" spans="1:16" hidden="1">
      <c r="A2763" t="s">
        <v>1489</v>
      </c>
      <c r="B2763" t="s">
        <v>58</v>
      </c>
      <c r="C2763" t="s">
        <v>59</v>
      </c>
      <c r="D2763" t="s">
        <v>130</v>
      </c>
      <c r="E2763" t="s">
        <v>1272</v>
      </c>
      <c r="F2763">
        <v>4</v>
      </c>
      <c r="G2763" s="10">
        <v>41219</v>
      </c>
      <c r="H2763">
        <v>45</v>
      </c>
      <c r="I2763">
        <v>2016</v>
      </c>
      <c r="J2763" t="s">
        <v>75</v>
      </c>
      <c r="K2763" t="s">
        <v>73</v>
      </c>
      <c r="L2763" t="s">
        <v>134</v>
      </c>
      <c r="M2763" t="s">
        <v>75</v>
      </c>
      <c r="N2763" t="s">
        <v>74</v>
      </c>
      <c r="O2763" t="s">
        <v>75</v>
      </c>
      <c r="P2763" t="s">
        <v>75</v>
      </c>
    </row>
    <row r="2764" spans="1:16" hidden="1">
      <c r="A2764" t="s">
        <v>1490</v>
      </c>
      <c r="B2764" t="s">
        <v>37</v>
      </c>
      <c r="C2764" t="s">
        <v>38</v>
      </c>
      <c r="D2764" t="s">
        <v>111</v>
      </c>
      <c r="E2764" t="s">
        <v>1271</v>
      </c>
      <c r="F2764">
        <v>2</v>
      </c>
      <c r="G2764" s="10">
        <v>41219</v>
      </c>
      <c r="H2764">
        <v>45</v>
      </c>
      <c r="I2764">
        <v>2016</v>
      </c>
      <c r="J2764" t="s">
        <v>74</v>
      </c>
      <c r="K2764" t="s">
        <v>75</v>
      </c>
      <c r="L2764" t="s">
        <v>75</v>
      </c>
      <c r="M2764" t="s">
        <v>75</v>
      </c>
      <c r="N2764" t="s">
        <v>75</v>
      </c>
      <c r="O2764" t="s">
        <v>73</v>
      </c>
      <c r="P2764" t="s">
        <v>75</v>
      </c>
    </row>
    <row r="2765" spans="1:16" hidden="1">
      <c r="A2765" t="s">
        <v>1491</v>
      </c>
      <c r="B2765" t="s">
        <v>39</v>
      </c>
      <c r="C2765" t="s">
        <v>40</v>
      </c>
      <c r="D2765" t="s">
        <v>112</v>
      </c>
      <c r="E2765" t="s">
        <v>1272</v>
      </c>
      <c r="F2765">
        <v>3</v>
      </c>
      <c r="G2765" s="10">
        <v>41219</v>
      </c>
      <c r="H2765">
        <v>45</v>
      </c>
      <c r="I2765">
        <v>2016</v>
      </c>
      <c r="J2765" t="s">
        <v>74</v>
      </c>
      <c r="K2765" t="s">
        <v>74</v>
      </c>
      <c r="L2765" t="s">
        <v>73</v>
      </c>
      <c r="M2765" t="s">
        <v>75</v>
      </c>
      <c r="N2765" t="s">
        <v>75</v>
      </c>
      <c r="O2765" t="s">
        <v>74</v>
      </c>
      <c r="P2765" t="s">
        <v>75</v>
      </c>
    </row>
    <row r="2766" spans="1:16" hidden="1">
      <c r="A2766" t="s">
        <v>1492</v>
      </c>
      <c r="B2766" t="s">
        <v>41</v>
      </c>
      <c r="C2766" t="s">
        <v>42</v>
      </c>
      <c r="D2766" t="s">
        <v>113</v>
      </c>
      <c r="E2766" t="s">
        <v>1271</v>
      </c>
      <c r="F2766">
        <v>6</v>
      </c>
      <c r="G2766" s="10">
        <v>41219</v>
      </c>
      <c r="H2766">
        <v>45</v>
      </c>
      <c r="I2766">
        <v>2016</v>
      </c>
      <c r="J2766" t="s">
        <v>77</v>
      </c>
      <c r="K2766" t="s">
        <v>73</v>
      </c>
      <c r="L2766" t="s">
        <v>74</v>
      </c>
      <c r="M2766" t="s">
        <v>74</v>
      </c>
      <c r="N2766" t="s">
        <v>75</v>
      </c>
      <c r="O2766" t="s">
        <v>75</v>
      </c>
      <c r="P2766" t="s">
        <v>74</v>
      </c>
    </row>
    <row r="2767" spans="1:16" hidden="1">
      <c r="A2767" t="s">
        <v>1493</v>
      </c>
      <c r="B2767" t="s">
        <v>43</v>
      </c>
      <c r="C2767" t="s">
        <v>44</v>
      </c>
      <c r="D2767" t="s">
        <v>114</v>
      </c>
      <c r="E2767" t="s">
        <v>1271</v>
      </c>
      <c r="F2767">
        <v>9</v>
      </c>
      <c r="G2767" s="10">
        <v>41219</v>
      </c>
      <c r="H2767">
        <v>45</v>
      </c>
      <c r="I2767">
        <v>2016</v>
      </c>
      <c r="J2767" t="s">
        <v>75</v>
      </c>
      <c r="K2767" t="s">
        <v>74</v>
      </c>
      <c r="L2767" t="s">
        <v>74</v>
      </c>
      <c r="M2767" t="s">
        <v>75</v>
      </c>
      <c r="N2767" t="s">
        <v>73</v>
      </c>
      <c r="O2767" t="s">
        <v>74</v>
      </c>
      <c r="P2767" t="s">
        <v>74</v>
      </c>
    </row>
    <row r="2768" spans="1:16" hidden="1">
      <c r="A2768" t="s">
        <v>1494</v>
      </c>
      <c r="B2768" t="s">
        <v>45</v>
      </c>
      <c r="C2768" t="s">
        <v>46</v>
      </c>
      <c r="D2768" t="s">
        <v>115</v>
      </c>
      <c r="E2768" t="s">
        <v>1271</v>
      </c>
      <c r="F2768">
        <v>5</v>
      </c>
      <c r="G2768" s="10">
        <v>41219</v>
      </c>
      <c r="H2768">
        <v>45</v>
      </c>
      <c r="I2768">
        <v>2016</v>
      </c>
      <c r="J2768" t="s">
        <v>76</v>
      </c>
      <c r="K2768" t="s">
        <v>77</v>
      </c>
      <c r="L2768" t="s">
        <v>73</v>
      </c>
      <c r="M2768" t="s">
        <v>74</v>
      </c>
      <c r="N2768" t="s">
        <v>75</v>
      </c>
      <c r="O2768" t="s">
        <v>75</v>
      </c>
      <c r="P2768" t="s">
        <v>76</v>
      </c>
    </row>
    <row r="2769" spans="1:16" hidden="1">
      <c r="A2769" t="s">
        <v>1495</v>
      </c>
      <c r="B2769" t="s">
        <v>47</v>
      </c>
      <c r="C2769" t="s">
        <v>48</v>
      </c>
      <c r="D2769" t="s">
        <v>116</v>
      </c>
      <c r="E2769" t="s">
        <v>1271</v>
      </c>
      <c r="F2769">
        <v>5</v>
      </c>
      <c r="G2769" s="10">
        <v>41219</v>
      </c>
      <c r="H2769">
        <v>45</v>
      </c>
      <c r="I2769">
        <v>2016</v>
      </c>
      <c r="J2769" t="s">
        <v>76</v>
      </c>
      <c r="K2769" t="s">
        <v>77</v>
      </c>
      <c r="L2769" t="s">
        <v>73</v>
      </c>
      <c r="M2769" t="s">
        <v>134</v>
      </c>
      <c r="N2769" t="s">
        <v>75</v>
      </c>
      <c r="O2769" t="s">
        <v>75</v>
      </c>
      <c r="P2769" t="s">
        <v>76</v>
      </c>
    </row>
    <row r="2770" spans="1:16" hidden="1">
      <c r="A2770" t="s">
        <v>1496</v>
      </c>
      <c r="B2770" t="s">
        <v>49</v>
      </c>
      <c r="C2770" t="s">
        <v>50</v>
      </c>
      <c r="D2770" t="s">
        <v>117</v>
      </c>
      <c r="E2770" t="s">
        <v>1271</v>
      </c>
      <c r="F2770">
        <v>4</v>
      </c>
      <c r="G2770" s="10">
        <v>41219</v>
      </c>
      <c r="H2770">
        <v>45</v>
      </c>
      <c r="I2770">
        <v>2016</v>
      </c>
      <c r="J2770" t="s">
        <v>74</v>
      </c>
      <c r="K2770" t="s">
        <v>75</v>
      </c>
      <c r="L2770" t="s">
        <v>74</v>
      </c>
      <c r="M2770" t="s">
        <v>73</v>
      </c>
      <c r="N2770" t="s">
        <v>74</v>
      </c>
      <c r="O2770" t="s">
        <v>74</v>
      </c>
      <c r="P2770" t="s">
        <v>75</v>
      </c>
    </row>
    <row r="2771" spans="1:16" hidden="1">
      <c r="A2771" t="s">
        <v>1497</v>
      </c>
      <c r="B2771" t="s">
        <v>51</v>
      </c>
      <c r="C2771" t="s">
        <v>52</v>
      </c>
      <c r="D2771" t="s">
        <v>118</v>
      </c>
      <c r="E2771" t="s">
        <v>1271</v>
      </c>
      <c r="F2771">
        <v>11</v>
      </c>
      <c r="G2771" s="10">
        <v>41219</v>
      </c>
      <c r="H2771">
        <v>45</v>
      </c>
      <c r="I2771">
        <v>2016</v>
      </c>
      <c r="J2771" t="s">
        <v>75</v>
      </c>
      <c r="K2771" t="s">
        <v>75</v>
      </c>
      <c r="L2771" t="s">
        <v>73</v>
      </c>
      <c r="M2771" t="s">
        <v>75</v>
      </c>
      <c r="N2771" t="s">
        <v>75</v>
      </c>
      <c r="O2771" t="s">
        <v>76</v>
      </c>
      <c r="P2771" t="s">
        <v>77</v>
      </c>
    </row>
    <row r="2772" spans="1:16" hidden="1">
      <c r="A2772" t="s">
        <v>1498</v>
      </c>
      <c r="B2772" t="s">
        <v>53</v>
      </c>
      <c r="C2772" t="s">
        <v>54</v>
      </c>
      <c r="D2772" t="s">
        <v>119</v>
      </c>
      <c r="E2772" t="s">
        <v>1272</v>
      </c>
      <c r="F2772">
        <v>2</v>
      </c>
      <c r="G2772" s="10">
        <v>41219</v>
      </c>
      <c r="H2772">
        <v>45</v>
      </c>
      <c r="I2772">
        <v>2016</v>
      </c>
      <c r="J2772" t="s">
        <v>74</v>
      </c>
      <c r="K2772" t="s">
        <v>75</v>
      </c>
      <c r="L2772" t="s">
        <v>74</v>
      </c>
      <c r="M2772" t="s">
        <v>73</v>
      </c>
      <c r="N2772" t="s">
        <v>134</v>
      </c>
      <c r="O2772" t="s">
        <v>75</v>
      </c>
      <c r="P2772" t="s">
        <v>74</v>
      </c>
    </row>
    <row r="2773" spans="1:16" hidden="1">
      <c r="A2773" t="s">
        <v>1499</v>
      </c>
      <c r="B2773" t="s">
        <v>1289</v>
      </c>
      <c r="C2773" t="s">
        <v>132</v>
      </c>
      <c r="D2773" t="s">
        <v>1292</v>
      </c>
      <c r="E2773" t="s">
        <v>1272</v>
      </c>
      <c r="F2773">
        <v>4</v>
      </c>
      <c r="G2773" s="10">
        <v>41219</v>
      </c>
      <c r="H2773">
        <v>45</v>
      </c>
      <c r="I2773">
        <v>2016</v>
      </c>
      <c r="J2773" t="s">
        <v>75</v>
      </c>
      <c r="K2773" t="s">
        <v>73</v>
      </c>
      <c r="L2773" t="s">
        <v>74</v>
      </c>
      <c r="M2773" t="s">
        <v>75</v>
      </c>
      <c r="N2773" t="s">
        <v>74</v>
      </c>
      <c r="O2773" t="s">
        <v>75</v>
      </c>
      <c r="P2773" t="s">
        <v>75</v>
      </c>
    </row>
    <row r="2774" spans="1:16" hidden="1">
      <c r="A2774" t="s">
        <v>1500</v>
      </c>
      <c r="B2774" t="s">
        <v>1290</v>
      </c>
      <c r="C2774" t="s">
        <v>132</v>
      </c>
      <c r="D2774" t="s">
        <v>1294</v>
      </c>
      <c r="E2774" t="s">
        <v>1272</v>
      </c>
      <c r="F2774">
        <v>1</v>
      </c>
      <c r="G2774" s="10">
        <v>41219</v>
      </c>
      <c r="H2774">
        <v>45</v>
      </c>
      <c r="I2774">
        <v>2016</v>
      </c>
      <c r="J2774" t="s">
        <v>75</v>
      </c>
      <c r="K2774" t="s">
        <v>74</v>
      </c>
      <c r="L2774" t="s">
        <v>75</v>
      </c>
      <c r="M2774" t="s">
        <v>75</v>
      </c>
      <c r="N2774" t="s">
        <v>73</v>
      </c>
      <c r="O2774" t="s">
        <v>74</v>
      </c>
      <c r="P2774" t="s">
        <v>92</v>
      </c>
    </row>
    <row r="2775" spans="1:16" hidden="1">
      <c r="A2775" t="s">
        <v>1501</v>
      </c>
      <c r="B2775" t="s">
        <v>1291</v>
      </c>
      <c r="C2775" t="s">
        <v>132</v>
      </c>
      <c r="D2775" t="s">
        <v>1295</v>
      </c>
      <c r="E2775" t="s">
        <v>1272</v>
      </c>
      <c r="F2775">
        <v>5</v>
      </c>
      <c r="G2775" s="10">
        <v>41219</v>
      </c>
      <c r="H2775">
        <v>45</v>
      </c>
      <c r="I2775">
        <v>2016</v>
      </c>
      <c r="J2775" t="s">
        <v>73</v>
      </c>
      <c r="K2775" t="s">
        <v>75</v>
      </c>
      <c r="L2775" t="s">
        <v>75</v>
      </c>
      <c r="M2775" t="s">
        <v>74</v>
      </c>
      <c r="N2775" t="s">
        <v>75</v>
      </c>
      <c r="O2775" t="s">
        <v>75</v>
      </c>
      <c r="P2775" t="s">
        <v>73</v>
      </c>
    </row>
    <row r="2776" spans="1:16" hidden="1">
      <c r="A2776" t="s">
        <v>1502</v>
      </c>
      <c r="B2776" t="s">
        <v>1296</v>
      </c>
      <c r="C2776" t="s">
        <v>1297</v>
      </c>
      <c r="D2776" t="s">
        <v>1293</v>
      </c>
      <c r="E2776" t="s">
        <v>1272</v>
      </c>
      <c r="F2776">
        <v>6</v>
      </c>
      <c r="G2776" s="10">
        <v>41219</v>
      </c>
      <c r="H2776">
        <v>45</v>
      </c>
      <c r="I2776">
        <v>2016</v>
      </c>
      <c r="J2776" t="s">
        <v>75</v>
      </c>
      <c r="K2776" t="s">
        <v>74</v>
      </c>
      <c r="L2776" t="s">
        <v>75</v>
      </c>
      <c r="M2776" t="s">
        <v>74</v>
      </c>
      <c r="N2776" t="s">
        <v>75</v>
      </c>
      <c r="O2776" t="s">
        <v>73</v>
      </c>
      <c r="P2776" t="s">
        <v>75</v>
      </c>
    </row>
    <row r="2777" spans="1:16" hidden="1">
      <c r="A2777" t="s">
        <v>1503</v>
      </c>
      <c r="B2777" t="s">
        <v>3</v>
      </c>
      <c r="C2777" t="s">
        <v>4</v>
      </c>
      <c r="D2777" t="s">
        <v>90</v>
      </c>
      <c r="E2777" t="s">
        <v>1271</v>
      </c>
      <c r="F2777">
        <v>7</v>
      </c>
      <c r="G2777" s="10">
        <v>41226</v>
      </c>
      <c r="H2777">
        <v>46</v>
      </c>
      <c r="I2777">
        <v>2016</v>
      </c>
      <c r="J2777" t="s">
        <v>73</v>
      </c>
      <c r="K2777" t="s">
        <v>74</v>
      </c>
      <c r="L2777" t="s">
        <v>74</v>
      </c>
      <c r="M2777" t="s">
        <v>74</v>
      </c>
      <c r="N2777" t="s">
        <v>74</v>
      </c>
      <c r="O2777" t="s">
        <v>75</v>
      </c>
      <c r="P2777" t="s">
        <v>73</v>
      </c>
    </row>
    <row r="2778" spans="1:16" hidden="1">
      <c r="A2778" t="s">
        <v>1504</v>
      </c>
      <c r="B2778" t="s">
        <v>5</v>
      </c>
      <c r="C2778" t="s">
        <v>6</v>
      </c>
      <c r="D2778" t="s">
        <v>93</v>
      </c>
      <c r="E2778" t="s">
        <v>1271</v>
      </c>
      <c r="F2778">
        <v>8</v>
      </c>
      <c r="G2778" s="10">
        <v>41226</v>
      </c>
      <c r="H2778">
        <v>46</v>
      </c>
      <c r="I2778">
        <v>2016</v>
      </c>
      <c r="J2778" t="s">
        <v>75</v>
      </c>
      <c r="K2778" t="s">
        <v>75</v>
      </c>
      <c r="L2778" t="s">
        <v>75</v>
      </c>
      <c r="M2778" t="s">
        <v>76</v>
      </c>
      <c r="N2778" t="s">
        <v>77</v>
      </c>
      <c r="O2778" t="s">
        <v>73</v>
      </c>
      <c r="P2778" t="s">
        <v>74</v>
      </c>
    </row>
    <row r="2779" spans="1:16" hidden="1">
      <c r="A2779" t="s">
        <v>1505</v>
      </c>
      <c r="B2779" t="s">
        <v>7</v>
      </c>
      <c r="C2779" t="s">
        <v>8</v>
      </c>
      <c r="D2779" t="s">
        <v>94</v>
      </c>
      <c r="E2779" t="s">
        <v>1271</v>
      </c>
      <c r="F2779">
        <v>2</v>
      </c>
      <c r="G2779" s="10">
        <v>41226</v>
      </c>
      <c r="H2779">
        <v>46</v>
      </c>
      <c r="I2779">
        <v>2016</v>
      </c>
      <c r="J2779" t="s">
        <v>75</v>
      </c>
      <c r="K2779" t="s">
        <v>75</v>
      </c>
      <c r="L2779" t="s">
        <v>75</v>
      </c>
      <c r="M2779" t="s">
        <v>75</v>
      </c>
      <c r="N2779" t="s">
        <v>75</v>
      </c>
      <c r="O2779" t="s">
        <v>73</v>
      </c>
      <c r="P2779" t="s">
        <v>75</v>
      </c>
    </row>
    <row r="2780" spans="1:16" hidden="1">
      <c r="A2780" t="s">
        <v>1506</v>
      </c>
      <c r="B2780" t="s">
        <v>9</v>
      </c>
      <c r="C2780" t="s">
        <v>10</v>
      </c>
      <c r="D2780" t="s">
        <v>96</v>
      </c>
      <c r="E2780" t="s">
        <v>1271</v>
      </c>
      <c r="F2780">
        <v>3</v>
      </c>
      <c r="G2780" s="10">
        <v>41226</v>
      </c>
      <c r="H2780">
        <v>46</v>
      </c>
      <c r="I2780">
        <v>2016</v>
      </c>
      <c r="J2780" t="s">
        <v>74</v>
      </c>
      <c r="K2780" t="s">
        <v>75</v>
      </c>
      <c r="L2780" t="s">
        <v>76</v>
      </c>
      <c r="M2780" t="s">
        <v>77</v>
      </c>
      <c r="N2780" t="s">
        <v>73</v>
      </c>
      <c r="O2780" t="s">
        <v>74</v>
      </c>
      <c r="P2780" t="s">
        <v>75</v>
      </c>
    </row>
    <row r="2781" spans="1:16" hidden="1">
      <c r="A2781" t="s">
        <v>1507</v>
      </c>
      <c r="B2781" t="s">
        <v>11</v>
      </c>
      <c r="C2781" t="s">
        <v>12</v>
      </c>
      <c r="D2781" t="s">
        <v>97</v>
      </c>
      <c r="E2781" t="s">
        <v>1271</v>
      </c>
      <c r="F2781">
        <v>4</v>
      </c>
      <c r="G2781" s="10">
        <v>41226</v>
      </c>
      <c r="H2781">
        <v>46</v>
      </c>
      <c r="I2781">
        <v>2016</v>
      </c>
      <c r="J2781" t="s">
        <v>74</v>
      </c>
      <c r="K2781" t="s">
        <v>75</v>
      </c>
      <c r="L2781" t="s">
        <v>74</v>
      </c>
      <c r="M2781" t="s">
        <v>73</v>
      </c>
      <c r="N2781" t="s">
        <v>74</v>
      </c>
      <c r="O2781" t="s">
        <v>74</v>
      </c>
      <c r="P2781" t="s">
        <v>75</v>
      </c>
    </row>
    <row r="2782" spans="1:16" hidden="1">
      <c r="A2782" t="s">
        <v>1508</v>
      </c>
      <c r="B2782" t="s">
        <v>13</v>
      </c>
      <c r="C2782" t="s">
        <v>14</v>
      </c>
      <c r="D2782" t="s">
        <v>120</v>
      </c>
      <c r="E2782" t="s">
        <v>1320</v>
      </c>
      <c r="F2782">
        <v>1</v>
      </c>
      <c r="G2782" s="10">
        <v>41226</v>
      </c>
      <c r="H2782">
        <v>46</v>
      </c>
      <c r="I2782">
        <v>2016</v>
      </c>
      <c r="J2782" t="s">
        <v>126</v>
      </c>
      <c r="K2782" t="s">
        <v>126</v>
      </c>
      <c r="L2782" t="s">
        <v>126</v>
      </c>
      <c r="M2782" t="s">
        <v>126</v>
      </c>
      <c r="N2782" t="s">
        <v>126</v>
      </c>
      <c r="O2782" t="s">
        <v>126</v>
      </c>
      <c r="P2782" t="s">
        <v>126</v>
      </c>
    </row>
    <row r="2783" spans="1:16" hidden="1">
      <c r="A2783" t="s">
        <v>1509</v>
      </c>
      <c r="B2783" t="s">
        <v>13</v>
      </c>
      <c r="C2783" t="s">
        <v>15</v>
      </c>
      <c r="D2783" t="s">
        <v>98</v>
      </c>
      <c r="E2783" t="s">
        <v>1272</v>
      </c>
      <c r="F2783">
        <v>5</v>
      </c>
      <c r="G2783" s="10">
        <v>41226</v>
      </c>
      <c r="H2783">
        <v>46</v>
      </c>
      <c r="I2783">
        <v>2016</v>
      </c>
      <c r="J2783" t="s">
        <v>73</v>
      </c>
      <c r="K2783" t="s">
        <v>75</v>
      </c>
      <c r="L2783" t="s">
        <v>75</v>
      </c>
      <c r="M2783" t="s">
        <v>74</v>
      </c>
      <c r="N2783" t="s">
        <v>75</v>
      </c>
      <c r="O2783" t="s">
        <v>75</v>
      </c>
      <c r="P2783" t="s">
        <v>73</v>
      </c>
    </row>
    <row r="2784" spans="1:16" hidden="1">
      <c r="A2784" t="s">
        <v>1510</v>
      </c>
      <c r="B2784" t="s">
        <v>16</v>
      </c>
      <c r="C2784" t="s">
        <v>17</v>
      </c>
      <c r="D2784" t="s">
        <v>99</v>
      </c>
      <c r="E2784" t="s">
        <v>1271</v>
      </c>
      <c r="F2784">
        <v>9</v>
      </c>
      <c r="G2784" s="10">
        <v>41226</v>
      </c>
      <c r="H2784">
        <v>46</v>
      </c>
      <c r="I2784">
        <v>2016</v>
      </c>
      <c r="J2784" t="s">
        <v>75</v>
      </c>
      <c r="K2784" t="s">
        <v>74</v>
      </c>
      <c r="L2784" t="s">
        <v>74</v>
      </c>
      <c r="M2784" t="s">
        <v>75</v>
      </c>
      <c r="N2784" t="s">
        <v>73</v>
      </c>
      <c r="O2784" t="s">
        <v>74</v>
      </c>
      <c r="P2784" t="s">
        <v>75</v>
      </c>
    </row>
    <row r="2785" spans="1:16" hidden="1">
      <c r="A2785" t="s">
        <v>1511</v>
      </c>
      <c r="B2785" t="s">
        <v>18</v>
      </c>
      <c r="C2785" t="s">
        <v>19</v>
      </c>
      <c r="D2785" t="s">
        <v>100</v>
      </c>
      <c r="E2785" t="s">
        <v>1271</v>
      </c>
      <c r="F2785">
        <v>11</v>
      </c>
      <c r="G2785" s="10">
        <v>41226</v>
      </c>
      <c r="H2785">
        <v>46</v>
      </c>
      <c r="I2785">
        <v>2016</v>
      </c>
      <c r="J2785" t="s">
        <v>75</v>
      </c>
      <c r="K2785" t="s">
        <v>75</v>
      </c>
      <c r="L2785" t="s">
        <v>73</v>
      </c>
      <c r="M2785" t="s">
        <v>75</v>
      </c>
      <c r="N2785" t="s">
        <v>75</v>
      </c>
      <c r="O2785" t="s">
        <v>76</v>
      </c>
      <c r="P2785" t="s">
        <v>77</v>
      </c>
    </row>
    <row r="2786" spans="1:16" hidden="1">
      <c r="A2786" t="s">
        <v>1512</v>
      </c>
      <c r="B2786" t="s">
        <v>20</v>
      </c>
      <c r="C2786" t="s">
        <v>21</v>
      </c>
      <c r="D2786" t="s">
        <v>101</v>
      </c>
      <c r="E2786" t="s">
        <v>1271</v>
      </c>
      <c r="F2786">
        <v>10</v>
      </c>
      <c r="G2786" s="10">
        <v>41226</v>
      </c>
      <c r="H2786">
        <v>46</v>
      </c>
      <c r="I2786">
        <v>2016</v>
      </c>
      <c r="J2786" t="s">
        <v>75</v>
      </c>
      <c r="K2786" t="s">
        <v>76</v>
      </c>
      <c r="L2786" t="s">
        <v>77</v>
      </c>
      <c r="M2786" t="s">
        <v>73</v>
      </c>
      <c r="N2786" t="s">
        <v>74</v>
      </c>
      <c r="O2786" t="s">
        <v>75</v>
      </c>
      <c r="P2786" t="s">
        <v>75</v>
      </c>
    </row>
    <row r="2787" spans="1:16" hidden="1">
      <c r="A2787" t="s">
        <v>1513</v>
      </c>
      <c r="B2787" t="s">
        <v>22</v>
      </c>
      <c r="C2787" t="s">
        <v>17</v>
      </c>
      <c r="D2787" t="s">
        <v>102</v>
      </c>
      <c r="E2787" t="s">
        <v>1272</v>
      </c>
      <c r="F2787">
        <v>2</v>
      </c>
      <c r="G2787" s="10">
        <v>41226</v>
      </c>
      <c r="H2787">
        <v>46</v>
      </c>
      <c r="I2787">
        <v>2016</v>
      </c>
      <c r="J2787" t="s">
        <v>74</v>
      </c>
      <c r="K2787" t="s">
        <v>76</v>
      </c>
      <c r="L2787" t="s">
        <v>77</v>
      </c>
      <c r="M2787" t="s">
        <v>73</v>
      </c>
      <c r="N2787" t="s">
        <v>74</v>
      </c>
      <c r="O2787" t="s">
        <v>75</v>
      </c>
      <c r="P2787" t="s">
        <v>74</v>
      </c>
    </row>
    <row r="2788" spans="1:16" hidden="1">
      <c r="A2788" t="s">
        <v>1514</v>
      </c>
      <c r="B2788" t="s">
        <v>23</v>
      </c>
      <c r="C2788" t="s">
        <v>24</v>
      </c>
      <c r="D2788" t="s">
        <v>103</v>
      </c>
      <c r="E2788" t="s">
        <v>1272</v>
      </c>
      <c r="F2788">
        <v>3</v>
      </c>
      <c r="G2788" s="10">
        <v>41226</v>
      </c>
      <c r="H2788">
        <v>46</v>
      </c>
      <c r="I2788">
        <v>2016</v>
      </c>
      <c r="J2788" t="s">
        <v>74</v>
      </c>
      <c r="K2788" t="s">
        <v>74</v>
      </c>
      <c r="L2788" t="s">
        <v>73</v>
      </c>
      <c r="M2788" t="s">
        <v>75</v>
      </c>
      <c r="N2788" t="s">
        <v>75</v>
      </c>
      <c r="O2788" t="s">
        <v>74</v>
      </c>
      <c r="P2788" t="s">
        <v>75</v>
      </c>
    </row>
    <row r="2789" spans="1:16" hidden="1">
      <c r="A2789" t="s">
        <v>1515</v>
      </c>
      <c r="B2789" t="s">
        <v>23</v>
      </c>
      <c r="C2789" t="s">
        <v>55</v>
      </c>
      <c r="D2789" t="s">
        <v>127</v>
      </c>
      <c r="E2789" t="s">
        <v>1271</v>
      </c>
      <c r="F2789">
        <v>9</v>
      </c>
      <c r="G2789" s="10">
        <v>41226</v>
      </c>
      <c r="H2789">
        <v>46</v>
      </c>
      <c r="I2789">
        <v>2016</v>
      </c>
      <c r="J2789" t="s">
        <v>75</v>
      </c>
      <c r="K2789" t="s">
        <v>74</v>
      </c>
      <c r="L2789" t="s">
        <v>74</v>
      </c>
      <c r="M2789" t="s">
        <v>75</v>
      </c>
      <c r="N2789" t="s">
        <v>73</v>
      </c>
      <c r="O2789" t="s">
        <v>74</v>
      </c>
      <c r="P2789" t="s">
        <v>74</v>
      </c>
    </row>
    <row r="2790" spans="1:16" hidden="1">
      <c r="A2790" t="s">
        <v>1516</v>
      </c>
      <c r="B2790" t="s">
        <v>25</v>
      </c>
      <c r="C2790" t="s">
        <v>132</v>
      </c>
      <c r="D2790" t="s">
        <v>104</v>
      </c>
      <c r="E2790" t="s">
        <v>1271</v>
      </c>
      <c r="F2790">
        <v>1</v>
      </c>
      <c r="G2790" s="10">
        <v>41226</v>
      </c>
      <c r="H2790">
        <v>46</v>
      </c>
      <c r="I2790">
        <v>2016</v>
      </c>
      <c r="J2790" t="s">
        <v>73</v>
      </c>
      <c r="K2790" t="s">
        <v>74</v>
      </c>
      <c r="L2790" t="s">
        <v>75</v>
      </c>
      <c r="M2790" t="s">
        <v>75</v>
      </c>
      <c r="N2790" t="s">
        <v>76</v>
      </c>
      <c r="O2790" t="s">
        <v>77</v>
      </c>
      <c r="P2790" t="s">
        <v>73</v>
      </c>
    </row>
    <row r="2791" spans="1:16" hidden="1">
      <c r="A2791" t="s">
        <v>1517</v>
      </c>
      <c r="B2791" t="s">
        <v>56</v>
      </c>
      <c r="C2791" t="s">
        <v>57</v>
      </c>
      <c r="D2791" t="s">
        <v>129</v>
      </c>
      <c r="E2791" t="s">
        <v>1271</v>
      </c>
      <c r="F2791">
        <v>4</v>
      </c>
      <c r="G2791" s="10">
        <v>41226</v>
      </c>
      <c r="H2791">
        <v>46</v>
      </c>
      <c r="I2791">
        <v>2016</v>
      </c>
      <c r="J2791" t="s">
        <v>74</v>
      </c>
      <c r="K2791" t="s">
        <v>75</v>
      </c>
      <c r="L2791" t="s">
        <v>74</v>
      </c>
      <c r="M2791" t="s">
        <v>73</v>
      </c>
      <c r="N2791" t="s">
        <v>74</v>
      </c>
      <c r="O2791" t="s">
        <v>74</v>
      </c>
      <c r="P2791" t="s">
        <v>75</v>
      </c>
    </row>
    <row r="2792" spans="1:16" hidden="1">
      <c r="A2792" t="s">
        <v>1518</v>
      </c>
      <c r="B2792" t="s">
        <v>26</v>
      </c>
      <c r="C2792" t="s">
        <v>27</v>
      </c>
      <c r="D2792" t="s">
        <v>105</v>
      </c>
      <c r="E2792" t="s">
        <v>1271</v>
      </c>
      <c r="F2792">
        <v>5</v>
      </c>
      <c r="G2792" s="10">
        <v>41226</v>
      </c>
      <c r="H2792">
        <v>46</v>
      </c>
      <c r="I2792">
        <v>2016</v>
      </c>
      <c r="J2792" t="s">
        <v>76</v>
      </c>
      <c r="K2792" t="s">
        <v>77</v>
      </c>
      <c r="L2792" t="s">
        <v>73</v>
      </c>
      <c r="M2792" t="s">
        <v>74</v>
      </c>
      <c r="N2792" t="s">
        <v>75</v>
      </c>
      <c r="O2792" t="s">
        <v>75</v>
      </c>
      <c r="P2792" t="s">
        <v>76</v>
      </c>
    </row>
    <row r="2793" spans="1:16" hidden="1">
      <c r="A2793" t="s">
        <v>1519</v>
      </c>
      <c r="B2793" t="s">
        <v>28</v>
      </c>
      <c r="C2793" t="s">
        <v>29</v>
      </c>
      <c r="D2793" t="s">
        <v>106</v>
      </c>
      <c r="E2793" t="s">
        <v>1271</v>
      </c>
      <c r="F2793">
        <v>11</v>
      </c>
      <c r="G2793" s="10">
        <v>41226</v>
      </c>
      <c r="H2793">
        <v>46</v>
      </c>
      <c r="I2793">
        <v>2016</v>
      </c>
      <c r="J2793" t="s">
        <v>75</v>
      </c>
      <c r="K2793" t="s">
        <v>75</v>
      </c>
      <c r="L2793" t="s">
        <v>73</v>
      </c>
      <c r="M2793" t="s">
        <v>75</v>
      </c>
      <c r="N2793" t="s">
        <v>75</v>
      </c>
      <c r="O2793" t="s">
        <v>76</v>
      </c>
      <c r="P2793" t="s">
        <v>77</v>
      </c>
    </row>
    <row r="2794" spans="1:16">
      <c r="A2794" t="s">
        <v>1520</v>
      </c>
      <c r="B2794" t="s">
        <v>30</v>
      </c>
      <c r="C2794" t="s">
        <v>8</v>
      </c>
      <c r="D2794" t="s">
        <v>107</v>
      </c>
      <c r="E2794" t="s">
        <v>1272</v>
      </c>
      <c r="F2794">
        <v>5</v>
      </c>
      <c r="G2794" s="10">
        <v>41226</v>
      </c>
      <c r="H2794">
        <v>46</v>
      </c>
      <c r="I2794">
        <v>2016</v>
      </c>
      <c r="J2794" t="s">
        <v>73</v>
      </c>
      <c r="K2794" t="s">
        <v>75</v>
      </c>
      <c r="L2794" t="s">
        <v>75</v>
      </c>
      <c r="M2794" t="s">
        <v>75</v>
      </c>
      <c r="N2794" t="s">
        <v>75</v>
      </c>
      <c r="O2794" t="s">
        <v>1298</v>
      </c>
      <c r="P2794" t="s">
        <v>73</v>
      </c>
    </row>
    <row r="2795" spans="1:16">
      <c r="A2795" t="s">
        <v>1521</v>
      </c>
      <c r="B2795" t="s">
        <v>30</v>
      </c>
      <c r="C2795" t="s">
        <v>31</v>
      </c>
      <c r="D2795" t="s">
        <v>108</v>
      </c>
      <c r="E2795" t="s">
        <v>1271</v>
      </c>
      <c r="F2795">
        <v>8</v>
      </c>
      <c r="G2795" s="10">
        <v>41226</v>
      </c>
      <c r="H2795">
        <v>46</v>
      </c>
      <c r="I2795">
        <v>2016</v>
      </c>
      <c r="J2795" t="s">
        <v>75</v>
      </c>
      <c r="K2795" t="s">
        <v>75</v>
      </c>
      <c r="L2795" t="s">
        <v>75</v>
      </c>
      <c r="M2795" t="s">
        <v>76</v>
      </c>
      <c r="N2795" t="s">
        <v>77</v>
      </c>
      <c r="O2795" t="s">
        <v>73</v>
      </c>
      <c r="P2795" t="s">
        <v>74</v>
      </c>
    </row>
    <row r="2796" spans="1:16" hidden="1">
      <c r="A2796" t="s">
        <v>1522</v>
      </c>
      <c r="B2796" t="s">
        <v>32</v>
      </c>
      <c r="C2796" t="s">
        <v>33</v>
      </c>
      <c r="D2796" t="s">
        <v>109</v>
      </c>
      <c r="E2796" t="s">
        <v>1272</v>
      </c>
      <c r="F2796">
        <v>1</v>
      </c>
      <c r="G2796" s="10">
        <v>41226</v>
      </c>
      <c r="H2796">
        <v>46</v>
      </c>
      <c r="I2796">
        <v>2016</v>
      </c>
      <c r="J2796" t="s">
        <v>75</v>
      </c>
      <c r="K2796" t="s">
        <v>75</v>
      </c>
      <c r="L2796" t="s">
        <v>76</v>
      </c>
      <c r="M2796" t="s">
        <v>77</v>
      </c>
      <c r="N2796" t="s">
        <v>73</v>
      </c>
      <c r="O2796" t="s">
        <v>74</v>
      </c>
      <c r="P2796" t="s">
        <v>74</v>
      </c>
    </row>
    <row r="2797" spans="1:16" hidden="1">
      <c r="A2797" t="s">
        <v>1523</v>
      </c>
      <c r="B2797" t="s">
        <v>32</v>
      </c>
      <c r="C2797" t="s">
        <v>34</v>
      </c>
      <c r="D2797" t="s">
        <v>122</v>
      </c>
      <c r="E2797" t="s">
        <v>1320</v>
      </c>
      <c r="F2797">
        <v>1</v>
      </c>
      <c r="G2797" s="10">
        <v>41226</v>
      </c>
      <c r="H2797">
        <v>46</v>
      </c>
      <c r="I2797">
        <v>2016</v>
      </c>
      <c r="J2797" t="s">
        <v>126</v>
      </c>
      <c r="K2797" t="s">
        <v>126</v>
      </c>
      <c r="L2797" t="s">
        <v>126</v>
      </c>
      <c r="M2797" t="s">
        <v>126</v>
      </c>
      <c r="N2797" t="s">
        <v>126</v>
      </c>
      <c r="O2797" t="s">
        <v>126</v>
      </c>
      <c r="P2797" t="s">
        <v>126</v>
      </c>
    </row>
    <row r="2798" spans="1:16" hidden="1">
      <c r="A2798" t="s">
        <v>1524</v>
      </c>
      <c r="B2798" t="s">
        <v>35</v>
      </c>
      <c r="C2798" t="s">
        <v>36</v>
      </c>
      <c r="D2798" t="s">
        <v>110</v>
      </c>
      <c r="E2798" t="s">
        <v>1271</v>
      </c>
      <c r="F2798">
        <v>2</v>
      </c>
      <c r="G2798" s="10">
        <v>41226</v>
      </c>
      <c r="H2798">
        <v>46</v>
      </c>
      <c r="I2798">
        <v>2016</v>
      </c>
      <c r="J2798" t="s">
        <v>74</v>
      </c>
      <c r="K2798" t="s">
        <v>75</v>
      </c>
      <c r="L2798" t="s">
        <v>75</v>
      </c>
      <c r="M2798" t="s">
        <v>75</v>
      </c>
      <c r="N2798" t="s">
        <v>75</v>
      </c>
      <c r="O2798" t="s">
        <v>73</v>
      </c>
      <c r="P2798" t="s">
        <v>75</v>
      </c>
    </row>
    <row r="2799" spans="1:16" hidden="1">
      <c r="A2799" t="s">
        <v>1525</v>
      </c>
      <c r="B2799" t="s">
        <v>58</v>
      </c>
      <c r="C2799" t="s">
        <v>59</v>
      </c>
      <c r="D2799" t="s">
        <v>130</v>
      </c>
      <c r="E2799" t="s">
        <v>1272</v>
      </c>
      <c r="F2799">
        <v>5</v>
      </c>
      <c r="G2799" s="10">
        <v>41226</v>
      </c>
      <c r="H2799">
        <v>46</v>
      </c>
      <c r="I2799">
        <v>2016</v>
      </c>
      <c r="J2799" t="s">
        <v>73</v>
      </c>
      <c r="K2799" t="s">
        <v>75</v>
      </c>
      <c r="L2799" t="s">
        <v>75</v>
      </c>
      <c r="M2799" t="s">
        <v>75</v>
      </c>
      <c r="N2799" t="s">
        <v>75</v>
      </c>
      <c r="O2799" t="s">
        <v>75</v>
      </c>
      <c r="P2799" t="s">
        <v>73</v>
      </c>
    </row>
    <row r="2800" spans="1:16" hidden="1">
      <c r="A2800" t="s">
        <v>1526</v>
      </c>
      <c r="B2800" t="s">
        <v>37</v>
      </c>
      <c r="C2800" t="s">
        <v>38</v>
      </c>
      <c r="D2800" t="s">
        <v>111</v>
      </c>
      <c r="E2800" t="s">
        <v>1271</v>
      </c>
      <c r="F2800">
        <v>3</v>
      </c>
      <c r="G2800" s="10">
        <v>41226</v>
      </c>
      <c r="H2800">
        <v>46</v>
      </c>
      <c r="I2800">
        <v>2016</v>
      </c>
      <c r="J2800" t="s">
        <v>74</v>
      </c>
      <c r="K2800" t="s">
        <v>75</v>
      </c>
      <c r="L2800" t="s">
        <v>92</v>
      </c>
      <c r="M2800" t="s">
        <v>92</v>
      </c>
      <c r="N2800" t="s">
        <v>73</v>
      </c>
      <c r="O2800" t="s">
        <v>92</v>
      </c>
      <c r="P2800" t="s">
        <v>92</v>
      </c>
    </row>
    <row r="2801" spans="1:16" hidden="1">
      <c r="A2801" t="s">
        <v>1527</v>
      </c>
      <c r="B2801" t="s">
        <v>39</v>
      </c>
      <c r="C2801" t="s">
        <v>40</v>
      </c>
      <c r="D2801" t="s">
        <v>112</v>
      </c>
      <c r="E2801" t="s">
        <v>1272</v>
      </c>
      <c r="F2801">
        <v>4</v>
      </c>
      <c r="G2801" s="10">
        <v>41226</v>
      </c>
      <c r="H2801">
        <v>46</v>
      </c>
      <c r="I2801">
        <v>2016</v>
      </c>
      <c r="J2801" t="s">
        <v>75</v>
      </c>
      <c r="K2801" t="s">
        <v>73</v>
      </c>
      <c r="L2801" t="s">
        <v>74</v>
      </c>
      <c r="M2801" t="s">
        <v>75</v>
      </c>
      <c r="N2801" t="s">
        <v>74</v>
      </c>
      <c r="O2801" t="s">
        <v>75</v>
      </c>
      <c r="P2801" t="s">
        <v>75</v>
      </c>
    </row>
    <row r="2802" spans="1:16" hidden="1">
      <c r="A2802" t="s">
        <v>1528</v>
      </c>
      <c r="B2802" t="s">
        <v>41</v>
      </c>
      <c r="C2802" t="s">
        <v>42</v>
      </c>
      <c r="D2802" t="s">
        <v>113</v>
      </c>
      <c r="E2802" t="s">
        <v>1271</v>
      </c>
      <c r="F2802">
        <v>7</v>
      </c>
      <c r="G2802" s="10">
        <v>41226</v>
      </c>
      <c r="H2802">
        <v>46</v>
      </c>
      <c r="I2802">
        <v>2016</v>
      </c>
      <c r="J2802" t="s">
        <v>73</v>
      </c>
      <c r="K2802" t="s">
        <v>75</v>
      </c>
      <c r="L2802" t="s">
        <v>75</v>
      </c>
      <c r="M2802" t="s">
        <v>74</v>
      </c>
      <c r="N2802" t="s">
        <v>74</v>
      </c>
      <c r="O2802" t="s">
        <v>75</v>
      </c>
      <c r="P2802" t="s">
        <v>73</v>
      </c>
    </row>
    <row r="2803" spans="1:16" hidden="1">
      <c r="A2803" t="s">
        <v>1529</v>
      </c>
      <c r="B2803" t="s">
        <v>43</v>
      </c>
      <c r="C2803" t="s">
        <v>44</v>
      </c>
      <c r="D2803" t="s">
        <v>114</v>
      </c>
      <c r="E2803" t="s">
        <v>1271</v>
      </c>
      <c r="F2803">
        <v>10</v>
      </c>
      <c r="G2803" s="10">
        <v>41226</v>
      </c>
      <c r="H2803">
        <v>46</v>
      </c>
      <c r="I2803">
        <v>2016</v>
      </c>
      <c r="J2803" t="s">
        <v>75</v>
      </c>
      <c r="K2803" t="s">
        <v>75</v>
      </c>
      <c r="L2803" t="s">
        <v>74</v>
      </c>
      <c r="M2803" t="s">
        <v>73</v>
      </c>
      <c r="N2803" t="s">
        <v>74</v>
      </c>
      <c r="O2803" t="s">
        <v>75</v>
      </c>
      <c r="P2803" t="s">
        <v>75</v>
      </c>
    </row>
    <row r="2804" spans="1:16" hidden="1">
      <c r="A2804" t="s">
        <v>1530</v>
      </c>
      <c r="B2804" t="s">
        <v>45</v>
      </c>
      <c r="C2804" t="s">
        <v>46</v>
      </c>
      <c r="D2804" t="s">
        <v>115</v>
      </c>
      <c r="E2804" t="s">
        <v>1271</v>
      </c>
      <c r="F2804">
        <v>6</v>
      </c>
      <c r="G2804" s="10">
        <v>41226</v>
      </c>
      <c r="H2804">
        <v>46</v>
      </c>
      <c r="I2804">
        <v>2016</v>
      </c>
      <c r="J2804" t="s">
        <v>77</v>
      </c>
      <c r="K2804" t="s">
        <v>73</v>
      </c>
      <c r="L2804" t="s">
        <v>74</v>
      </c>
      <c r="M2804" t="s">
        <v>74</v>
      </c>
      <c r="N2804" t="s">
        <v>75</v>
      </c>
      <c r="O2804" t="s">
        <v>75</v>
      </c>
      <c r="P2804" t="s">
        <v>74</v>
      </c>
    </row>
    <row r="2805" spans="1:16" hidden="1">
      <c r="A2805" t="s">
        <v>1531</v>
      </c>
      <c r="B2805" t="s">
        <v>47</v>
      </c>
      <c r="C2805" t="s">
        <v>48</v>
      </c>
      <c r="D2805" t="s">
        <v>116</v>
      </c>
      <c r="E2805" t="s">
        <v>1271</v>
      </c>
      <c r="F2805">
        <v>6</v>
      </c>
      <c r="G2805" s="10">
        <v>41226</v>
      </c>
      <c r="H2805">
        <v>46</v>
      </c>
      <c r="I2805">
        <v>2016</v>
      </c>
      <c r="J2805" t="s">
        <v>77</v>
      </c>
      <c r="K2805" t="s">
        <v>73</v>
      </c>
      <c r="L2805" t="s">
        <v>134</v>
      </c>
      <c r="M2805" t="s">
        <v>74</v>
      </c>
      <c r="N2805" t="s">
        <v>75</v>
      </c>
      <c r="O2805" t="s">
        <v>75</v>
      </c>
      <c r="P2805" t="s">
        <v>74</v>
      </c>
    </row>
    <row r="2806" spans="1:16" hidden="1">
      <c r="A2806" t="s">
        <v>1532</v>
      </c>
      <c r="B2806" t="s">
        <v>49</v>
      </c>
      <c r="C2806" t="s">
        <v>50</v>
      </c>
      <c r="D2806" t="s">
        <v>117</v>
      </c>
      <c r="E2806" t="s">
        <v>1271</v>
      </c>
      <c r="F2806">
        <v>5</v>
      </c>
      <c r="G2806" s="10">
        <v>41226</v>
      </c>
      <c r="H2806">
        <v>46</v>
      </c>
      <c r="I2806">
        <v>2016</v>
      </c>
      <c r="J2806" t="s">
        <v>76</v>
      </c>
      <c r="K2806" t="s">
        <v>77</v>
      </c>
      <c r="L2806" t="s">
        <v>73</v>
      </c>
      <c r="M2806" t="s">
        <v>74</v>
      </c>
      <c r="N2806" t="s">
        <v>75</v>
      </c>
      <c r="O2806" t="s">
        <v>75</v>
      </c>
      <c r="P2806" t="s">
        <v>76</v>
      </c>
    </row>
    <row r="2807" spans="1:16" hidden="1">
      <c r="A2807" t="s">
        <v>1533</v>
      </c>
      <c r="B2807" t="s">
        <v>51</v>
      </c>
      <c r="C2807" t="s">
        <v>52</v>
      </c>
      <c r="D2807" t="s">
        <v>118</v>
      </c>
      <c r="E2807" t="s">
        <v>1271</v>
      </c>
      <c r="F2807">
        <v>1</v>
      </c>
      <c r="G2807" s="10">
        <v>41226</v>
      </c>
      <c r="H2807">
        <v>46</v>
      </c>
      <c r="I2807">
        <v>2016</v>
      </c>
      <c r="J2807" t="s">
        <v>73</v>
      </c>
      <c r="K2807" t="s">
        <v>74</v>
      </c>
      <c r="L2807" t="s">
        <v>75</v>
      </c>
      <c r="M2807" t="s">
        <v>75</v>
      </c>
      <c r="N2807" t="s">
        <v>76</v>
      </c>
      <c r="O2807" t="s">
        <v>77</v>
      </c>
      <c r="P2807" t="s">
        <v>73</v>
      </c>
    </row>
    <row r="2808" spans="1:16" hidden="1">
      <c r="A2808" t="s">
        <v>1534</v>
      </c>
      <c r="B2808" t="s">
        <v>53</v>
      </c>
      <c r="C2808" t="s">
        <v>54</v>
      </c>
      <c r="D2808" t="s">
        <v>119</v>
      </c>
      <c r="E2808" t="s">
        <v>1272</v>
      </c>
      <c r="F2808">
        <v>3</v>
      </c>
      <c r="G2808" s="10">
        <v>41226</v>
      </c>
      <c r="H2808">
        <v>46</v>
      </c>
      <c r="I2808">
        <v>2016</v>
      </c>
      <c r="J2808" t="s">
        <v>74</v>
      </c>
      <c r="K2808" t="s">
        <v>74</v>
      </c>
      <c r="L2808" t="s">
        <v>73</v>
      </c>
      <c r="M2808" t="s">
        <v>134</v>
      </c>
      <c r="N2808" t="s">
        <v>134</v>
      </c>
      <c r="O2808" t="s">
        <v>74</v>
      </c>
      <c r="P2808" t="s">
        <v>75</v>
      </c>
    </row>
    <row r="2809" spans="1:16" hidden="1">
      <c r="A2809" t="s">
        <v>1535</v>
      </c>
      <c r="B2809" t="s">
        <v>1289</v>
      </c>
      <c r="C2809" t="s">
        <v>132</v>
      </c>
      <c r="D2809" t="s">
        <v>1292</v>
      </c>
      <c r="E2809" t="s">
        <v>1272</v>
      </c>
      <c r="F2809">
        <v>5</v>
      </c>
      <c r="G2809" s="10">
        <v>41226</v>
      </c>
      <c r="H2809">
        <v>46</v>
      </c>
      <c r="I2809">
        <v>2016</v>
      </c>
      <c r="J2809" t="s">
        <v>73</v>
      </c>
      <c r="K2809" t="s">
        <v>75</v>
      </c>
      <c r="L2809" t="s">
        <v>75</v>
      </c>
      <c r="M2809" t="s">
        <v>74</v>
      </c>
      <c r="N2809" t="s">
        <v>75</v>
      </c>
      <c r="O2809" t="s">
        <v>75</v>
      </c>
      <c r="P2809" t="s">
        <v>73</v>
      </c>
    </row>
    <row r="2810" spans="1:16" hidden="1">
      <c r="A2810" t="s">
        <v>1536</v>
      </c>
      <c r="B2810" t="s">
        <v>1290</v>
      </c>
      <c r="C2810" t="s">
        <v>132</v>
      </c>
      <c r="D2810" t="s">
        <v>1294</v>
      </c>
      <c r="E2810" t="s">
        <v>1272</v>
      </c>
      <c r="F2810">
        <v>2</v>
      </c>
      <c r="G2810" s="10">
        <v>41226</v>
      </c>
      <c r="H2810">
        <v>46</v>
      </c>
      <c r="I2810">
        <v>2016</v>
      </c>
      <c r="J2810" t="s">
        <v>74</v>
      </c>
      <c r="K2810" t="s">
        <v>75</v>
      </c>
      <c r="L2810" t="s">
        <v>74</v>
      </c>
      <c r="M2810" t="s">
        <v>73</v>
      </c>
      <c r="N2810" t="s">
        <v>74</v>
      </c>
      <c r="O2810" t="s">
        <v>75</v>
      </c>
      <c r="P2810" t="s">
        <v>74</v>
      </c>
    </row>
    <row r="2811" spans="1:16" hidden="1">
      <c r="A2811" t="s">
        <v>1537</v>
      </c>
      <c r="B2811" t="s">
        <v>1291</v>
      </c>
      <c r="C2811" t="s">
        <v>132</v>
      </c>
      <c r="D2811" t="s">
        <v>1295</v>
      </c>
      <c r="E2811" t="s">
        <v>1272</v>
      </c>
      <c r="F2811">
        <v>6</v>
      </c>
      <c r="G2811" s="10">
        <v>41226</v>
      </c>
      <c r="H2811">
        <v>46</v>
      </c>
      <c r="I2811">
        <v>2016</v>
      </c>
      <c r="J2811" t="s">
        <v>75</v>
      </c>
      <c r="K2811" t="s">
        <v>74</v>
      </c>
      <c r="L2811" t="s">
        <v>75</v>
      </c>
      <c r="M2811" t="s">
        <v>74</v>
      </c>
      <c r="N2811" t="s">
        <v>75</v>
      </c>
      <c r="O2811" t="s">
        <v>73</v>
      </c>
      <c r="P2811" t="s">
        <v>75</v>
      </c>
    </row>
    <row r="2812" spans="1:16" hidden="1">
      <c r="A2812" t="s">
        <v>1538</v>
      </c>
      <c r="B2812" t="s">
        <v>1296</v>
      </c>
      <c r="C2812" t="s">
        <v>1297</v>
      </c>
      <c r="D2812" t="s">
        <v>1293</v>
      </c>
      <c r="E2812" t="s">
        <v>1272</v>
      </c>
      <c r="F2812">
        <v>1</v>
      </c>
      <c r="G2812" s="10">
        <v>41226</v>
      </c>
      <c r="H2812">
        <v>46</v>
      </c>
      <c r="I2812">
        <v>2016</v>
      </c>
      <c r="J2812" t="s">
        <v>75</v>
      </c>
      <c r="K2812" t="s">
        <v>74</v>
      </c>
      <c r="L2812" t="s">
        <v>75</v>
      </c>
      <c r="M2812" t="s">
        <v>75</v>
      </c>
      <c r="N2812" t="s">
        <v>73</v>
      </c>
      <c r="O2812" t="s">
        <v>74</v>
      </c>
      <c r="P2812" t="s">
        <v>74</v>
      </c>
    </row>
    <row r="2813" spans="1:16" hidden="1">
      <c r="A2813" t="s">
        <v>1539</v>
      </c>
      <c r="B2813" t="s">
        <v>3</v>
      </c>
      <c r="C2813" t="s">
        <v>4</v>
      </c>
      <c r="D2813" t="s">
        <v>90</v>
      </c>
      <c r="E2813" t="s">
        <v>1271</v>
      </c>
      <c r="F2813">
        <v>8</v>
      </c>
      <c r="G2813" s="10">
        <v>41233</v>
      </c>
      <c r="H2813">
        <v>47</v>
      </c>
      <c r="I2813">
        <v>2016</v>
      </c>
      <c r="J2813" t="s">
        <v>75</v>
      </c>
      <c r="K2813" t="s">
        <v>75</v>
      </c>
      <c r="L2813" t="s">
        <v>75</v>
      </c>
      <c r="M2813" t="s">
        <v>76</v>
      </c>
      <c r="N2813" t="s">
        <v>77</v>
      </c>
      <c r="O2813" t="s">
        <v>73</v>
      </c>
      <c r="P2813" t="s">
        <v>74</v>
      </c>
    </row>
    <row r="2814" spans="1:16" hidden="1">
      <c r="A2814" t="s">
        <v>1540</v>
      </c>
      <c r="B2814" t="s">
        <v>5</v>
      </c>
      <c r="C2814" t="s">
        <v>6</v>
      </c>
      <c r="D2814" t="s">
        <v>93</v>
      </c>
      <c r="E2814" t="s">
        <v>1271</v>
      </c>
      <c r="F2814">
        <v>9</v>
      </c>
      <c r="G2814" s="10">
        <v>41233</v>
      </c>
      <c r="H2814">
        <v>47</v>
      </c>
      <c r="I2814">
        <v>2016</v>
      </c>
      <c r="J2814" t="s">
        <v>75</v>
      </c>
      <c r="K2814" t="s">
        <v>74</v>
      </c>
      <c r="L2814" t="s">
        <v>74</v>
      </c>
      <c r="M2814" t="s">
        <v>134</v>
      </c>
      <c r="N2814" t="s">
        <v>73</v>
      </c>
      <c r="O2814" t="s">
        <v>74</v>
      </c>
      <c r="P2814" t="s">
        <v>74</v>
      </c>
    </row>
    <row r="2815" spans="1:16" hidden="1">
      <c r="A2815" t="s">
        <v>1541</v>
      </c>
      <c r="B2815" t="s">
        <v>7</v>
      </c>
      <c r="C2815" t="s">
        <v>8</v>
      </c>
      <c r="D2815" t="s">
        <v>94</v>
      </c>
      <c r="E2815" t="s">
        <v>1271</v>
      </c>
      <c r="F2815">
        <v>3</v>
      </c>
      <c r="G2815" s="10">
        <v>41233</v>
      </c>
      <c r="H2815">
        <v>47</v>
      </c>
      <c r="I2815">
        <v>2016</v>
      </c>
      <c r="J2815" t="s">
        <v>74</v>
      </c>
      <c r="K2815" t="s">
        <v>75</v>
      </c>
      <c r="L2815" t="s">
        <v>76</v>
      </c>
      <c r="M2815" t="s">
        <v>77</v>
      </c>
      <c r="N2815" t="s">
        <v>73</v>
      </c>
      <c r="O2815" t="s">
        <v>74</v>
      </c>
      <c r="P2815" t="s">
        <v>74</v>
      </c>
    </row>
    <row r="2816" spans="1:16" hidden="1">
      <c r="A2816" t="s">
        <v>1542</v>
      </c>
      <c r="B2816" t="s">
        <v>9</v>
      </c>
      <c r="C2816" t="s">
        <v>10</v>
      </c>
      <c r="D2816" t="s">
        <v>96</v>
      </c>
      <c r="E2816" t="s">
        <v>1271</v>
      </c>
      <c r="F2816">
        <v>4</v>
      </c>
      <c r="G2816" s="10">
        <v>41233</v>
      </c>
      <c r="H2816">
        <v>47</v>
      </c>
      <c r="I2816">
        <v>2016</v>
      </c>
      <c r="J2816" t="s">
        <v>74</v>
      </c>
      <c r="K2816" t="s">
        <v>75</v>
      </c>
      <c r="L2816" t="s">
        <v>74</v>
      </c>
      <c r="M2816" t="s">
        <v>73</v>
      </c>
      <c r="N2816" t="s">
        <v>74</v>
      </c>
      <c r="O2816" t="s">
        <v>74</v>
      </c>
      <c r="P2816" t="s">
        <v>75</v>
      </c>
    </row>
    <row r="2817" spans="1:16" hidden="1">
      <c r="A2817" t="s">
        <v>1543</v>
      </c>
      <c r="B2817" t="s">
        <v>11</v>
      </c>
      <c r="C2817" t="s">
        <v>12</v>
      </c>
      <c r="D2817" t="s">
        <v>97</v>
      </c>
      <c r="E2817" t="s">
        <v>1271</v>
      </c>
      <c r="F2817">
        <v>5</v>
      </c>
      <c r="G2817" s="10">
        <v>41233</v>
      </c>
      <c r="H2817">
        <v>47</v>
      </c>
      <c r="I2817">
        <v>2016</v>
      </c>
      <c r="J2817" t="s">
        <v>76</v>
      </c>
      <c r="K2817" t="s">
        <v>77</v>
      </c>
      <c r="L2817" t="s">
        <v>73</v>
      </c>
      <c r="M2817" t="s">
        <v>74</v>
      </c>
      <c r="N2817" t="s">
        <v>74</v>
      </c>
      <c r="O2817" t="s">
        <v>75</v>
      </c>
      <c r="P2817" t="s">
        <v>76</v>
      </c>
    </row>
    <row r="2818" spans="1:16" hidden="1">
      <c r="A2818" t="s">
        <v>1544</v>
      </c>
      <c r="B2818" t="s">
        <v>13</v>
      </c>
      <c r="C2818" t="s">
        <v>14</v>
      </c>
      <c r="D2818" t="s">
        <v>120</v>
      </c>
      <c r="E2818" t="s">
        <v>1320</v>
      </c>
      <c r="F2818">
        <v>1</v>
      </c>
      <c r="G2818" s="10">
        <v>41233</v>
      </c>
      <c r="H2818">
        <v>47</v>
      </c>
      <c r="I2818">
        <v>2016</v>
      </c>
      <c r="J2818" t="s">
        <v>126</v>
      </c>
      <c r="K2818" t="s">
        <v>126</v>
      </c>
      <c r="L2818" t="s">
        <v>126</v>
      </c>
      <c r="M2818" t="s">
        <v>126</v>
      </c>
      <c r="N2818" t="s">
        <v>126</v>
      </c>
      <c r="O2818" t="s">
        <v>126</v>
      </c>
      <c r="P2818" t="s">
        <v>126</v>
      </c>
    </row>
    <row r="2819" spans="1:16" hidden="1">
      <c r="A2819" t="s">
        <v>1545</v>
      </c>
      <c r="B2819" t="s">
        <v>13</v>
      </c>
      <c r="C2819" t="s">
        <v>15</v>
      </c>
      <c r="D2819" t="s">
        <v>98</v>
      </c>
      <c r="E2819" t="s">
        <v>1272</v>
      </c>
      <c r="F2819">
        <v>6</v>
      </c>
      <c r="G2819" s="10">
        <v>41233</v>
      </c>
      <c r="H2819">
        <v>47</v>
      </c>
      <c r="I2819">
        <v>2016</v>
      </c>
      <c r="J2819" t="s">
        <v>75</v>
      </c>
      <c r="K2819" t="s">
        <v>74</v>
      </c>
      <c r="L2819" t="s">
        <v>74</v>
      </c>
      <c r="M2819" t="s">
        <v>134</v>
      </c>
      <c r="N2819" t="s">
        <v>134</v>
      </c>
      <c r="O2819" t="s">
        <v>73</v>
      </c>
      <c r="P2819" t="s">
        <v>75</v>
      </c>
    </row>
    <row r="2820" spans="1:16" hidden="1">
      <c r="A2820" t="s">
        <v>1546</v>
      </c>
      <c r="B2820" t="s">
        <v>16</v>
      </c>
      <c r="C2820" t="s">
        <v>17</v>
      </c>
      <c r="D2820" t="s">
        <v>99</v>
      </c>
      <c r="E2820" t="s">
        <v>1271</v>
      </c>
      <c r="F2820">
        <v>10</v>
      </c>
      <c r="G2820" s="10">
        <v>41233</v>
      </c>
      <c r="H2820">
        <v>47</v>
      </c>
      <c r="I2820">
        <v>2016</v>
      </c>
      <c r="J2820" t="s">
        <v>75</v>
      </c>
      <c r="K2820" t="s">
        <v>76</v>
      </c>
      <c r="L2820" t="s">
        <v>77</v>
      </c>
      <c r="M2820" t="s">
        <v>73</v>
      </c>
      <c r="N2820" t="s">
        <v>74</v>
      </c>
      <c r="O2820" t="s">
        <v>75</v>
      </c>
      <c r="P2820" t="s">
        <v>75</v>
      </c>
    </row>
    <row r="2821" spans="1:16" hidden="1">
      <c r="A2821" t="s">
        <v>1547</v>
      </c>
      <c r="B2821" t="s">
        <v>18</v>
      </c>
      <c r="C2821" t="s">
        <v>19</v>
      </c>
      <c r="D2821" t="s">
        <v>100</v>
      </c>
      <c r="E2821" t="s">
        <v>1271</v>
      </c>
      <c r="F2821">
        <v>1</v>
      </c>
      <c r="G2821" s="10">
        <v>41233</v>
      </c>
      <c r="H2821">
        <v>47</v>
      </c>
      <c r="I2821">
        <v>2016</v>
      </c>
      <c r="J2821" t="s">
        <v>73</v>
      </c>
      <c r="K2821" t="s">
        <v>74</v>
      </c>
      <c r="L2821" t="s">
        <v>74</v>
      </c>
      <c r="M2821" t="s">
        <v>75</v>
      </c>
      <c r="N2821" t="s">
        <v>76</v>
      </c>
      <c r="O2821" t="s">
        <v>77</v>
      </c>
      <c r="P2821" t="s">
        <v>73</v>
      </c>
    </row>
    <row r="2822" spans="1:16" hidden="1">
      <c r="A2822" t="s">
        <v>1548</v>
      </c>
      <c r="B2822" t="s">
        <v>20</v>
      </c>
      <c r="C2822" t="s">
        <v>21</v>
      </c>
      <c r="D2822" t="s">
        <v>101</v>
      </c>
      <c r="E2822" t="s">
        <v>1271</v>
      </c>
      <c r="F2822">
        <v>11</v>
      </c>
      <c r="G2822" s="10">
        <v>41233</v>
      </c>
      <c r="H2822">
        <v>47</v>
      </c>
      <c r="I2822">
        <v>2016</v>
      </c>
      <c r="J2822" t="s">
        <v>75</v>
      </c>
      <c r="K2822" t="s">
        <v>75</v>
      </c>
      <c r="L2822" t="s">
        <v>73</v>
      </c>
      <c r="M2822" t="s">
        <v>75</v>
      </c>
      <c r="N2822" t="s">
        <v>75</v>
      </c>
      <c r="O2822" t="s">
        <v>76</v>
      </c>
      <c r="P2822" t="s">
        <v>77</v>
      </c>
    </row>
    <row r="2823" spans="1:16" hidden="1">
      <c r="A2823" t="s">
        <v>1549</v>
      </c>
      <c r="B2823" t="s">
        <v>22</v>
      </c>
      <c r="C2823" t="s">
        <v>17</v>
      </c>
      <c r="D2823" t="s">
        <v>102</v>
      </c>
      <c r="E2823" t="s">
        <v>1272</v>
      </c>
      <c r="F2823">
        <v>3</v>
      </c>
      <c r="G2823" s="10">
        <v>41233</v>
      </c>
      <c r="H2823">
        <v>47</v>
      </c>
      <c r="I2823">
        <v>2016</v>
      </c>
      <c r="J2823" t="s">
        <v>74</v>
      </c>
      <c r="K2823" t="s">
        <v>74</v>
      </c>
      <c r="L2823" t="s">
        <v>73</v>
      </c>
      <c r="M2823" t="s">
        <v>134</v>
      </c>
      <c r="N2823" t="s">
        <v>134</v>
      </c>
      <c r="O2823" t="s">
        <v>74</v>
      </c>
      <c r="P2823" t="s">
        <v>75</v>
      </c>
    </row>
    <row r="2824" spans="1:16" hidden="1">
      <c r="A2824" t="s">
        <v>1550</v>
      </c>
      <c r="B2824" t="s">
        <v>23</v>
      </c>
      <c r="C2824" t="s">
        <v>24</v>
      </c>
      <c r="D2824" t="s">
        <v>103</v>
      </c>
      <c r="E2824" t="s">
        <v>1272</v>
      </c>
      <c r="F2824">
        <v>4</v>
      </c>
      <c r="G2824" s="10">
        <v>41233</v>
      </c>
      <c r="H2824">
        <v>47</v>
      </c>
      <c r="I2824">
        <v>2016</v>
      </c>
      <c r="J2824" t="s">
        <v>134</v>
      </c>
      <c r="K2824" t="s">
        <v>73</v>
      </c>
      <c r="L2824" t="s">
        <v>134</v>
      </c>
      <c r="M2824" t="s">
        <v>75</v>
      </c>
      <c r="N2824" t="s">
        <v>74</v>
      </c>
      <c r="O2824" t="s">
        <v>75</v>
      </c>
      <c r="P2824" t="s">
        <v>75</v>
      </c>
    </row>
    <row r="2825" spans="1:16" hidden="1">
      <c r="A2825" t="s">
        <v>1551</v>
      </c>
      <c r="B2825" t="s">
        <v>23</v>
      </c>
      <c r="C2825" t="s">
        <v>55</v>
      </c>
      <c r="D2825" t="s">
        <v>127</v>
      </c>
      <c r="E2825" t="s">
        <v>1271</v>
      </c>
      <c r="F2825">
        <v>10</v>
      </c>
      <c r="G2825" s="10">
        <v>41233</v>
      </c>
      <c r="H2825">
        <v>47</v>
      </c>
      <c r="I2825">
        <v>2016</v>
      </c>
      <c r="J2825" t="s">
        <v>75</v>
      </c>
      <c r="K2825" t="s">
        <v>76</v>
      </c>
      <c r="L2825" t="s">
        <v>77</v>
      </c>
      <c r="M2825" t="s">
        <v>73</v>
      </c>
      <c r="N2825" t="s">
        <v>134</v>
      </c>
      <c r="O2825" t="s">
        <v>75</v>
      </c>
      <c r="P2825" t="s">
        <v>75</v>
      </c>
    </row>
    <row r="2826" spans="1:16" hidden="1">
      <c r="A2826" t="s">
        <v>1552</v>
      </c>
      <c r="B2826" t="s">
        <v>25</v>
      </c>
      <c r="C2826" t="s">
        <v>132</v>
      </c>
      <c r="D2826" t="s">
        <v>104</v>
      </c>
      <c r="E2826" t="s">
        <v>1271</v>
      </c>
      <c r="F2826">
        <v>2</v>
      </c>
      <c r="G2826" s="10">
        <v>41233</v>
      </c>
      <c r="H2826">
        <v>47</v>
      </c>
      <c r="I2826">
        <v>2016</v>
      </c>
      <c r="J2826" t="s">
        <v>74</v>
      </c>
      <c r="K2826" t="s">
        <v>75</v>
      </c>
      <c r="L2826" t="s">
        <v>74</v>
      </c>
      <c r="M2826" t="s">
        <v>75</v>
      </c>
      <c r="N2826" t="s">
        <v>75</v>
      </c>
      <c r="O2826" t="s">
        <v>73</v>
      </c>
      <c r="P2826" t="s">
        <v>75</v>
      </c>
    </row>
    <row r="2827" spans="1:16" hidden="1">
      <c r="A2827" t="s">
        <v>1553</v>
      </c>
      <c r="B2827" t="s">
        <v>56</v>
      </c>
      <c r="C2827" t="s">
        <v>57</v>
      </c>
      <c r="D2827" t="s">
        <v>129</v>
      </c>
      <c r="E2827" t="s">
        <v>1271</v>
      </c>
      <c r="F2827">
        <v>5</v>
      </c>
      <c r="G2827" s="10">
        <v>41233</v>
      </c>
      <c r="H2827">
        <v>47</v>
      </c>
      <c r="I2827">
        <v>2016</v>
      </c>
      <c r="J2827" t="s">
        <v>76</v>
      </c>
      <c r="K2827" t="s">
        <v>77</v>
      </c>
      <c r="L2827" t="s">
        <v>73</v>
      </c>
      <c r="M2827" t="s">
        <v>74</v>
      </c>
      <c r="N2827" t="s">
        <v>75</v>
      </c>
      <c r="O2827" t="s">
        <v>75</v>
      </c>
      <c r="P2827" t="s">
        <v>76</v>
      </c>
    </row>
    <row r="2828" spans="1:16" hidden="1">
      <c r="A2828" t="s">
        <v>1554</v>
      </c>
      <c r="B2828" t="s">
        <v>26</v>
      </c>
      <c r="C2828" t="s">
        <v>27</v>
      </c>
      <c r="D2828" t="s">
        <v>105</v>
      </c>
      <c r="E2828" t="s">
        <v>1271</v>
      </c>
      <c r="F2828">
        <v>6</v>
      </c>
      <c r="G2828" s="10">
        <v>41233</v>
      </c>
      <c r="H2828">
        <v>47</v>
      </c>
      <c r="I2828">
        <v>2016</v>
      </c>
      <c r="J2828" t="s">
        <v>77</v>
      </c>
      <c r="K2828" t="s">
        <v>73</v>
      </c>
      <c r="L2828" t="s">
        <v>74</v>
      </c>
      <c r="M2828" t="s">
        <v>75</v>
      </c>
      <c r="N2828" t="s">
        <v>75</v>
      </c>
      <c r="O2828" t="s">
        <v>75</v>
      </c>
      <c r="P2828" t="s">
        <v>134</v>
      </c>
    </row>
    <row r="2829" spans="1:16" hidden="1">
      <c r="A2829" t="s">
        <v>1555</v>
      </c>
      <c r="B2829" t="s">
        <v>28</v>
      </c>
      <c r="C2829" t="s">
        <v>29</v>
      </c>
      <c r="D2829" t="s">
        <v>106</v>
      </c>
      <c r="E2829" t="s">
        <v>1271</v>
      </c>
      <c r="F2829">
        <v>1</v>
      </c>
      <c r="G2829" s="10">
        <v>41233</v>
      </c>
      <c r="H2829">
        <v>47</v>
      </c>
      <c r="I2829">
        <v>2016</v>
      </c>
      <c r="J2829" t="s">
        <v>73</v>
      </c>
      <c r="K2829" t="s">
        <v>74</v>
      </c>
      <c r="L2829" t="s">
        <v>75</v>
      </c>
      <c r="M2829" t="s">
        <v>75</v>
      </c>
      <c r="N2829" t="s">
        <v>76</v>
      </c>
      <c r="O2829" t="s">
        <v>77</v>
      </c>
      <c r="P2829" t="s">
        <v>73</v>
      </c>
    </row>
    <row r="2830" spans="1:16">
      <c r="A2830" t="s">
        <v>1556</v>
      </c>
      <c r="B2830" t="s">
        <v>30</v>
      </c>
      <c r="C2830" t="s">
        <v>8</v>
      </c>
      <c r="D2830" t="s">
        <v>107</v>
      </c>
      <c r="E2830" t="s">
        <v>1272</v>
      </c>
      <c r="F2830">
        <v>6</v>
      </c>
      <c r="G2830" s="10">
        <v>41233</v>
      </c>
      <c r="H2830">
        <v>47</v>
      </c>
      <c r="I2830">
        <v>2016</v>
      </c>
      <c r="J2830" t="s">
        <v>75</v>
      </c>
      <c r="K2830" t="s">
        <v>75</v>
      </c>
      <c r="L2830" t="s">
        <v>75</v>
      </c>
      <c r="M2830" t="s">
        <v>74</v>
      </c>
      <c r="N2830" t="s">
        <v>75</v>
      </c>
      <c r="O2830" t="s">
        <v>73</v>
      </c>
      <c r="P2830" t="s">
        <v>75</v>
      </c>
    </row>
    <row r="2831" spans="1:16">
      <c r="A2831" t="s">
        <v>1557</v>
      </c>
      <c r="B2831" t="s">
        <v>30</v>
      </c>
      <c r="C2831" t="s">
        <v>31</v>
      </c>
      <c r="D2831" t="s">
        <v>108</v>
      </c>
      <c r="E2831" t="s">
        <v>1271</v>
      </c>
      <c r="F2831">
        <v>9</v>
      </c>
      <c r="G2831" s="10">
        <v>41233</v>
      </c>
      <c r="H2831">
        <v>47</v>
      </c>
      <c r="I2831">
        <v>2016</v>
      </c>
      <c r="J2831" t="s">
        <v>75</v>
      </c>
      <c r="K2831" t="s">
        <v>75</v>
      </c>
      <c r="L2831" t="s">
        <v>74</v>
      </c>
      <c r="M2831" t="s">
        <v>75</v>
      </c>
      <c r="N2831" t="s">
        <v>73</v>
      </c>
      <c r="O2831" t="s">
        <v>74</v>
      </c>
      <c r="P2831" t="s">
        <v>74</v>
      </c>
    </row>
    <row r="2832" spans="1:16" hidden="1">
      <c r="A2832" t="s">
        <v>1558</v>
      </c>
      <c r="B2832" t="s">
        <v>32</v>
      </c>
      <c r="C2832" t="s">
        <v>33</v>
      </c>
      <c r="D2832" t="s">
        <v>109</v>
      </c>
      <c r="E2832" t="s">
        <v>1272</v>
      </c>
      <c r="F2832">
        <v>2</v>
      </c>
      <c r="G2832" s="10">
        <v>41233</v>
      </c>
      <c r="H2832">
        <v>47</v>
      </c>
      <c r="I2832">
        <v>2016</v>
      </c>
      <c r="J2832" t="s">
        <v>74</v>
      </c>
      <c r="K2832" t="s">
        <v>75</v>
      </c>
      <c r="L2832" t="s">
        <v>134</v>
      </c>
      <c r="M2832" t="s">
        <v>73</v>
      </c>
      <c r="N2832" t="s">
        <v>134</v>
      </c>
      <c r="O2832" t="s">
        <v>75</v>
      </c>
      <c r="P2832" t="s">
        <v>74</v>
      </c>
    </row>
    <row r="2833" spans="1:16" hidden="1">
      <c r="A2833" t="s">
        <v>1559</v>
      </c>
      <c r="B2833" t="s">
        <v>32</v>
      </c>
      <c r="C2833" t="s">
        <v>34</v>
      </c>
      <c r="D2833" t="s">
        <v>122</v>
      </c>
      <c r="E2833" t="s">
        <v>1320</v>
      </c>
      <c r="F2833">
        <v>1</v>
      </c>
      <c r="G2833" s="10">
        <v>41233</v>
      </c>
      <c r="H2833">
        <v>47</v>
      </c>
      <c r="I2833">
        <v>2016</v>
      </c>
      <c r="J2833" t="s">
        <v>126</v>
      </c>
      <c r="K2833" t="s">
        <v>126</v>
      </c>
      <c r="L2833" t="s">
        <v>126</v>
      </c>
      <c r="M2833" t="s">
        <v>126</v>
      </c>
      <c r="N2833" t="s">
        <v>126</v>
      </c>
      <c r="O2833" t="s">
        <v>126</v>
      </c>
      <c r="P2833" t="s">
        <v>126</v>
      </c>
    </row>
    <row r="2834" spans="1:16" hidden="1">
      <c r="A2834" t="s">
        <v>1560</v>
      </c>
      <c r="B2834" t="s">
        <v>35</v>
      </c>
      <c r="C2834" t="s">
        <v>36</v>
      </c>
      <c r="D2834" t="s">
        <v>110</v>
      </c>
      <c r="E2834" t="s">
        <v>1271</v>
      </c>
      <c r="F2834">
        <v>3</v>
      </c>
      <c r="G2834" s="10">
        <v>41233</v>
      </c>
      <c r="H2834">
        <v>47</v>
      </c>
      <c r="I2834">
        <v>2016</v>
      </c>
      <c r="J2834" t="s">
        <v>74</v>
      </c>
      <c r="K2834" t="s">
        <v>75</v>
      </c>
      <c r="L2834" t="s">
        <v>76</v>
      </c>
      <c r="M2834" t="s">
        <v>77</v>
      </c>
      <c r="N2834" t="s">
        <v>73</v>
      </c>
      <c r="O2834" t="s">
        <v>74</v>
      </c>
      <c r="P2834" t="s">
        <v>75</v>
      </c>
    </row>
    <row r="2835" spans="1:16" hidden="1">
      <c r="A2835" t="s">
        <v>1561</v>
      </c>
      <c r="B2835" t="s">
        <v>58</v>
      </c>
      <c r="C2835" t="s">
        <v>59</v>
      </c>
      <c r="D2835" t="s">
        <v>130</v>
      </c>
      <c r="E2835" t="s">
        <v>1272</v>
      </c>
      <c r="F2835">
        <v>6</v>
      </c>
      <c r="G2835" s="10">
        <v>41233</v>
      </c>
      <c r="H2835">
        <v>47</v>
      </c>
      <c r="I2835">
        <v>2016</v>
      </c>
      <c r="J2835" t="s">
        <v>75</v>
      </c>
      <c r="K2835" t="s">
        <v>74</v>
      </c>
      <c r="L2835" t="s">
        <v>75</v>
      </c>
      <c r="M2835" t="s">
        <v>74</v>
      </c>
      <c r="N2835" t="s">
        <v>75</v>
      </c>
      <c r="O2835" t="s">
        <v>73</v>
      </c>
      <c r="P2835" t="s">
        <v>134</v>
      </c>
    </row>
    <row r="2836" spans="1:16" hidden="1">
      <c r="A2836" t="s">
        <v>1562</v>
      </c>
      <c r="B2836" t="s">
        <v>37</v>
      </c>
      <c r="C2836" t="s">
        <v>38</v>
      </c>
      <c r="D2836" t="s">
        <v>111</v>
      </c>
      <c r="E2836" t="s">
        <v>1271</v>
      </c>
      <c r="F2836">
        <v>4</v>
      </c>
      <c r="G2836" s="10">
        <v>41233</v>
      </c>
      <c r="H2836">
        <v>47</v>
      </c>
      <c r="I2836">
        <v>2016</v>
      </c>
      <c r="J2836" t="s">
        <v>92</v>
      </c>
      <c r="K2836" t="s">
        <v>92</v>
      </c>
      <c r="L2836" t="s">
        <v>92</v>
      </c>
      <c r="M2836" t="s">
        <v>73</v>
      </c>
      <c r="N2836" t="s">
        <v>74</v>
      </c>
      <c r="O2836" t="s">
        <v>74</v>
      </c>
      <c r="P2836" t="s">
        <v>75</v>
      </c>
    </row>
    <row r="2837" spans="1:16" hidden="1">
      <c r="A2837" t="s">
        <v>1563</v>
      </c>
      <c r="B2837" t="s">
        <v>39</v>
      </c>
      <c r="C2837" t="s">
        <v>40</v>
      </c>
      <c r="D2837" t="s">
        <v>112</v>
      </c>
      <c r="E2837" t="s">
        <v>1272</v>
      </c>
      <c r="F2837">
        <v>5</v>
      </c>
      <c r="G2837" s="10">
        <v>41233</v>
      </c>
      <c r="H2837">
        <v>47</v>
      </c>
      <c r="I2837">
        <v>2016</v>
      </c>
      <c r="J2837" t="s">
        <v>73</v>
      </c>
      <c r="K2837" t="s">
        <v>134</v>
      </c>
      <c r="L2837" t="s">
        <v>75</v>
      </c>
      <c r="M2837" t="s">
        <v>74</v>
      </c>
      <c r="N2837" t="s">
        <v>75</v>
      </c>
      <c r="O2837" t="s">
        <v>75</v>
      </c>
      <c r="P2837" t="s">
        <v>73</v>
      </c>
    </row>
    <row r="2838" spans="1:16" hidden="1">
      <c r="A2838" t="s">
        <v>1564</v>
      </c>
      <c r="B2838" t="s">
        <v>41</v>
      </c>
      <c r="C2838" t="s">
        <v>42</v>
      </c>
      <c r="D2838" t="s">
        <v>113</v>
      </c>
      <c r="E2838" t="s">
        <v>1271</v>
      </c>
      <c r="F2838">
        <v>8</v>
      </c>
      <c r="G2838" s="10">
        <v>41233</v>
      </c>
      <c r="H2838">
        <v>47</v>
      </c>
      <c r="I2838">
        <v>2016</v>
      </c>
      <c r="J2838" t="s">
        <v>75</v>
      </c>
      <c r="K2838" t="s">
        <v>75</v>
      </c>
      <c r="L2838" t="s">
        <v>75</v>
      </c>
      <c r="M2838" t="s">
        <v>76</v>
      </c>
      <c r="N2838" t="s">
        <v>77</v>
      </c>
      <c r="O2838" t="s">
        <v>73</v>
      </c>
      <c r="P2838" t="s">
        <v>74</v>
      </c>
    </row>
    <row r="2839" spans="1:16" hidden="1">
      <c r="A2839" t="s">
        <v>1565</v>
      </c>
      <c r="B2839" t="s">
        <v>43</v>
      </c>
      <c r="C2839" t="s">
        <v>44</v>
      </c>
      <c r="D2839" t="s">
        <v>114</v>
      </c>
      <c r="E2839" t="s">
        <v>1271</v>
      </c>
      <c r="F2839">
        <v>11</v>
      </c>
      <c r="G2839" s="10">
        <v>41233</v>
      </c>
      <c r="H2839">
        <v>47</v>
      </c>
      <c r="I2839">
        <v>2016</v>
      </c>
      <c r="J2839" t="s">
        <v>75</v>
      </c>
      <c r="K2839" t="s">
        <v>134</v>
      </c>
      <c r="L2839" t="s">
        <v>73</v>
      </c>
      <c r="M2839" t="s">
        <v>75</v>
      </c>
      <c r="N2839" t="s">
        <v>75</v>
      </c>
      <c r="O2839" t="s">
        <v>76</v>
      </c>
      <c r="P2839" t="s">
        <v>77</v>
      </c>
    </row>
    <row r="2840" spans="1:16" hidden="1">
      <c r="A2840" t="s">
        <v>1566</v>
      </c>
      <c r="B2840" t="s">
        <v>45</v>
      </c>
      <c r="C2840" t="s">
        <v>46</v>
      </c>
      <c r="D2840" t="s">
        <v>115</v>
      </c>
      <c r="E2840" t="s">
        <v>1271</v>
      </c>
      <c r="F2840">
        <v>7</v>
      </c>
      <c r="G2840" s="10">
        <v>41233</v>
      </c>
      <c r="H2840">
        <v>47</v>
      </c>
      <c r="I2840">
        <v>2016</v>
      </c>
      <c r="J2840" t="s">
        <v>73</v>
      </c>
      <c r="K2840" t="s">
        <v>74</v>
      </c>
      <c r="L2840" t="s">
        <v>75</v>
      </c>
      <c r="M2840" t="s">
        <v>74</v>
      </c>
      <c r="N2840" t="s">
        <v>74</v>
      </c>
      <c r="O2840" t="s">
        <v>75</v>
      </c>
      <c r="P2840" t="s">
        <v>73</v>
      </c>
    </row>
    <row r="2841" spans="1:16" hidden="1">
      <c r="A2841" t="s">
        <v>1567</v>
      </c>
      <c r="B2841" t="s">
        <v>47</v>
      </c>
      <c r="C2841" t="s">
        <v>48</v>
      </c>
      <c r="D2841" t="s">
        <v>116</v>
      </c>
      <c r="E2841" t="s">
        <v>1271</v>
      </c>
      <c r="F2841">
        <v>7</v>
      </c>
      <c r="G2841" s="10">
        <v>41233</v>
      </c>
      <c r="H2841">
        <v>47</v>
      </c>
      <c r="I2841">
        <v>2016</v>
      </c>
      <c r="J2841" t="s">
        <v>73</v>
      </c>
      <c r="K2841" t="s">
        <v>134</v>
      </c>
      <c r="L2841" t="s">
        <v>75</v>
      </c>
      <c r="M2841" t="s">
        <v>74</v>
      </c>
      <c r="N2841" t="s">
        <v>74</v>
      </c>
      <c r="O2841" t="s">
        <v>75</v>
      </c>
      <c r="P2841" t="s">
        <v>73</v>
      </c>
    </row>
    <row r="2842" spans="1:16" hidden="1">
      <c r="A2842" t="s">
        <v>1568</v>
      </c>
      <c r="B2842" t="s">
        <v>49</v>
      </c>
      <c r="C2842" t="s">
        <v>50</v>
      </c>
      <c r="D2842" t="s">
        <v>117</v>
      </c>
      <c r="E2842" t="s">
        <v>1271</v>
      </c>
      <c r="F2842">
        <v>6</v>
      </c>
      <c r="G2842" s="10">
        <v>41233</v>
      </c>
      <c r="H2842">
        <v>47</v>
      </c>
      <c r="I2842">
        <v>2016</v>
      </c>
      <c r="J2842" t="s">
        <v>77</v>
      </c>
      <c r="K2842" t="s">
        <v>73</v>
      </c>
      <c r="L2842" t="s">
        <v>74</v>
      </c>
      <c r="M2842" t="s">
        <v>74</v>
      </c>
      <c r="N2842" t="s">
        <v>75</v>
      </c>
      <c r="O2842" t="s">
        <v>75</v>
      </c>
      <c r="P2842" t="s">
        <v>74</v>
      </c>
    </row>
    <row r="2843" spans="1:16" hidden="1">
      <c r="A2843" t="s">
        <v>1569</v>
      </c>
      <c r="B2843" t="s">
        <v>51</v>
      </c>
      <c r="C2843" t="s">
        <v>52</v>
      </c>
      <c r="D2843" t="s">
        <v>118</v>
      </c>
      <c r="E2843" t="s">
        <v>1271</v>
      </c>
      <c r="F2843">
        <v>2</v>
      </c>
      <c r="G2843" s="10">
        <v>41233</v>
      </c>
      <c r="H2843">
        <v>47</v>
      </c>
      <c r="I2843">
        <v>2016</v>
      </c>
      <c r="J2843" t="s">
        <v>74</v>
      </c>
      <c r="K2843" t="s">
        <v>75</v>
      </c>
      <c r="L2843" t="s">
        <v>75</v>
      </c>
      <c r="M2843" t="s">
        <v>75</v>
      </c>
      <c r="N2843" t="s">
        <v>75</v>
      </c>
      <c r="O2843" t="s">
        <v>73</v>
      </c>
      <c r="P2843" t="s">
        <v>75</v>
      </c>
    </row>
    <row r="2844" spans="1:16" hidden="1">
      <c r="A2844" t="s">
        <v>1570</v>
      </c>
      <c r="B2844" t="s">
        <v>53</v>
      </c>
      <c r="C2844" t="s">
        <v>54</v>
      </c>
      <c r="D2844" t="s">
        <v>119</v>
      </c>
      <c r="E2844" t="s">
        <v>1272</v>
      </c>
      <c r="F2844">
        <v>4</v>
      </c>
      <c r="G2844" s="10">
        <v>41233</v>
      </c>
      <c r="H2844">
        <v>47</v>
      </c>
      <c r="I2844">
        <v>2016</v>
      </c>
      <c r="J2844" t="s">
        <v>75</v>
      </c>
      <c r="K2844" t="s">
        <v>73</v>
      </c>
      <c r="L2844" t="s">
        <v>75</v>
      </c>
      <c r="M2844" t="s">
        <v>75</v>
      </c>
      <c r="N2844" t="s">
        <v>74</v>
      </c>
      <c r="O2844" t="s">
        <v>75</v>
      </c>
      <c r="P2844" t="s">
        <v>134</v>
      </c>
    </row>
    <row r="2845" spans="1:16" hidden="1">
      <c r="A2845" t="s">
        <v>1571</v>
      </c>
      <c r="B2845" t="s">
        <v>1289</v>
      </c>
      <c r="C2845" t="s">
        <v>132</v>
      </c>
      <c r="D2845" t="s">
        <v>1292</v>
      </c>
      <c r="E2845" t="s">
        <v>1272</v>
      </c>
      <c r="F2845">
        <v>6</v>
      </c>
      <c r="G2845" s="10">
        <v>41233</v>
      </c>
      <c r="H2845">
        <v>47</v>
      </c>
      <c r="I2845">
        <v>2016</v>
      </c>
      <c r="J2845" t="s">
        <v>75</v>
      </c>
      <c r="K2845" t="s">
        <v>74</v>
      </c>
      <c r="L2845" t="s">
        <v>75</v>
      </c>
      <c r="M2845" t="s">
        <v>74</v>
      </c>
      <c r="N2845" t="s">
        <v>75</v>
      </c>
      <c r="O2845" t="s">
        <v>73</v>
      </c>
      <c r="P2845" t="s">
        <v>75</v>
      </c>
    </row>
    <row r="2846" spans="1:16" hidden="1">
      <c r="A2846" t="s">
        <v>1572</v>
      </c>
      <c r="B2846" t="s">
        <v>1290</v>
      </c>
      <c r="C2846" t="s">
        <v>132</v>
      </c>
      <c r="D2846" t="s">
        <v>1294</v>
      </c>
      <c r="E2846" t="s">
        <v>1272</v>
      </c>
      <c r="F2846">
        <v>3</v>
      </c>
      <c r="G2846" s="10">
        <v>41233</v>
      </c>
      <c r="H2846">
        <v>47</v>
      </c>
      <c r="I2846">
        <v>2016</v>
      </c>
      <c r="J2846" t="s">
        <v>74</v>
      </c>
      <c r="K2846" t="s">
        <v>134</v>
      </c>
      <c r="L2846" t="s">
        <v>73</v>
      </c>
      <c r="M2846" t="s">
        <v>75</v>
      </c>
      <c r="N2846" t="s">
        <v>75</v>
      </c>
      <c r="O2846" t="s">
        <v>74</v>
      </c>
      <c r="P2846" t="s">
        <v>75</v>
      </c>
    </row>
    <row r="2847" spans="1:16" hidden="1">
      <c r="A2847" t="s">
        <v>1573</v>
      </c>
      <c r="B2847" t="s">
        <v>1291</v>
      </c>
      <c r="C2847" t="s">
        <v>132</v>
      </c>
      <c r="D2847" t="s">
        <v>1295</v>
      </c>
      <c r="E2847" t="s">
        <v>1272</v>
      </c>
      <c r="F2847">
        <v>1</v>
      </c>
      <c r="G2847" s="10">
        <v>41233</v>
      </c>
      <c r="H2847">
        <v>47</v>
      </c>
      <c r="I2847">
        <v>2016</v>
      </c>
      <c r="J2847" t="s">
        <v>75</v>
      </c>
      <c r="K2847" t="s">
        <v>74</v>
      </c>
      <c r="L2847" t="s">
        <v>75</v>
      </c>
      <c r="M2847" t="s">
        <v>75</v>
      </c>
      <c r="N2847" t="s">
        <v>73</v>
      </c>
      <c r="O2847" t="s">
        <v>74</v>
      </c>
      <c r="P2847" t="s">
        <v>74</v>
      </c>
    </row>
    <row r="2848" spans="1:16" hidden="1">
      <c r="A2848" t="s">
        <v>1574</v>
      </c>
      <c r="B2848" t="s">
        <v>1296</v>
      </c>
      <c r="C2848" t="s">
        <v>1297</v>
      </c>
      <c r="D2848" t="s">
        <v>1293</v>
      </c>
      <c r="E2848" t="s">
        <v>1272</v>
      </c>
      <c r="F2848">
        <v>2</v>
      </c>
      <c r="G2848" s="10">
        <v>41233</v>
      </c>
      <c r="H2848">
        <v>47</v>
      </c>
      <c r="I2848">
        <v>2016</v>
      </c>
      <c r="J2848" t="s">
        <v>74</v>
      </c>
      <c r="K2848" t="s">
        <v>75</v>
      </c>
      <c r="L2848" t="s">
        <v>74</v>
      </c>
      <c r="M2848" t="s">
        <v>73</v>
      </c>
      <c r="N2848" t="s">
        <v>74</v>
      </c>
      <c r="O2848" t="s">
        <v>75</v>
      </c>
      <c r="P2848" t="s">
        <v>74</v>
      </c>
    </row>
    <row r="2849" spans="1:16" hidden="1">
      <c r="A2849" t="s">
        <v>1575</v>
      </c>
      <c r="B2849" t="s">
        <v>3</v>
      </c>
      <c r="C2849" t="s">
        <v>4</v>
      </c>
      <c r="D2849" t="s">
        <v>90</v>
      </c>
      <c r="E2849" t="s">
        <v>1271</v>
      </c>
      <c r="F2849">
        <v>9</v>
      </c>
      <c r="G2849" s="10">
        <v>41240</v>
      </c>
      <c r="H2849">
        <v>48</v>
      </c>
      <c r="I2849">
        <v>2016</v>
      </c>
      <c r="J2849" t="s">
        <v>75</v>
      </c>
      <c r="K2849" t="s">
        <v>74</v>
      </c>
      <c r="L2849" t="s">
        <v>74</v>
      </c>
      <c r="M2849" t="s">
        <v>75</v>
      </c>
      <c r="N2849" t="s">
        <v>73</v>
      </c>
      <c r="O2849" t="s">
        <v>74</v>
      </c>
      <c r="P2849" t="s">
        <v>75</v>
      </c>
    </row>
    <row r="2850" spans="1:16" hidden="1">
      <c r="A2850" t="s">
        <v>1576</v>
      </c>
      <c r="B2850" t="s">
        <v>5</v>
      </c>
      <c r="C2850" t="s">
        <v>6</v>
      </c>
      <c r="D2850" t="s">
        <v>93</v>
      </c>
      <c r="E2850" t="s">
        <v>1271</v>
      </c>
      <c r="F2850">
        <v>10</v>
      </c>
      <c r="G2850" s="10">
        <v>41240</v>
      </c>
      <c r="H2850">
        <v>48</v>
      </c>
      <c r="I2850">
        <v>2016</v>
      </c>
      <c r="J2850" t="s">
        <v>75</v>
      </c>
      <c r="K2850" t="s">
        <v>76</v>
      </c>
      <c r="L2850" t="s">
        <v>77</v>
      </c>
      <c r="M2850" t="s">
        <v>73</v>
      </c>
      <c r="N2850" t="s">
        <v>74</v>
      </c>
      <c r="O2850" t="s">
        <v>75</v>
      </c>
      <c r="P2850" t="s">
        <v>75</v>
      </c>
    </row>
    <row r="2851" spans="1:16" hidden="1">
      <c r="A2851" t="s">
        <v>1577</v>
      </c>
      <c r="B2851" t="s">
        <v>7</v>
      </c>
      <c r="C2851" t="s">
        <v>8</v>
      </c>
      <c r="D2851" t="s">
        <v>94</v>
      </c>
      <c r="E2851" t="s">
        <v>1271</v>
      </c>
      <c r="F2851">
        <v>4</v>
      </c>
      <c r="G2851" s="10">
        <v>41240</v>
      </c>
      <c r="H2851">
        <v>48</v>
      </c>
      <c r="I2851">
        <v>2016</v>
      </c>
      <c r="J2851" t="s">
        <v>74</v>
      </c>
      <c r="K2851" t="s">
        <v>75</v>
      </c>
      <c r="L2851" t="s">
        <v>74</v>
      </c>
      <c r="M2851" t="s">
        <v>73</v>
      </c>
      <c r="N2851" t="s">
        <v>134</v>
      </c>
      <c r="O2851" t="s">
        <v>74</v>
      </c>
      <c r="P2851" t="s">
        <v>75</v>
      </c>
    </row>
    <row r="2852" spans="1:16" hidden="1">
      <c r="A2852" t="s">
        <v>1578</v>
      </c>
      <c r="B2852" t="s">
        <v>9</v>
      </c>
      <c r="C2852" t="s">
        <v>10</v>
      </c>
      <c r="D2852" t="s">
        <v>96</v>
      </c>
      <c r="E2852" t="s">
        <v>1271</v>
      </c>
      <c r="F2852">
        <v>5</v>
      </c>
      <c r="G2852" s="10">
        <v>41240</v>
      </c>
      <c r="H2852">
        <v>48</v>
      </c>
      <c r="I2852">
        <v>2016</v>
      </c>
      <c r="J2852" t="s">
        <v>76</v>
      </c>
      <c r="K2852" t="s">
        <v>77</v>
      </c>
      <c r="L2852" t="s">
        <v>73</v>
      </c>
      <c r="M2852" t="s">
        <v>134</v>
      </c>
      <c r="N2852" t="s">
        <v>74</v>
      </c>
      <c r="O2852" t="s">
        <v>75</v>
      </c>
      <c r="P2852" t="s">
        <v>76</v>
      </c>
    </row>
    <row r="2853" spans="1:16" hidden="1">
      <c r="A2853" t="s">
        <v>1579</v>
      </c>
      <c r="B2853" t="s">
        <v>11</v>
      </c>
      <c r="C2853" t="s">
        <v>12</v>
      </c>
      <c r="D2853" t="s">
        <v>97</v>
      </c>
      <c r="E2853" t="s">
        <v>1271</v>
      </c>
      <c r="F2853">
        <v>6</v>
      </c>
      <c r="G2853" s="10">
        <v>41240</v>
      </c>
      <c r="H2853">
        <v>48</v>
      </c>
      <c r="I2853">
        <v>2016</v>
      </c>
      <c r="J2853" t="s">
        <v>77</v>
      </c>
      <c r="K2853" t="s">
        <v>73</v>
      </c>
      <c r="L2853" t="s">
        <v>74</v>
      </c>
      <c r="M2853" t="s">
        <v>74</v>
      </c>
      <c r="N2853" t="s">
        <v>74</v>
      </c>
      <c r="O2853" t="s">
        <v>75</v>
      </c>
      <c r="P2853" t="s">
        <v>74</v>
      </c>
    </row>
    <row r="2854" spans="1:16" hidden="1">
      <c r="A2854" t="s">
        <v>1580</v>
      </c>
      <c r="B2854" t="s">
        <v>13</v>
      </c>
      <c r="C2854" t="s">
        <v>14</v>
      </c>
      <c r="D2854" t="s">
        <v>120</v>
      </c>
      <c r="E2854" t="s">
        <v>1320</v>
      </c>
      <c r="F2854">
        <v>1</v>
      </c>
      <c r="G2854" s="10">
        <v>41240</v>
      </c>
      <c r="H2854">
        <v>48</v>
      </c>
      <c r="I2854">
        <v>2016</v>
      </c>
      <c r="J2854" t="s">
        <v>126</v>
      </c>
      <c r="K2854" t="s">
        <v>126</v>
      </c>
      <c r="L2854" t="s">
        <v>126</v>
      </c>
      <c r="M2854" t="s">
        <v>126</v>
      </c>
      <c r="N2854" t="s">
        <v>126</v>
      </c>
      <c r="O2854" t="s">
        <v>126</v>
      </c>
      <c r="P2854" t="s">
        <v>126</v>
      </c>
    </row>
    <row r="2855" spans="1:16" hidden="1">
      <c r="A2855" t="s">
        <v>1581</v>
      </c>
      <c r="B2855" t="s">
        <v>13</v>
      </c>
      <c r="C2855" t="s">
        <v>15</v>
      </c>
      <c r="D2855" t="s">
        <v>98</v>
      </c>
      <c r="E2855" t="s">
        <v>1272</v>
      </c>
      <c r="F2855">
        <v>1</v>
      </c>
      <c r="G2855" s="10">
        <v>41240</v>
      </c>
      <c r="H2855">
        <v>48</v>
      </c>
      <c r="I2855">
        <v>2016</v>
      </c>
      <c r="J2855" t="s">
        <v>75</v>
      </c>
      <c r="K2855" t="s">
        <v>74</v>
      </c>
      <c r="L2855" t="s">
        <v>75</v>
      </c>
      <c r="M2855" t="s">
        <v>134</v>
      </c>
      <c r="N2855" t="s">
        <v>73</v>
      </c>
      <c r="O2855" t="s">
        <v>74</v>
      </c>
      <c r="P2855" t="s">
        <v>74</v>
      </c>
    </row>
    <row r="2856" spans="1:16" hidden="1">
      <c r="A2856" t="s">
        <v>1582</v>
      </c>
      <c r="B2856" t="s">
        <v>16</v>
      </c>
      <c r="C2856" t="s">
        <v>17</v>
      </c>
      <c r="D2856" t="s">
        <v>99</v>
      </c>
      <c r="E2856" t="s">
        <v>1271</v>
      </c>
      <c r="F2856">
        <v>11</v>
      </c>
      <c r="G2856" s="10">
        <v>41240</v>
      </c>
      <c r="H2856">
        <v>48</v>
      </c>
      <c r="I2856">
        <v>2016</v>
      </c>
      <c r="J2856" t="s">
        <v>75</v>
      </c>
      <c r="K2856" t="s">
        <v>75</v>
      </c>
      <c r="L2856" t="s">
        <v>73</v>
      </c>
      <c r="M2856" t="s">
        <v>75</v>
      </c>
      <c r="N2856" t="s">
        <v>75</v>
      </c>
      <c r="O2856" t="s">
        <v>76</v>
      </c>
      <c r="P2856" t="s">
        <v>77</v>
      </c>
    </row>
    <row r="2857" spans="1:16" hidden="1">
      <c r="A2857" t="s">
        <v>1583</v>
      </c>
      <c r="B2857" t="s">
        <v>18</v>
      </c>
      <c r="C2857" t="s">
        <v>19</v>
      </c>
      <c r="D2857" t="s">
        <v>100</v>
      </c>
      <c r="E2857" t="s">
        <v>1271</v>
      </c>
      <c r="F2857">
        <v>2</v>
      </c>
      <c r="G2857" s="10">
        <v>41240</v>
      </c>
      <c r="H2857">
        <v>48</v>
      </c>
      <c r="I2857">
        <v>2016</v>
      </c>
      <c r="J2857" t="s">
        <v>74</v>
      </c>
      <c r="K2857" t="s">
        <v>75</v>
      </c>
      <c r="L2857" t="s">
        <v>75</v>
      </c>
      <c r="M2857" t="s">
        <v>75</v>
      </c>
      <c r="N2857" t="s">
        <v>75</v>
      </c>
      <c r="O2857" t="s">
        <v>73</v>
      </c>
      <c r="P2857" t="s">
        <v>134</v>
      </c>
    </row>
    <row r="2858" spans="1:16" hidden="1">
      <c r="A2858" t="s">
        <v>1584</v>
      </c>
      <c r="B2858" t="s">
        <v>20</v>
      </c>
      <c r="C2858" t="s">
        <v>21</v>
      </c>
      <c r="D2858" t="s">
        <v>101</v>
      </c>
      <c r="E2858" t="s">
        <v>1271</v>
      </c>
      <c r="F2858">
        <v>1</v>
      </c>
      <c r="G2858" s="10">
        <v>41240</v>
      </c>
      <c r="H2858">
        <v>48</v>
      </c>
      <c r="I2858">
        <v>2016</v>
      </c>
      <c r="J2858" t="s">
        <v>73</v>
      </c>
      <c r="K2858" t="s">
        <v>74</v>
      </c>
      <c r="L2858" t="s">
        <v>75</v>
      </c>
      <c r="M2858" t="s">
        <v>75</v>
      </c>
      <c r="N2858" t="s">
        <v>76</v>
      </c>
      <c r="O2858" t="s">
        <v>77</v>
      </c>
      <c r="P2858" t="s">
        <v>73</v>
      </c>
    </row>
    <row r="2859" spans="1:16" hidden="1">
      <c r="A2859" t="s">
        <v>1585</v>
      </c>
      <c r="B2859" t="s">
        <v>22</v>
      </c>
      <c r="C2859" t="s">
        <v>17</v>
      </c>
      <c r="D2859" t="s">
        <v>102</v>
      </c>
      <c r="E2859" t="s">
        <v>1272</v>
      </c>
      <c r="F2859">
        <v>4</v>
      </c>
      <c r="G2859" s="10">
        <v>41240</v>
      </c>
      <c r="H2859">
        <v>48</v>
      </c>
      <c r="I2859">
        <v>2016</v>
      </c>
      <c r="J2859" t="s">
        <v>75</v>
      </c>
      <c r="K2859" t="s">
        <v>73</v>
      </c>
      <c r="L2859" t="s">
        <v>74</v>
      </c>
      <c r="M2859" t="s">
        <v>75</v>
      </c>
      <c r="N2859" t="s">
        <v>74</v>
      </c>
      <c r="O2859" t="s">
        <v>75</v>
      </c>
      <c r="P2859" t="s">
        <v>75</v>
      </c>
    </row>
    <row r="2860" spans="1:16" hidden="1">
      <c r="A2860" t="s">
        <v>1586</v>
      </c>
      <c r="B2860" t="s">
        <v>23</v>
      </c>
      <c r="C2860" t="s">
        <v>24</v>
      </c>
      <c r="D2860" t="s">
        <v>103</v>
      </c>
      <c r="E2860" t="s">
        <v>1272</v>
      </c>
      <c r="F2860">
        <v>5</v>
      </c>
      <c r="G2860" s="10">
        <v>41240</v>
      </c>
      <c r="H2860">
        <v>48</v>
      </c>
      <c r="I2860">
        <v>2016</v>
      </c>
      <c r="J2860" t="s">
        <v>73</v>
      </c>
      <c r="K2860" t="s">
        <v>75</v>
      </c>
      <c r="L2860" t="s">
        <v>75</v>
      </c>
      <c r="M2860" t="s">
        <v>74</v>
      </c>
      <c r="N2860" t="s">
        <v>75</v>
      </c>
      <c r="O2860" t="s">
        <v>75</v>
      </c>
      <c r="P2860" t="s">
        <v>73</v>
      </c>
    </row>
    <row r="2861" spans="1:16" hidden="1">
      <c r="A2861" t="s">
        <v>1587</v>
      </c>
      <c r="B2861" t="s">
        <v>23</v>
      </c>
      <c r="C2861" t="s">
        <v>55</v>
      </c>
      <c r="D2861" t="s">
        <v>127</v>
      </c>
      <c r="E2861" t="s">
        <v>1271</v>
      </c>
      <c r="F2861">
        <v>11</v>
      </c>
      <c r="G2861" s="10">
        <v>41240</v>
      </c>
      <c r="H2861">
        <v>48</v>
      </c>
      <c r="I2861">
        <v>2016</v>
      </c>
      <c r="J2861" t="s">
        <v>75</v>
      </c>
      <c r="K2861" t="s">
        <v>75</v>
      </c>
      <c r="L2861" t="s">
        <v>73</v>
      </c>
      <c r="M2861" t="s">
        <v>75</v>
      </c>
      <c r="N2861" t="s">
        <v>75</v>
      </c>
      <c r="O2861" t="s">
        <v>76</v>
      </c>
      <c r="P2861" t="s">
        <v>77</v>
      </c>
    </row>
    <row r="2862" spans="1:16" hidden="1">
      <c r="A2862" t="s">
        <v>1588</v>
      </c>
      <c r="B2862" t="s">
        <v>25</v>
      </c>
      <c r="C2862" t="s">
        <v>132</v>
      </c>
      <c r="D2862" t="s">
        <v>104</v>
      </c>
      <c r="E2862" t="s">
        <v>1271</v>
      </c>
      <c r="F2862">
        <v>3</v>
      </c>
      <c r="G2862" s="10">
        <v>41240</v>
      </c>
      <c r="H2862">
        <v>48</v>
      </c>
      <c r="I2862">
        <v>2016</v>
      </c>
      <c r="J2862" t="s">
        <v>74</v>
      </c>
      <c r="K2862" t="s">
        <v>75</v>
      </c>
      <c r="L2862" t="s">
        <v>76</v>
      </c>
      <c r="M2862" t="s">
        <v>77</v>
      </c>
      <c r="N2862" t="s">
        <v>73</v>
      </c>
      <c r="O2862" t="s">
        <v>74</v>
      </c>
      <c r="P2862" t="s">
        <v>75</v>
      </c>
    </row>
    <row r="2863" spans="1:16" hidden="1">
      <c r="A2863" t="s">
        <v>1589</v>
      </c>
      <c r="B2863" t="s">
        <v>56</v>
      </c>
      <c r="C2863" t="s">
        <v>57</v>
      </c>
      <c r="D2863" t="s">
        <v>129</v>
      </c>
      <c r="E2863" t="s">
        <v>1271</v>
      </c>
      <c r="F2863">
        <v>6</v>
      </c>
      <c r="G2863" s="10">
        <v>41240</v>
      </c>
      <c r="H2863">
        <v>48</v>
      </c>
      <c r="I2863">
        <v>2016</v>
      </c>
      <c r="J2863" t="s">
        <v>77</v>
      </c>
      <c r="K2863" t="s">
        <v>73</v>
      </c>
      <c r="L2863" t="s">
        <v>74</v>
      </c>
      <c r="M2863" t="s">
        <v>74</v>
      </c>
      <c r="N2863" t="s">
        <v>75</v>
      </c>
      <c r="O2863" t="s">
        <v>75</v>
      </c>
      <c r="P2863" t="s">
        <v>74</v>
      </c>
    </row>
    <row r="2864" spans="1:16" hidden="1">
      <c r="A2864" t="s">
        <v>1590</v>
      </c>
      <c r="B2864" t="s">
        <v>26</v>
      </c>
      <c r="C2864" t="s">
        <v>27</v>
      </c>
      <c r="D2864" t="s">
        <v>105</v>
      </c>
      <c r="E2864" t="s">
        <v>1271</v>
      </c>
      <c r="F2864">
        <v>7</v>
      </c>
      <c r="G2864" s="10">
        <v>41240</v>
      </c>
      <c r="H2864">
        <v>48</v>
      </c>
      <c r="I2864">
        <v>2016</v>
      </c>
      <c r="J2864" t="s">
        <v>73</v>
      </c>
      <c r="K2864" t="s">
        <v>75</v>
      </c>
      <c r="L2864" t="s">
        <v>75</v>
      </c>
      <c r="M2864" t="s">
        <v>74</v>
      </c>
      <c r="N2864" t="s">
        <v>74</v>
      </c>
      <c r="O2864" t="s">
        <v>75</v>
      </c>
      <c r="P2864" t="s">
        <v>73</v>
      </c>
    </row>
    <row r="2865" spans="1:16" hidden="1">
      <c r="A2865" t="s">
        <v>1591</v>
      </c>
      <c r="B2865" t="s">
        <v>28</v>
      </c>
      <c r="C2865" t="s">
        <v>29</v>
      </c>
      <c r="D2865" t="s">
        <v>106</v>
      </c>
      <c r="E2865" t="s">
        <v>1271</v>
      </c>
      <c r="F2865">
        <v>2</v>
      </c>
      <c r="G2865" s="10">
        <v>41240</v>
      </c>
      <c r="H2865">
        <v>48</v>
      </c>
      <c r="I2865">
        <v>2016</v>
      </c>
      <c r="J2865" t="s">
        <v>74</v>
      </c>
      <c r="K2865" t="s">
        <v>75</v>
      </c>
      <c r="L2865" t="s">
        <v>75</v>
      </c>
      <c r="M2865" t="s">
        <v>74</v>
      </c>
      <c r="N2865" t="s">
        <v>75</v>
      </c>
      <c r="O2865" t="s">
        <v>73</v>
      </c>
      <c r="P2865" t="s">
        <v>75</v>
      </c>
    </row>
    <row r="2866" spans="1:16">
      <c r="A2866" t="s">
        <v>1592</v>
      </c>
      <c r="B2866" t="s">
        <v>30</v>
      </c>
      <c r="C2866" t="s">
        <v>8</v>
      </c>
      <c r="D2866" t="s">
        <v>107</v>
      </c>
      <c r="E2866" t="s">
        <v>1272</v>
      </c>
      <c r="F2866">
        <v>1</v>
      </c>
      <c r="G2866" s="10">
        <v>41240</v>
      </c>
      <c r="H2866">
        <v>48</v>
      </c>
      <c r="I2866">
        <v>2016</v>
      </c>
      <c r="J2866" t="s">
        <v>75</v>
      </c>
      <c r="K2866" t="s">
        <v>75</v>
      </c>
      <c r="L2866" t="s">
        <v>1298</v>
      </c>
      <c r="M2866" t="s">
        <v>92</v>
      </c>
      <c r="N2866" t="s">
        <v>73</v>
      </c>
      <c r="O2866" t="s">
        <v>92</v>
      </c>
      <c r="P2866" t="s">
        <v>92</v>
      </c>
    </row>
    <row r="2867" spans="1:16">
      <c r="A2867" t="s">
        <v>1593</v>
      </c>
      <c r="B2867" t="s">
        <v>30</v>
      </c>
      <c r="C2867" t="s">
        <v>31</v>
      </c>
      <c r="D2867" t="s">
        <v>108</v>
      </c>
      <c r="E2867" t="s">
        <v>1271</v>
      </c>
      <c r="F2867">
        <v>10</v>
      </c>
      <c r="G2867" s="10">
        <v>41240</v>
      </c>
      <c r="H2867">
        <v>48</v>
      </c>
      <c r="I2867">
        <v>2016</v>
      </c>
      <c r="J2867" t="s">
        <v>75</v>
      </c>
      <c r="K2867" t="s">
        <v>76</v>
      </c>
      <c r="L2867" t="s">
        <v>77</v>
      </c>
      <c r="M2867" t="s">
        <v>73</v>
      </c>
      <c r="N2867" t="s">
        <v>74</v>
      </c>
      <c r="O2867" t="s">
        <v>75</v>
      </c>
      <c r="P2867" t="s">
        <v>75</v>
      </c>
    </row>
    <row r="2868" spans="1:16" hidden="1">
      <c r="A2868" t="s">
        <v>1594</v>
      </c>
      <c r="B2868" t="s">
        <v>32</v>
      </c>
      <c r="C2868" t="s">
        <v>33</v>
      </c>
      <c r="D2868" t="s">
        <v>109</v>
      </c>
      <c r="E2868" t="s">
        <v>1272</v>
      </c>
      <c r="F2868">
        <v>3</v>
      </c>
      <c r="G2868" s="10">
        <v>41240</v>
      </c>
      <c r="H2868">
        <v>48</v>
      </c>
      <c r="I2868">
        <v>2016</v>
      </c>
      <c r="J2868" t="s">
        <v>74</v>
      </c>
      <c r="K2868" t="s">
        <v>75</v>
      </c>
      <c r="L2868" t="s">
        <v>73</v>
      </c>
      <c r="M2868" t="s">
        <v>75</v>
      </c>
      <c r="N2868" t="s">
        <v>75</v>
      </c>
      <c r="O2868" t="s">
        <v>75</v>
      </c>
      <c r="P2868" t="s">
        <v>75</v>
      </c>
    </row>
    <row r="2869" spans="1:16" hidden="1">
      <c r="A2869" t="s">
        <v>1595</v>
      </c>
      <c r="B2869" t="s">
        <v>32</v>
      </c>
      <c r="C2869" t="s">
        <v>34</v>
      </c>
      <c r="D2869" t="s">
        <v>122</v>
      </c>
      <c r="E2869" t="s">
        <v>1320</v>
      </c>
      <c r="F2869">
        <v>1</v>
      </c>
      <c r="G2869" s="10">
        <v>41240</v>
      </c>
      <c r="H2869">
        <v>48</v>
      </c>
      <c r="I2869">
        <v>2016</v>
      </c>
      <c r="J2869" t="s">
        <v>126</v>
      </c>
      <c r="K2869" t="s">
        <v>126</v>
      </c>
      <c r="L2869" t="s">
        <v>126</v>
      </c>
      <c r="M2869" t="s">
        <v>126</v>
      </c>
      <c r="N2869" t="s">
        <v>126</v>
      </c>
      <c r="O2869" t="s">
        <v>126</v>
      </c>
      <c r="P2869" t="s">
        <v>126</v>
      </c>
    </row>
    <row r="2870" spans="1:16" hidden="1">
      <c r="A2870" t="s">
        <v>1596</v>
      </c>
      <c r="B2870" t="s">
        <v>35</v>
      </c>
      <c r="C2870" t="s">
        <v>36</v>
      </c>
      <c r="D2870" t="s">
        <v>110</v>
      </c>
      <c r="E2870" t="s">
        <v>1271</v>
      </c>
      <c r="F2870">
        <v>4</v>
      </c>
      <c r="G2870" s="10">
        <v>41240</v>
      </c>
      <c r="H2870">
        <v>48</v>
      </c>
      <c r="I2870">
        <v>2016</v>
      </c>
      <c r="J2870" t="s">
        <v>74</v>
      </c>
      <c r="K2870" t="s">
        <v>75</v>
      </c>
      <c r="L2870" t="s">
        <v>74</v>
      </c>
      <c r="M2870" t="s">
        <v>73</v>
      </c>
      <c r="N2870" t="s">
        <v>75</v>
      </c>
      <c r="O2870" t="s">
        <v>134</v>
      </c>
      <c r="P2870" t="s">
        <v>75</v>
      </c>
    </row>
    <row r="2871" spans="1:16" hidden="1">
      <c r="A2871" t="s">
        <v>1597</v>
      </c>
      <c r="B2871" t="s">
        <v>58</v>
      </c>
      <c r="C2871" t="s">
        <v>59</v>
      </c>
      <c r="D2871" t="s">
        <v>130</v>
      </c>
      <c r="E2871" t="s">
        <v>1272</v>
      </c>
      <c r="F2871">
        <v>1</v>
      </c>
      <c r="G2871" s="10">
        <v>41240</v>
      </c>
      <c r="H2871">
        <v>48</v>
      </c>
      <c r="I2871">
        <v>2016</v>
      </c>
      <c r="J2871" t="s">
        <v>75</v>
      </c>
      <c r="K2871" t="s">
        <v>75</v>
      </c>
      <c r="L2871" t="s">
        <v>75</v>
      </c>
      <c r="M2871" t="s">
        <v>75</v>
      </c>
      <c r="N2871" t="s">
        <v>73</v>
      </c>
      <c r="O2871" t="s">
        <v>74</v>
      </c>
      <c r="P2871" t="s">
        <v>74</v>
      </c>
    </row>
    <row r="2872" spans="1:16" hidden="1">
      <c r="A2872" t="s">
        <v>1598</v>
      </c>
      <c r="B2872" t="s">
        <v>37</v>
      </c>
      <c r="C2872" t="s">
        <v>38</v>
      </c>
      <c r="D2872" t="s">
        <v>111</v>
      </c>
      <c r="E2872" t="s">
        <v>1271</v>
      </c>
      <c r="F2872">
        <v>5</v>
      </c>
      <c r="G2872" s="10">
        <v>41240</v>
      </c>
      <c r="H2872">
        <v>48</v>
      </c>
      <c r="I2872">
        <v>2016</v>
      </c>
      <c r="J2872" t="s">
        <v>76</v>
      </c>
      <c r="K2872" t="s">
        <v>77</v>
      </c>
      <c r="L2872" t="s">
        <v>73</v>
      </c>
      <c r="M2872" t="s">
        <v>74</v>
      </c>
      <c r="N2872" t="s">
        <v>75</v>
      </c>
      <c r="O2872" t="s">
        <v>75</v>
      </c>
      <c r="P2872" t="s">
        <v>76</v>
      </c>
    </row>
    <row r="2873" spans="1:16" hidden="1">
      <c r="A2873" t="s">
        <v>1599</v>
      </c>
      <c r="B2873" t="s">
        <v>39</v>
      </c>
      <c r="C2873" t="s">
        <v>40</v>
      </c>
      <c r="D2873" t="s">
        <v>112</v>
      </c>
      <c r="E2873" t="s">
        <v>1272</v>
      </c>
      <c r="F2873">
        <v>6</v>
      </c>
      <c r="G2873" s="10">
        <v>41240</v>
      </c>
      <c r="H2873">
        <v>48</v>
      </c>
      <c r="I2873">
        <v>2016</v>
      </c>
      <c r="J2873" t="s">
        <v>75</v>
      </c>
      <c r="K2873" t="s">
        <v>134</v>
      </c>
      <c r="L2873" t="s">
        <v>75</v>
      </c>
      <c r="M2873" t="s">
        <v>74</v>
      </c>
      <c r="N2873" t="s">
        <v>75</v>
      </c>
      <c r="O2873" t="s">
        <v>73</v>
      </c>
      <c r="P2873" t="s">
        <v>75</v>
      </c>
    </row>
    <row r="2874" spans="1:16" hidden="1">
      <c r="A2874" t="s">
        <v>1600</v>
      </c>
      <c r="B2874" t="s">
        <v>41</v>
      </c>
      <c r="C2874" t="s">
        <v>42</v>
      </c>
      <c r="D2874" t="s">
        <v>113</v>
      </c>
      <c r="E2874" t="s">
        <v>1271</v>
      </c>
      <c r="F2874">
        <v>9</v>
      </c>
      <c r="G2874" s="10">
        <v>41240</v>
      </c>
      <c r="H2874">
        <v>48</v>
      </c>
      <c r="I2874">
        <v>2016</v>
      </c>
      <c r="J2874" t="s">
        <v>75</v>
      </c>
      <c r="K2874" t="s">
        <v>74</v>
      </c>
      <c r="L2874" t="s">
        <v>74</v>
      </c>
      <c r="M2874" t="s">
        <v>134</v>
      </c>
      <c r="N2874" t="s">
        <v>73</v>
      </c>
      <c r="O2874" t="s">
        <v>74</v>
      </c>
      <c r="P2874" t="s">
        <v>74</v>
      </c>
    </row>
    <row r="2875" spans="1:16" hidden="1">
      <c r="A2875" t="s">
        <v>1601</v>
      </c>
      <c r="B2875" t="s">
        <v>43</v>
      </c>
      <c r="C2875" t="s">
        <v>44</v>
      </c>
      <c r="D2875" t="s">
        <v>114</v>
      </c>
      <c r="E2875" t="s">
        <v>1271</v>
      </c>
      <c r="F2875">
        <v>1</v>
      </c>
      <c r="G2875" s="10">
        <v>41240</v>
      </c>
      <c r="H2875">
        <v>48</v>
      </c>
      <c r="I2875">
        <v>2016</v>
      </c>
      <c r="J2875" t="s">
        <v>73</v>
      </c>
      <c r="K2875" t="s">
        <v>74</v>
      </c>
      <c r="L2875" t="s">
        <v>75</v>
      </c>
      <c r="M2875" t="s">
        <v>75</v>
      </c>
      <c r="N2875" t="s">
        <v>76</v>
      </c>
      <c r="O2875" t="s">
        <v>77</v>
      </c>
      <c r="P2875" t="s">
        <v>73</v>
      </c>
    </row>
    <row r="2876" spans="1:16" hidden="1">
      <c r="A2876" t="s">
        <v>1602</v>
      </c>
      <c r="B2876" t="s">
        <v>45</v>
      </c>
      <c r="C2876" t="s">
        <v>46</v>
      </c>
      <c r="D2876" t="s">
        <v>115</v>
      </c>
      <c r="E2876" t="s">
        <v>1271</v>
      </c>
      <c r="F2876">
        <v>8</v>
      </c>
      <c r="G2876" s="10">
        <v>41240</v>
      </c>
      <c r="H2876">
        <v>48</v>
      </c>
      <c r="I2876">
        <v>2016</v>
      </c>
      <c r="J2876" t="s">
        <v>75</v>
      </c>
      <c r="K2876" t="s">
        <v>75</v>
      </c>
      <c r="L2876" t="s">
        <v>75</v>
      </c>
      <c r="M2876" t="s">
        <v>76</v>
      </c>
      <c r="N2876" t="s">
        <v>77</v>
      </c>
      <c r="O2876" t="s">
        <v>73</v>
      </c>
      <c r="P2876" t="s">
        <v>74</v>
      </c>
    </row>
    <row r="2877" spans="1:16" hidden="1">
      <c r="A2877" t="s">
        <v>1603</v>
      </c>
      <c r="B2877" t="s">
        <v>47</v>
      </c>
      <c r="C2877" t="s">
        <v>48</v>
      </c>
      <c r="D2877" t="s">
        <v>116</v>
      </c>
      <c r="E2877" t="s">
        <v>1271</v>
      </c>
      <c r="F2877">
        <v>8</v>
      </c>
      <c r="G2877" s="10">
        <v>41240</v>
      </c>
      <c r="H2877">
        <v>48</v>
      </c>
      <c r="I2877">
        <v>2016</v>
      </c>
      <c r="J2877" t="s">
        <v>75</v>
      </c>
      <c r="K2877" t="s">
        <v>74</v>
      </c>
      <c r="L2877" t="s">
        <v>75</v>
      </c>
      <c r="M2877" t="s">
        <v>76</v>
      </c>
      <c r="N2877" t="s">
        <v>77</v>
      </c>
      <c r="O2877" t="s">
        <v>73</v>
      </c>
      <c r="P2877" t="s">
        <v>74</v>
      </c>
    </row>
    <row r="2878" spans="1:16" hidden="1">
      <c r="A2878" t="s">
        <v>1604</v>
      </c>
      <c r="B2878" t="s">
        <v>49</v>
      </c>
      <c r="C2878" t="s">
        <v>50</v>
      </c>
      <c r="D2878" t="s">
        <v>117</v>
      </c>
      <c r="E2878" t="s">
        <v>1271</v>
      </c>
      <c r="F2878">
        <v>7</v>
      </c>
      <c r="G2878" s="10">
        <v>41240</v>
      </c>
      <c r="H2878">
        <v>48</v>
      </c>
      <c r="I2878">
        <v>2016</v>
      </c>
      <c r="J2878" t="s">
        <v>73</v>
      </c>
      <c r="K2878" t="s">
        <v>74</v>
      </c>
      <c r="L2878" t="s">
        <v>75</v>
      </c>
      <c r="M2878" t="s">
        <v>74</v>
      </c>
      <c r="N2878" t="s">
        <v>74</v>
      </c>
      <c r="O2878" t="s">
        <v>75</v>
      </c>
      <c r="P2878" t="s">
        <v>73</v>
      </c>
    </row>
    <row r="2879" spans="1:16" hidden="1">
      <c r="A2879" t="s">
        <v>1605</v>
      </c>
      <c r="B2879" t="s">
        <v>51</v>
      </c>
      <c r="C2879" t="s">
        <v>52</v>
      </c>
      <c r="D2879" t="s">
        <v>118</v>
      </c>
      <c r="E2879" t="s">
        <v>1271</v>
      </c>
      <c r="F2879">
        <v>3</v>
      </c>
      <c r="G2879" s="10">
        <v>41240</v>
      </c>
      <c r="H2879">
        <v>48</v>
      </c>
      <c r="I2879">
        <v>2016</v>
      </c>
      <c r="J2879" t="s">
        <v>74</v>
      </c>
      <c r="K2879" t="s">
        <v>75</v>
      </c>
      <c r="L2879" t="s">
        <v>76</v>
      </c>
      <c r="M2879" t="s">
        <v>77</v>
      </c>
      <c r="N2879" t="s">
        <v>73</v>
      </c>
      <c r="O2879" t="s">
        <v>74</v>
      </c>
      <c r="P2879" t="s">
        <v>75</v>
      </c>
    </row>
    <row r="2880" spans="1:16" hidden="1">
      <c r="A2880" t="s">
        <v>1606</v>
      </c>
      <c r="B2880" t="s">
        <v>53</v>
      </c>
      <c r="C2880" t="s">
        <v>54</v>
      </c>
      <c r="D2880" t="s">
        <v>119</v>
      </c>
      <c r="E2880" t="s">
        <v>1272</v>
      </c>
      <c r="F2880">
        <v>5</v>
      </c>
      <c r="G2880" s="10">
        <v>41240</v>
      </c>
      <c r="H2880">
        <v>48</v>
      </c>
      <c r="I2880">
        <v>2016</v>
      </c>
      <c r="J2880" t="s">
        <v>73</v>
      </c>
      <c r="K2880" t="s">
        <v>75</v>
      </c>
      <c r="L2880" t="s">
        <v>75</v>
      </c>
      <c r="M2880" t="s">
        <v>74</v>
      </c>
      <c r="N2880" t="s">
        <v>75</v>
      </c>
      <c r="O2880" t="s">
        <v>75</v>
      </c>
      <c r="P2880" t="s">
        <v>73</v>
      </c>
    </row>
    <row r="2881" spans="1:16" hidden="1">
      <c r="A2881" t="s">
        <v>1607</v>
      </c>
      <c r="B2881" t="s">
        <v>1289</v>
      </c>
      <c r="C2881" t="s">
        <v>132</v>
      </c>
      <c r="D2881" t="s">
        <v>1292</v>
      </c>
      <c r="E2881" t="s">
        <v>1272</v>
      </c>
      <c r="F2881">
        <v>1</v>
      </c>
      <c r="G2881" s="10">
        <v>41240</v>
      </c>
      <c r="H2881">
        <v>48</v>
      </c>
      <c r="I2881">
        <v>2016</v>
      </c>
      <c r="J2881" t="s">
        <v>75</v>
      </c>
      <c r="K2881" t="s">
        <v>74</v>
      </c>
      <c r="L2881" t="s">
        <v>75</v>
      </c>
      <c r="M2881" t="s">
        <v>75</v>
      </c>
      <c r="N2881" t="s">
        <v>73</v>
      </c>
      <c r="O2881" t="s">
        <v>74</v>
      </c>
      <c r="P2881" t="s">
        <v>74</v>
      </c>
    </row>
    <row r="2882" spans="1:16" hidden="1">
      <c r="A2882" t="s">
        <v>1608</v>
      </c>
      <c r="B2882" t="s">
        <v>1290</v>
      </c>
      <c r="C2882" t="s">
        <v>132</v>
      </c>
      <c r="D2882" t="s">
        <v>1294</v>
      </c>
      <c r="E2882" t="s">
        <v>1272</v>
      </c>
      <c r="F2882">
        <v>4</v>
      </c>
      <c r="G2882" s="10">
        <v>41240</v>
      </c>
      <c r="H2882">
        <v>48</v>
      </c>
      <c r="I2882">
        <v>2016</v>
      </c>
      <c r="J2882" t="s">
        <v>75</v>
      </c>
      <c r="K2882" t="s">
        <v>73</v>
      </c>
      <c r="L2882" t="s">
        <v>74</v>
      </c>
      <c r="M2882" t="s">
        <v>75</v>
      </c>
      <c r="N2882" t="s">
        <v>74</v>
      </c>
      <c r="O2882" t="s">
        <v>75</v>
      </c>
      <c r="P2882" t="s">
        <v>75</v>
      </c>
    </row>
    <row r="2883" spans="1:16" hidden="1">
      <c r="A2883" t="s">
        <v>1609</v>
      </c>
      <c r="B2883" t="s">
        <v>1291</v>
      </c>
      <c r="C2883" t="s">
        <v>132</v>
      </c>
      <c r="D2883" t="s">
        <v>1295</v>
      </c>
      <c r="E2883" t="s">
        <v>1272</v>
      </c>
      <c r="F2883">
        <v>2</v>
      </c>
      <c r="G2883" s="10">
        <v>41240</v>
      </c>
      <c r="H2883">
        <v>48</v>
      </c>
      <c r="I2883">
        <v>2016</v>
      </c>
      <c r="J2883" t="s">
        <v>74</v>
      </c>
      <c r="K2883" t="s">
        <v>75</v>
      </c>
      <c r="L2883" t="s">
        <v>74</v>
      </c>
      <c r="M2883" t="s">
        <v>73</v>
      </c>
      <c r="N2883" t="s">
        <v>74</v>
      </c>
      <c r="O2883" t="s">
        <v>75</v>
      </c>
      <c r="P2883" t="s">
        <v>74</v>
      </c>
    </row>
    <row r="2884" spans="1:16" hidden="1">
      <c r="A2884" t="s">
        <v>1610</v>
      </c>
      <c r="B2884" t="s">
        <v>1296</v>
      </c>
      <c r="C2884" t="s">
        <v>1297</v>
      </c>
      <c r="D2884" t="s">
        <v>1293</v>
      </c>
      <c r="E2884" t="s">
        <v>1272</v>
      </c>
      <c r="F2884">
        <v>3</v>
      </c>
      <c r="G2884" s="10">
        <v>41240</v>
      </c>
      <c r="H2884">
        <v>48</v>
      </c>
      <c r="I2884">
        <v>2016</v>
      </c>
      <c r="J2884" t="s">
        <v>74</v>
      </c>
      <c r="K2884" t="s">
        <v>74</v>
      </c>
      <c r="L2884" t="s">
        <v>73</v>
      </c>
      <c r="M2884" t="s">
        <v>75</v>
      </c>
      <c r="N2884" t="s">
        <v>75</v>
      </c>
      <c r="O2884" t="s">
        <v>74</v>
      </c>
      <c r="P2884" t="s">
        <v>75</v>
      </c>
    </row>
    <row r="2885" spans="1:16" hidden="1">
      <c r="A2885" t="s">
        <v>1611</v>
      </c>
      <c r="B2885" t="s">
        <v>3</v>
      </c>
      <c r="C2885" t="s">
        <v>4</v>
      </c>
      <c r="D2885" t="s">
        <v>90</v>
      </c>
      <c r="E2885" t="s">
        <v>1271</v>
      </c>
      <c r="F2885">
        <v>10</v>
      </c>
      <c r="G2885" s="10">
        <v>41247</v>
      </c>
      <c r="H2885">
        <v>49</v>
      </c>
      <c r="I2885">
        <v>2016</v>
      </c>
      <c r="J2885" t="s">
        <v>75</v>
      </c>
      <c r="K2885" t="s">
        <v>76</v>
      </c>
      <c r="L2885" t="s">
        <v>77</v>
      </c>
      <c r="M2885" t="s">
        <v>73</v>
      </c>
      <c r="N2885" t="s">
        <v>74</v>
      </c>
      <c r="O2885" t="s">
        <v>75</v>
      </c>
      <c r="P2885" t="s">
        <v>75</v>
      </c>
    </row>
    <row r="2886" spans="1:16" hidden="1">
      <c r="A2886" t="s">
        <v>1612</v>
      </c>
      <c r="B2886" t="s">
        <v>5</v>
      </c>
      <c r="C2886" t="s">
        <v>6</v>
      </c>
      <c r="D2886" t="s">
        <v>93</v>
      </c>
      <c r="E2886" t="s">
        <v>1271</v>
      </c>
      <c r="F2886">
        <v>11</v>
      </c>
      <c r="G2886" s="10">
        <v>41247</v>
      </c>
      <c r="H2886">
        <v>49</v>
      </c>
      <c r="I2886">
        <v>2016</v>
      </c>
      <c r="J2886" t="s">
        <v>75</v>
      </c>
      <c r="K2886" t="s">
        <v>75</v>
      </c>
      <c r="L2886" t="s">
        <v>73</v>
      </c>
      <c r="M2886" t="s">
        <v>75</v>
      </c>
      <c r="N2886" t="s">
        <v>75</v>
      </c>
      <c r="O2886" t="s">
        <v>76</v>
      </c>
      <c r="P2886" t="s">
        <v>77</v>
      </c>
    </row>
    <row r="2887" spans="1:16" hidden="1">
      <c r="A2887" t="s">
        <v>1613</v>
      </c>
      <c r="B2887" t="s">
        <v>7</v>
      </c>
      <c r="C2887" t="s">
        <v>8</v>
      </c>
      <c r="D2887" t="s">
        <v>94</v>
      </c>
      <c r="E2887" t="s">
        <v>1271</v>
      </c>
      <c r="F2887">
        <v>5</v>
      </c>
      <c r="G2887" s="10">
        <v>41247</v>
      </c>
      <c r="H2887">
        <v>49</v>
      </c>
      <c r="I2887">
        <v>2016</v>
      </c>
      <c r="J2887" t="s">
        <v>76</v>
      </c>
      <c r="K2887" t="s">
        <v>77</v>
      </c>
      <c r="L2887" t="s">
        <v>73</v>
      </c>
      <c r="M2887" t="s">
        <v>74</v>
      </c>
      <c r="N2887" t="s">
        <v>75</v>
      </c>
      <c r="O2887" t="s">
        <v>75</v>
      </c>
      <c r="P2887" t="s">
        <v>76</v>
      </c>
    </row>
    <row r="2888" spans="1:16" hidden="1">
      <c r="A2888" t="s">
        <v>1614</v>
      </c>
      <c r="B2888" t="s">
        <v>9</v>
      </c>
      <c r="C2888" t="s">
        <v>10</v>
      </c>
      <c r="D2888" t="s">
        <v>96</v>
      </c>
      <c r="E2888" t="s">
        <v>1271</v>
      </c>
      <c r="F2888">
        <v>6</v>
      </c>
      <c r="G2888" s="10">
        <v>41247</v>
      </c>
      <c r="H2888">
        <v>49</v>
      </c>
      <c r="I2888">
        <v>2016</v>
      </c>
      <c r="J2888" t="s">
        <v>77</v>
      </c>
      <c r="K2888" t="s">
        <v>73</v>
      </c>
      <c r="L2888" t="s">
        <v>74</v>
      </c>
      <c r="M2888" t="s">
        <v>74</v>
      </c>
      <c r="N2888" t="s">
        <v>75</v>
      </c>
      <c r="O2888" t="s">
        <v>75</v>
      </c>
      <c r="P2888" t="s">
        <v>75</v>
      </c>
    </row>
    <row r="2889" spans="1:16" hidden="1">
      <c r="A2889" t="s">
        <v>1615</v>
      </c>
      <c r="B2889" t="s">
        <v>11</v>
      </c>
      <c r="C2889" t="s">
        <v>12</v>
      </c>
      <c r="D2889" t="s">
        <v>97</v>
      </c>
      <c r="E2889" t="s">
        <v>1271</v>
      </c>
      <c r="F2889">
        <v>7</v>
      </c>
      <c r="G2889" s="10">
        <v>41247</v>
      </c>
      <c r="H2889">
        <v>49</v>
      </c>
      <c r="I2889">
        <v>2016</v>
      </c>
      <c r="J2889" t="s">
        <v>73</v>
      </c>
      <c r="K2889" t="s">
        <v>74</v>
      </c>
      <c r="L2889" t="s">
        <v>75</v>
      </c>
      <c r="M2889" t="s">
        <v>74</v>
      </c>
      <c r="N2889" t="s">
        <v>75</v>
      </c>
      <c r="O2889" t="s">
        <v>75</v>
      </c>
      <c r="P2889" t="s">
        <v>73</v>
      </c>
    </row>
    <row r="2890" spans="1:16" hidden="1">
      <c r="A2890" t="s">
        <v>1616</v>
      </c>
      <c r="B2890" t="s">
        <v>13</v>
      </c>
      <c r="C2890" t="s">
        <v>14</v>
      </c>
      <c r="D2890" t="s">
        <v>120</v>
      </c>
      <c r="E2890" t="s">
        <v>1320</v>
      </c>
      <c r="F2890">
        <v>1</v>
      </c>
      <c r="G2890" s="10">
        <v>41247</v>
      </c>
      <c r="H2890">
        <v>49</v>
      </c>
      <c r="I2890">
        <v>2016</v>
      </c>
      <c r="J2890" t="s">
        <v>126</v>
      </c>
      <c r="K2890" t="s">
        <v>126</v>
      </c>
      <c r="L2890" t="s">
        <v>126</v>
      </c>
      <c r="M2890" t="s">
        <v>126</v>
      </c>
      <c r="N2890" t="s">
        <v>126</v>
      </c>
      <c r="O2890" t="s">
        <v>126</v>
      </c>
      <c r="P2890" t="s">
        <v>126</v>
      </c>
    </row>
    <row r="2891" spans="1:16" hidden="1">
      <c r="A2891" t="s">
        <v>1617</v>
      </c>
      <c r="B2891" t="s">
        <v>13</v>
      </c>
      <c r="C2891" t="s">
        <v>15</v>
      </c>
      <c r="D2891" t="s">
        <v>98</v>
      </c>
      <c r="E2891" t="s">
        <v>1272</v>
      </c>
      <c r="F2891">
        <v>2</v>
      </c>
      <c r="G2891" s="10">
        <v>41247</v>
      </c>
      <c r="H2891">
        <v>49</v>
      </c>
      <c r="I2891">
        <v>2016</v>
      </c>
      <c r="J2891" t="s">
        <v>75</v>
      </c>
      <c r="K2891" t="s">
        <v>75</v>
      </c>
      <c r="L2891" t="s">
        <v>75</v>
      </c>
      <c r="M2891" t="s">
        <v>73</v>
      </c>
      <c r="N2891" t="s">
        <v>75</v>
      </c>
      <c r="O2891" t="s">
        <v>75</v>
      </c>
      <c r="P2891" t="s">
        <v>75</v>
      </c>
    </row>
    <row r="2892" spans="1:16" hidden="1">
      <c r="A2892" t="s">
        <v>1618</v>
      </c>
      <c r="B2892" t="s">
        <v>16</v>
      </c>
      <c r="C2892" t="s">
        <v>17</v>
      </c>
      <c r="D2892" t="s">
        <v>99</v>
      </c>
      <c r="E2892" t="s">
        <v>1271</v>
      </c>
      <c r="F2892">
        <v>1</v>
      </c>
      <c r="G2892" s="10">
        <v>41247</v>
      </c>
      <c r="H2892">
        <v>49</v>
      </c>
      <c r="I2892">
        <v>2016</v>
      </c>
      <c r="J2892" t="s">
        <v>73</v>
      </c>
      <c r="K2892" t="s">
        <v>74</v>
      </c>
      <c r="L2892" t="s">
        <v>75</v>
      </c>
      <c r="M2892" t="s">
        <v>75</v>
      </c>
      <c r="N2892" t="s">
        <v>76</v>
      </c>
      <c r="O2892" t="s">
        <v>77</v>
      </c>
      <c r="P2892" t="s">
        <v>73</v>
      </c>
    </row>
    <row r="2893" spans="1:16" hidden="1">
      <c r="A2893" t="s">
        <v>1619</v>
      </c>
      <c r="B2893" t="s">
        <v>18</v>
      </c>
      <c r="C2893" t="s">
        <v>19</v>
      </c>
      <c r="D2893" t="s">
        <v>100</v>
      </c>
      <c r="E2893" t="s">
        <v>1271</v>
      </c>
      <c r="F2893">
        <v>3</v>
      </c>
      <c r="G2893" s="10">
        <v>41247</v>
      </c>
      <c r="H2893">
        <v>49</v>
      </c>
      <c r="I2893">
        <v>2016</v>
      </c>
      <c r="J2893" t="s">
        <v>74</v>
      </c>
      <c r="K2893" t="s">
        <v>75</v>
      </c>
      <c r="L2893" t="s">
        <v>76</v>
      </c>
      <c r="M2893" t="s">
        <v>77</v>
      </c>
      <c r="N2893" t="s">
        <v>73</v>
      </c>
      <c r="O2893" t="s">
        <v>74</v>
      </c>
      <c r="P2893" t="s">
        <v>75</v>
      </c>
    </row>
    <row r="2894" spans="1:16" hidden="1">
      <c r="A2894" t="s">
        <v>1620</v>
      </c>
      <c r="B2894" t="s">
        <v>20</v>
      </c>
      <c r="C2894" t="s">
        <v>21</v>
      </c>
      <c r="D2894" t="s">
        <v>101</v>
      </c>
      <c r="E2894" t="s">
        <v>1271</v>
      </c>
      <c r="F2894">
        <v>2</v>
      </c>
      <c r="G2894" s="10">
        <v>41247</v>
      </c>
      <c r="H2894">
        <v>49</v>
      </c>
      <c r="I2894">
        <v>2016</v>
      </c>
      <c r="J2894" t="s">
        <v>74</v>
      </c>
      <c r="K2894" t="s">
        <v>75</v>
      </c>
      <c r="L2894" t="s">
        <v>75</v>
      </c>
      <c r="M2894" t="s">
        <v>75</v>
      </c>
      <c r="N2894" t="s">
        <v>92</v>
      </c>
      <c r="O2894" t="s">
        <v>73</v>
      </c>
      <c r="P2894" t="s">
        <v>75</v>
      </c>
    </row>
    <row r="2895" spans="1:16" hidden="1">
      <c r="A2895" t="s">
        <v>1621</v>
      </c>
      <c r="B2895" t="s">
        <v>22</v>
      </c>
      <c r="C2895" t="s">
        <v>17</v>
      </c>
      <c r="D2895" t="s">
        <v>102</v>
      </c>
      <c r="E2895" t="s">
        <v>1272</v>
      </c>
      <c r="F2895">
        <v>5</v>
      </c>
      <c r="G2895" s="10">
        <v>41247</v>
      </c>
      <c r="H2895">
        <v>49</v>
      </c>
      <c r="I2895">
        <v>2016</v>
      </c>
      <c r="J2895" t="s">
        <v>73</v>
      </c>
      <c r="K2895" t="s">
        <v>75</v>
      </c>
      <c r="L2895" t="s">
        <v>75</v>
      </c>
      <c r="M2895" t="s">
        <v>74</v>
      </c>
      <c r="N2895" t="s">
        <v>75</v>
      </c>
      <c r="O2895" t="s">
        <v>75</v>
      </c>
      <c r="P2895" t="s">
        <v>73</v>
      </c>
    </row>
    <row r="2896" spans="1:16" hidden="1">
      <c r="A2896" t="s">
        <v>1622</v>
      </c>
      <c r="B2896" t="s">
        <v>23</v>
      </c>
      <c r="C2896" t="s">
        <v>24</v>
      </c>
      <c r="D2896" t="s">
        <v>103</v>
      </c>
      <c r="E2896" t="s">
        <v>1272</v>
      </c>
      <c r="F2896">
        <v>6</v>
      </c>
      <c r="G2896" s="10">
        <v>41247</v>
      </c>
      <c r="H2896">
        <v>49</v>
      </c>
      <c r="I2896">
        <v>2016</v>
      </c>
      <c r="J2896" t="s">
        <v>75</v>
      </c>
      <c r="K2896" t="s">
        <v>74</v>
      </c>
      <c r="L2896" t="s">
        <v>75</v>
      </c>
      <c r="M2896" t="s">
        <v>74</v>
      </c>
      <c r="N2896" t="s">
        <v>75</v>
      </c>
      <c r="O2896" t="s">
        <v>73</v>
      </c>
      <c r="P2896" t="s">
        <v>75</v>
      </c>
    </row>
    <row r="2897" spans="1:16" hidden="1">
      <c r="A2897" t="s">
        <v>1623</v>
      </c>
      <c r="B2897" t="s">
        <v>23</v>
      </c>
      <c r="C2897" t="s">
        <v>55</v>
      </c>
      <c r="D2897" t="s">
        <v>127</v>
      </c>
      <c r="E2897" t="s">
        <v>1271</v>
      </c>
      <c r="F2897">
        <v>1</v>
      </c>
      <c r="G2897" s="10">
        <v>41247</v>
      </c>
      <c r="H2897">
        <v>49</v>
      </c>
      <c r="I2897">
        <v>2016</v>
      </c>
      <c r="J2897" t="s">
        <v>73</v>
      </c>
      <c r="K2897" t="s">
        <v>74</v>
      </c>
      <c r="L2897" t="s">
        <v>75</v>
      </c>
      <c r="M2897" t="s">
        <v>75</v>
      </c>
      <c r="N2897" t="s">
        <v>76</v>
      </c>
      <c r="O2897" t="s">
        <v>77</v>
      </c>
      <c r="P2897" t="s">
        <v>73</v>
      </c>
    </row>
    <row r="2898" spans="1:16" hidden="1">
      <c r="A2898" t="s">
        <v>1624</v>
      </c>
      <c r="B2898" t="s">
        <v>25</v>
      </c>
      <c r="C2898" t="s">
        <v>132</v>
      </c>
      <c r="D2898" t="s">
        <v>104</v>
      </c>
      <c r="E2898" t="s">
        <v>1271</v>
      </c>
      <c r="F2898">
        <v>4</v>
      </c>
      <c r="G2898" s="10">
        <v>41247</v>
      </c>
      <c r="H2898">
        <v>49</v>
      </c>
      <c r="I2898">
        <v>2016</v>
      </c>
      <c r="J2898" t="s">
        <v>74</v>
      </c>
      <c r="K2898" t="s">
        <v>75</v>
      </c>
      <c r="L2898" t="s">
        <v>75</v>
      </c>
      <c r="M2898" t="s">
        <v>73</v>
      </c>
      <c r="N2898" t="s">
        <v>75</v>
      </c>
      <c r="O2898" t="s">
        <v>74</v>
      </c>
      <c r="P2898" t="s">
        <v>75</v>
      </c>
    </row>
    <row r="2899" spans="1:16" hidden="1">
      <c r="A2899" t="s">
        <v>1625</v>
      </c>
      <c r="B2899" t="s">
        <v>56</v>
      </c>
      <c r="C2899" t="s">
        <v>57</v>
      </c>
      <c r="D2899" t="s">
        <v>129</v>
      </c>
      <c r="E2899" t="s">
        <v>1271</v>
      </c>
      <c r="F2899">
        <v>7</v>
      </c>
      <c r="G2899" s="10">
        <v>41247</v>
      </c>
      <c r="H2899">
        <v>49</v>
      </c>
      <c r="I2899">
        <v>2016</v>
      </c>
      <c r="J2899" t="s">
        <v>73</v>
      </c>
      <c r="K2899" t="s">
        <v>75</v>
      </c>
      <c r="L2899" t="s">
        <v>75</v>
      </c>
      <c r="M2899" t="s">
        <v>75</v>
      </c>
      <c r="N2899" t="s">
        <v>74</v>
      </c>
      <c r="O2899" t="s">
        <v>74</v>
      </c>
      <c r="P2899" t="s">
        <v>73</v>
      </c>
    </row>
    <row r="2900" spans="1:16" hidden="1">
      <c r="A2900" t="s">
        <v>1626</v>
      </c>
      <c r="B2900" t="s">
        <v>26</v>
      </c>
      <c r="C2900" t="s">
        <v>27</v>
      </c>
      <c r="D2900" t="s">
        <v>105</v>
      </c>
      <c r="E2900" t="s">
        <v>1271</v>
      </c>
      <c r="F2900">
        <v>8</v>
      </c>
      <c r="G2900" s="10">
        <v>41247</v>
      </c>
      <c r="H2900">
        <v>49</v>
      </c>
      <c r="I2900">
        <v>2016</v>
      </c>
      <c r="J2900" t="s">
        <v>75</v>
      </c>
      <c r="K2900" t="s">
        <v>75</v>
      </c>
      <c r="L2900" t="s">
        <v>75</v>
      </c>
      <c r="M2900" t="s">
        <v>76</v>
      </c>
      <c r="N2900" t="s">
        <v>77</v>
      </c>
      <c r="O2900" t="s">
        <v>73</v>
      </c>
      <c r="P2900" t="s">
        <v>74</v>
      </c>
    </row>
    <row r="2901" spans="1:16" hidden="1">
      <c r="A2901" t="s">
        <v>1627</v>
      </c>
      <c r="B2901" t="s">
        <v>28</v>
      </c>
      <c r="C2901" t="s">
        <v>29</v>
      </c>
      <c r="D2901" t="s">
        <v>106</v>
      </c>
      <c r="E2901" t="s">
        <v>1271</v>
      </c>
      <c r="F2901">
        <v>3</v>
      </c>
      <c r="G2901" s="10">
        <v>41247</v>
      </c>
      <c r="H2901">
        <v>49</v>
      </c>
      <c r="I2901">
        <v>2016</v>
      </c>
      <c r="J2901" t="s">
        <v>74</v>
      </c>
      <c r="K2901" t="s">
        <v>75</v>
      </c>
      <c r="L2901" t="s">
        <v>76</v>
      </c>
      <c r="M2901" t="s">
        <v>77</v>
      </c>
      <c r="N2901" t="s">
        <v>73</v>
      </c>
      <c r="O2901" t="s">
        <v>74</v>
      </c>
      <c r="P2901" t="s">
        <v>75</v>
      </c>
    </row>
    <row r="2902" spans="1:16">
      <c r="A2902" t="s">
        <v>1628</v>
      </c>
      <c r="B2902" t="s">
        <v>30</v>
      </c>
      <c r="C2902" t="s">
        <v>8</v>
      </c>
      <c r="D2902" t="s">
        <v>107</v>
      </c>
      <c r="E2902" t="s">
        <v>1272</v>
      </c>
      <c r="F2902">
        <v>2</v>
      </c>
      <c r="G2902" s="10">
        <v>41247</v>
      </c>
      <c r="H2902">
        <v>49</v>
      </c>
      <c r="I2902">
        <v>2016</v>
      </c>
      <c r="J2902" t="s">
        <v>92</v>
      </c>
      <c r="K2902" t="s">
        <v>75</v>
      </c>
      <c r="L2902" t="s">
        <v>75</v>
      </c>
      <c r="M2902" t="s">
        <v>73</v>
      </c>
      <c r="N2902" t="s">
        <v>74</v>
      </c>
      <c r="O2902" t="s">
        <v>75</v>
      </c>
      <c r="P2902" t="s">
        <v>74</v>
      </c>
    </row>
    <row r="2903" spans="1:16">
      <c r="A2903" t="s">
        <v>1629</v>
      </c>
      <c r="B2903" t="s">
        <v>30</v>
      </c>
      <c r="C2903" t="s">
        <v>31</v>
      </c>
      <c r="D2903" t="s">
        <v>108</v>
      </c>
      <c r="E2903" t="s">
        <v>1271</v>
      </c>
      <c r="F2903">
        <v>11</v>
      </c>
      <c r="G2903" s="10">
        <v>41247</v>
      </c>
      <c r="H2903">
        <v>49</v>
      </c>
      <c r="I2903">
        <v>2016</v>
      </c>
      <c r="J2903" t="s">
        <v>126</v>
      </c>
      <c r="K2903" t="s">
        <v>126</v>
      </c>
      <c r="L2903" t="s">
        <v>73</v>
      </c>
      <c r="M2903" t="s">
        <v>75</v>
      </c>
      <c r="N2903" t="s">
        <v>75</v>
      </c>
      <c r="O2903" t="s">
        <v>76</v>
      </c>
      <c r="P2903" t="s">
        <v>77</v>
      </c>
    </row>
    <row r="2904" spans="1:16" hidden="1">
      <c r="A2904" t="s">
        <v>1630</v>
      </c>
      <c r="B2904" t="s">
        <v>32</v>
      </c>
      <c r="C2904" t="s">
        <v>33</v>
      </c>
      <c r="D2904" t="s">
        <v>109</v>
      </c>
      <c r="E2904" t="s">
        <v>1272</v>
      </c>
      <c r="F2904">
        <v>4</v>
      </c>
      <c r="G2904" s="10">
        <v>41247</v>
      </c>
      <c r="H2904">
        <v>49</v>
      </c>
      <c r="I2904">
        <v>2016</v>
      </c>
      <c r="J2904" t="s">
        <v>75</v>
      </c>
      <c r="K2904" t="s">
        <v>73</v>
      </c>
      <c r="L2904" t="s">
        <v>74</v>
      </c>
      <c r="M2904" t="s">
        <v>75</v>
      </c>
      <c r="N2904" t="s">
        <v>74</v>
      </c>
      <c r="O2904" t="s">
        <v>75</v>
      </c>
      <c r="P2904" t="s">
        <v>75</v>
      </c>
    </row>
    <row r="2905" spans="1:16" hidden="1">
      <c r="A2905" t="s">
        <v>1631</v>
      </c>
      <c r="B2905" t="s">
        <v>32</v>
      </c>
      <c r="C2905" t="s">
        <v>34</v>
      </c>
      <c r="D2905" t="s">
        <v>122</v>
      </c>
      <c r="E2905" t="s">
        <v>1320</v>
      </c>
      <c r="F2905">
        <v>1</v>
      </c>
      <c r="G2905" s="10">
        <v>41247</v>
      </c>
      <c r="H2905">
        <v>49</v>
      </c>
      <c r="I2905">
        <v>2016</v>
      </c>
      <c r="J2905" t="s">
        <v>126</v>
      </c>
      <c r="K2905" t="s">
        <v>126</v>
      </c>
      <c r="L2905" t="s">
        <v>126</v>
      </c>
      <c r="M2905" t="s">
        <v>126</v>
      </c>
      <c r="N2905" t="s">
        <v>126</v>
      </c>
      <c r="O2905" t="s">
        <v>126</v>
      </c>
      <c r="P2905" t="s">
        <v>126</v>
      </c>
    </row>
    <row r="2906" spans="1:16" hidden="1">
      <c r="A2906" t="s">
        <v>1632</v>
      </c>
      <c r="B2906" t="s">
        <v>35</v>
      </c>
      <c r="C2906" t="s">
        <v>36</v>
      </c>
      <c r="D2906" t="s">
        <v>110</v>
      </c>
      <c r="E2906" t="s">
        <v>1271</v>
      </c>
      <c r="F2906">
        <v>5</v>
      </c>
      <c r="G2906" s="10">
        <v>41247</v>
      </c>
      <c r="H2906">
        <v>49</v>
      </c>
      <c r="I2906">
        <v>2016</v>
      </c>
      <c r="J2906" t="s">
        <v>76</v>
      </c>
      <c r="K2906" t="s">
        <v>77</v>
      </c>
      <c r="L2906" t="s">
        <v>73</v>
      </c>
      <c r="M2906" t="s">
        <v>74</v>
      </c>
      <c r="N2906" t="s">
        <v>75</v>
      </c>
      <c r="O2906" t="s">
        <v>75</v>
      </c>
      <c r="P2906" t="s">
        <v>76</v>
      </c>
    </row>
    <row r="2907" spans="1:16" hidden="1">
      <c r="A2907" t="s">
        <v>1633</v>
      </c>
      <c r="B2907" t="s">
        <v>58</v>
      </c>
      <c r="C2907" t="s">
        <v>59</v>
      </c>
      <c r="D2907" t="s">
        <v>130</v>
      </c>
      <c r="E2907" t="s">
        <v>1272</v>
      </c>
      <c r="F2907">
        <v>2</v>
      </c>
      <c r="G2907" s="10">
        <v>41247</v>
      </c>
      <c r="H2907">
        <v>49</v>
      </c>
      <c r="I2907">
        <v>2016</v>
      </c>
      <c r="J2907" t="s">
        <v>74</v>
      </c>
      <c r="K2907" t="s">
        <v>134</v>
      </c>
      <c r="L2907" t="s">
        <v>74</v>
      </c>
      <c r="M2907" t="s">
        <v>73</v>
      </c>
      <c r="N2907" t="s">
        <v>74</v>
      </c>
      <c r="O2907" t="s">
        <v>75</v>
      </c>
      <c r="P2907" t="s">
        <v>74</v>
      </c>
    </row>
    <row r="2908" spans="1:16" hidden="1">
      <c r="A2908" t="s">
        <v>1634</v>
      </c>
      <c r="B2908" t="s">
        <v>37</v>
      </c>
      <c r="C2908" t="s">
        <v>38</v>
      </c>
      <c r="D2908" t="s">
        <v>111</v>
      </c>
      <c r="E2908" t="s">
        <v>1271</v>
      </c>
      <c r="F2908">
        <v>6</v>
      </c>
      <c r="G2908" s="10">
        <v>41247</v>
      </c>
      <c r="H2908">
        <v>49</v>
      </c>
      <c r="I2908">
        <v>2016</v>
      </c>
      <c r="J2908" t="s">
        <v>77</v>
      </c>
      <c r="K2908" t="s">
        <v>73</v>
      </c>
      <c r="L2908" t="s">
        <v>74</v>
      </c>
      <c r="M2908" t="s">
        <v>74</v>
      </c>
      <c r="N2908" t="s">
        <v>75</v>
      </c>
      <c r="O2908" t="s">
        <v>75</v>
      </c>
      <c r="P2908" t="s">
        <v>74</v>
      </c>
    </row>
    <row r="2909" spans="1:16" hidden="1">
      <c r="A2909" t="s">
        <v>1635</v>
      </c>
      <c r="B2909" t="s">
        <v>39</v>
      </c>
      <c r="C2909" t="s">
        <v>40</v>
      </c>
      <c r="D2909" t="s">
        <v>112</v>
      </c>
      <c r="E2909" t="s">
        <v>1272</v>
      </c>
      <c r="F2909">
        <v>1</v>
      </c>
      <c r="G2909" s="10">
        <v>41247</v>
      </c>
      <c r="H2909">
        <v>49</v>
      </c>
      <c r="I2909">
        <v>2016</v>
      </c>
      <c r="J2909" t="s">
        <v>75</v>
      </c>
      <c r="K2909" t="s">
        <v>74</v>
      </c>
      <c r="L2909" t="s">
        <v>75</v>
      </c>
      <c r="M2909" t="s">
        <v>75</v>
      </c>
      <c r="N2909" t="s">
        <v>73</v>
      </c>
      <c r="O2909" t="s">
        <v>74</v>
      </c>
      <c r="P2909" t="s">
        <v>74</v>
      </c>
    </row>
    <row r="2910" spans="1:16" hidden="1">
      <c r="A2910" t="s">
        <v>1636</v>
      </c>
      <c r="B2910" t="s">
        <v>41</v>
      </c>
      <c r="C2910" t="s">
        <v>42</v>
      </c>
      <c r="D2910" t="s">
        <v>113</v>
      </c>
      <c r="E2910" t="s">
        <v>1271</v>
      </c>
      <c r="F2910">
        <v>10</v>
      </c>
      <c r="G2910" s="10">
        <v>41247</v>
      </c>
      <c r="H2910">
        <v>49</v>
      </c>
      <c r="I2910">
        <v>2016</v>
      </c>
      <c r="J2910" t="s">
        <v>75</v>
      </c>
      <c r="K2910" t="s">
        <v>76</v>
      </c>
      <c r="L2910" t="s">
        <v>77</v>
      </c>
      <c r="M2910" t="s">
        <v>73</v>
      </c>
      <c r="N2910" t="s">
        <v>74</v>
      </c>
      <c r="O2910" t="s">
        <v>75</v>
      </c>
      <c r="P2910" t="s">
        <v>75</v>
      </c>
    </row>
    <row r="2911" spans="1:16" hidden="1">
      <c r="A2911" t="s">
        <v>1637</v>
      </c>
      <c r="B2911" t="s">
        <v>43</v>
      </c>
      <c r="C2911" t="s">
        <v>44</v>
      </c>
      <c r="D2911" t="s">
        <v>114</v>
      </c>
      <c r="E2911" t="s">
        <v>1271</v>
      </c>
      <c r="F2911">
        <v>2</v>
      </c>
      <c r="G2911" s="10">
        <v>41247</v>
      </c>
      <c r="H2911">
        <v>49</v>
      </c>
      <c r="I2911">
        <v>2016</v>
      </c>
      <c r="J2911" t="s">
        <v>74</v>
      </c>
      <c r="K2911" t="s">
        <v>75</v>
      </c>
      <c r="L2911" t="s">
        <v>75</v>
      </c>
      <c r="M2911" t="s">
        <v>75</v>
      </c>
      <c r="N2911" t="s">
        <v>92</v>
      </c>
      <c r="O2911" t="s">
        <v>73</v>
      </c>
      <c r="P2911" t="s">
        <v>75</v>
      </c>
    </row>
    <row r="2912" spans="1:16" hidden="1">
      <c r="A2912" t="s">
        <v>1638</v>
      </c>
      <c r="B2912" t="s">
        <v>45</v>
      </c>
      <c r="C2912" t="s">
        <v>46</v>
      </c>
      <c r="D2912" t="s">
        <v>115</v>
      </c>
      <c r="E2912" t="s">
        <v>1271</v>
      </c>
      <c r="F2912">
        <v>9</v>
      </c>
      <c r="G2912" s="10">
        <v>41247</v>
      </c>
      <c r="H2912">
        <v>49</v>
      </c>
      <c r="I2912">
        <v>2016</v>
      </c>
      <c r="J2912" t="s">
        <v>75</v>
      </c>
      <c r="K2912" t="s">
        <v>74</v>
      </c>
      <c r="L2912" t="s">
        <v>74</v>
      </c>
      <c r="M2912" t="s">
        <v>75</v>
      </c>
      <c r="N2912" t="s">
        <v>73</v>
      </c>
      <c r="O2912" t="s">
        <v>74</v>
      </c>
      <c r="P2912" t="s">
        <v>74</v>
      </c>
    </row>
    <row r="2913" spans="1:16" hidden="1">
      <c r="A2913" t="s">
        <v>1639</v>
      </c>
      <c r="B2913" t="s">
        <v>47</v>
      </c>
      <c r="C2913" t="s">
        <v>48</v>
      </c>
      <c r="D2913" t="s">
        <v>116</v>
      </c>
      <c r="E2913" t="s">
        <v>1271</v>
      </c>
      <c r="F2913">
        <v>9</v>
      </c>
      <c r="G2913" s="10">
        <v>41247</v>
      </c>
      <c r="H2913">
        <v>49</v>
      </c>
      <c r="I2913">
        <v>2016</v>
      </c>
      <c r="J2913" t="s">
        <v>75</v>
      </c>
      <c r="K2913" t="s">
        <v>74</v>
      </c>
      <c r="L2913" t="s">
        <v>74</v>
      </c>
      <c r="M2913" t="s">
        <v>75</v>
      </c>
      <c r="N2913" t="s">
        <v>73</v>
      </c>
      <c r="O2913" t="s">
        <v>74</v>
      </c>
      <c r="P2913" t="s">
        <v>74</v>
      </c>
    </row>
    <row r="2914" spans="1:16" hidden="1">
      <c r="A2914" t="s">
        <v>1640</v>
      </c>
      <c r="B2914" t="s">
        <v>49</v>
      </c>
      <c r="C2914" t="s">
        <v>50</v>
      </c>
      <c r="D2914" t="s">
        <v>117</v>
      </c>
      <c r="E2914" t="s">
        <v>1271</v>
      </c>
      <c r="F2914">
        <v>8</v>
      </c>
      <c r="G2914" s="10">
        <v>41247</v>
      </c>
      <c r="H2914">
        <v>49</v>
      </c>
      <c r="I2914">
        <v>2016</v>
      </c>
      <c r="J2914" t="s">
        <v>75</v>
      </c>
      <c r="K2914" t="s">
        <v>75</v>
      </c>
      <c r="L2914" t="s">
        <v>75</v>
      </c>
      <c r="M2914" t="s">
        <v>76</v>
      </c>
      <c r="N2914" t="s">
        <v>77</v>
      </c>
      <c r="O2914" t="s">
        <v>73</v>
      </c>
      <c r="P2914" t="s">
        <v>74</v>
      </c>
    </row>
    <row r="2915" spans="1:16" hidden="1">
      <c r="A2915" t="s">
        <v>1641</v>
      </c>
      <c r="B2915" t="s">
        <v>51</v>
      </c>
      <c r="C2915" t="s">
        <v>52</v>
      </c>
      <c r="D2915" t="s">
        <v>118</v>
      </c>
      <c r="E2915" t="s">
        <v>1271</v>
      </c>
      <c r="F2915">
        <v>4</v>
      </c>
      <c r="G2915" s="10">
        <v>41247</v>
      </c>
      <c r="H2915">
        <v>49</v>
      </c>
      <c r="I2915">
        <v>2016</v>
      </c>
      <c r="J2915" t="s">
        <v>74</v>
      </c>
      <c r="K2915" t="s">
        <v>75</v>
      </c>
      <c r="L2915" t="s">
        <v>74</v>
      </c>
      <c r="M2915" t="s">
        <v>73</v>
      </c>
      <c r="N2915" t="s">
        <v>74</v>
      </c>
      <c r="O2915" t="s">
        <v>74</v>
      </c>
      <c r="P2915" t="s">
        <v>75</v>
      </c>
    </row>
    <row r="2916" spans="1:16" hidden="1">
      <c r="A2916" t="s">
        <v>1642</v>
      </c>
      <c r="B2916" t="s">
        <v>53</v>
      </c>
      <c r="C2916" t="s">
        <v>54</v>
      </c>
      <c r="D2916" t="s">
        <v>119</v>
      </c>
      <c r="E2916" t="s">
        <v>1272</v>
      </c>
      <c r="F2916">
        <v>6</v>
      </c>
      <c r="G2916" s="10">
        <v>41247</v>
      </c>
      <c r="H2916">
        <v>49</v>
      </c>
      <c r="I2916">
        <v>2016</v>
      </c>
      <c r="J2916" t="s">
        <v>75</v>
      </c>
      <c r="K2916" t="s">
        <v>74</v>
      </c>
      <c r="L2916" t="s">
        <v>75</v>
      </c>
      <c r="M2916" t="s">
        <v>74</v>
      </c>
      <c r="N2916" t="s">
        <v>75</v>
      </c>
      <c r="O2916" t="s">
        <v>73</v>
      </c>
      <c r="P2916" t="s">
        <v>75</v>
      </c>
    </row>
    <row r="2917" spans="1:16" hidden="1">
      <c r="A2917" t="s">
        <v>1643</v>
      </c>
      <c r="B2917" t="s">
        <v>1289</v>
      </c>
      <c r="C2917" t="s">
        <v>132</v>
      </c>
      <c r="D2917" t="s">
        <v>1292</v>
      </c>
      <c r="E2917" t="s">
        <v>1272</v>
      </c>
      <c r="F2917">
        <v>2</v>
      </c>
      <c r="G2917" s="10">
        <v>41247</v>
      </c>
      <c r="H2917">
        <v>49</v>
      </c>
      <c r="I2917">
        <v>2016</v>
      </c>
      <c r="J2917" t="s">
        <v>74</v>
      </c>
      <c r="K2917" t="s">
        <v>134</v>
      </c>
      <c r="L2917" t="s">
        <v>74</v>
      </c>
      <c r="M2917" t="s">
        <v>73</v>
      </c>
      <c r="N2917" t="s">
        <v>74</v>
      </c>
      <c r="O2917" t="s">
        <v>75</v>
      </c>
      <c r="P2917" t="s">
        <v>74</v>
      </c>
    </row>
    <row r="2918" spans="1:16" hidden="1">
      <c r="A2918" t="s">
        <v>1644</v>
      </c>
      <c r="B2918" t="s">
        <v>1290</v>
      </c>
      <c r="C2918" t="s">
        <v>132</v>
      </c>
      <c r="D2918" t="s">
        <v>1294</v>
      </c>
      <c r="E2918" t="s">
        <v>1272</v>
      </c>
      <c r="F2918">
        <v>5</v>
      </c>
      <c r="G2918" s="10">
        <v>41247</v>
      </c>
      <c r="H2918">
        <v>49</v>
      </c>
      <c r="I2918">
        <v>2016</v>
      </c>
      <c r="J2918" t="s">
        <v>73</v>
      </c>
      <c r="K2918" t="s">
        <v>75</v>
      </c>
      <c r="L2918" t="s">
        <v>75</v>
      </c>
      <c r="M2918" t="s">
        <v>74</v>
      </c>
      <c r="N2918" t="s">
        <v>75</v>
      </c>
      <c r="O2918" t="s">
        <v>75</v>
      </c>
      <c r="P2918" t="s">
        <v>73</v>
      </c>
    </row>
    <row r="2919" spans="1:16" hidden="1">
      <c r="A2919" t="s">
        <v>1645</v>
      </c>
      <c r="B2919" t="s">
        <v>1291</v>
      </c>
      <c r="C2919" t="s">
        <v>132</v>
      </c>
      <c r="D2919" t="s">
        <v>1295</v>
      </c>
      <c r="E2919" t="s">
        <v>1272</v>
      </c>
      <c r="F2919">
        <v>3</v>
      </c>
      <c r="G2919" s="10">
        <v>41247</v>
      </c>
      <c r="H2919">
        <v>49</v>
      </c>
      <c r="I2919">
        <v>2016</v>
      </c>
      <c r="J2919" t="s">
        <v>74</v>
      </c>
      <c r="K2919" t="s">
        <v>74</v>
      </c>
      <c r="L2919" t="s">
        <v>73</v>
      </c>
      <c r="M2919" t="s">
        <v>75</v>
      </c>
      <c r="N2919" t="s">
        <v>75</v>
      </c>
      <c r="O2919" t="s">
        <v>74</v>
      </c>
      <c r="P2919" t="s">
        <v>75</v>
      </c>
    </row>
    <row r="2920" spans="1:16" hidden="1">
      <c r="A2920" t="s">
        <v>1646</v>
      </c>
      <c r="B2920" t="s">
        <v>1296</v>
      </c>
      <c r="C2920" t="s">
        <v>1297</v>
      </c>
      <c r="D2920" t="s">
        <v>1293</v>
      </c>
      <c r="E2920" t="s">
        <v>1272</v>
      </c>
      <c r="F2920">
        <v>4</v>
      </c>
      <c r="G2920" s="10">
        <v>41247</v>
      </c>
      <c r="H2920">
        <v>49</v>
      </c>
      <c r="I2920">
        <v>2016</v>
      </c>
      <c r="J2920" t="s">
        <v>75</v>
      </c>
      <c r="K2920" t="s">
        <v>73</v>
      </c>
      <c r="L2920" t="s">
        <v>74</v>
      </c>
      <c r="M2920" t="s">
        <v>75</v>
      </c>
      <c r="N2920" t="s">
        <v>74</v>
      </c>
      <c r="O2920" t="s">
        <v>75</v>
      </c>
      <c r="P2920" t="s">
        <v>75</v>
      </c>
    </row>
    <row r="2921" spans="1:16" hidden="1">
      <c r="A2921" t="s">
        <v>1647</v>
      </c>
      <c r="B2921" t="s">
        <v>3</v>
      </c>
      <c r="C2921" t="s">
        <v>4</v>
      </c>
      <c r="D2921" t="s">
        <v>90</v>
      </c>
      <c r="E2921" t="s">
        <v>1271</v>
      </c>
      <c r="F2921">
        <v>11</v>
      </c>
      <c r="G2921" s="10">
        <v>41254</v>
      </c>
      <c r="H2921">
        <v>50</v>
      </c>
      <c r="I2921">
        <v>2016</v>
      </c>
      <c r="J2921" t="s">
        <v>75</v>
      </c>
      <c r="K2921" t="s">
        <v>75</v>
      </c>
      <c r="L2921" t="s">
        <v>73</v>
      </c>
      <c r="M2921" t="s">
        <v>75</v>
      </c>
      <c r="N2921" t="s">
        <v>75</v>
      </c>
      <c r="O2921" t="s">
        <v>76</v>
      </c>
      <c r="P2921" t="s">
        <v>77</v>
      </c>
    </row>
    <row r="2922" spans="1:16" hidden="1">
      <c r="A2922" t="s">
        <v>1648</v>
      </c>
      <c r="B2922" t="s">
        <v>5</v>
      </c>
      <c r="C2922" t="s">
        <v>6</v>
      </c>
      <c r="D2922" t="s">
        <v>93</v>
      </c>
      <c r="E2922" t="s">
        <v>1271</v>
      </c>
      <c r="F2922">
        <v>1</v>
      </c>
      <c r="G2922" s="10">
        <v>41254</v>
      </c>
      <c r="H2922">
        <v>50</v>
      </c>
      <c r="I2922">
        <v>2016</v>
      </c>
      <c r="J2922" t="s">
        <v>73</v>
      </c>
      <c r="K2922" t="s">
        <v>74</v>
      </c>
      <c r="L2922" t="s">
        <v>74</v>
      </c>
      <c r="M2922" t="s">
        <v>75</v>
      </c>
      <c r="N2922" t="s">
        <v>76</v>
      </c>
      <c r="O2922" t="s">
        <v>77</v>
      </c>
      <c r="P2922" t="s">
        <v>73</v>
      </c>
    </row>
    <row r="2923" spans="1:16" hidden="1">
      <c r="A2923" t="s">
        <v>1649</v>
      </c>
      <c r="B2923" t="s">
        <v>7</v>
      </c>
      <c r="C2923" t="s">
        <v>8</v>
      </c>
      <c r="D2923" t="s">
        <v>94</v>
      </c>
      <c r="E2923" t="s">
        <v>1271</v>
      </c>
      <c r="F2923">
        <v>6</v>
      </c>
      <c r="G2923" s="10">
        <v>41254</v>
      </c>
      <c r="H2923">
        <v>50</v>
      </c>
      <c r="I2923">
        <v>2016</v>
      </c>
      <c r="J2923" t="s">
        <v>77</v>
      </c>
      <c r="K2923" t="s">
        <v>73</v>
      </c>
      <c r="L2923" t="s">
        <v>74</v>
      </c>
      <c r="M2923" t="s">
        <v>74</v>
      </c>
      <c r="N2923" t="s">
        <v>74</v>
      </c>
      <c r="O2923" t="s">
        <v>75</v>
      </c>
      <c r="P2923" t="s">
        <v>92</v>
      </c>
    </row>
    <row r="2924" spans="1:16" hidden="1">
      <c r="A2924" t="s">
        <v>1650</v>
      </c>
      <c r="B2924" t="s">
        <v>9</v>
      </c>
      <c r="C2924" t="s">
        <v>10</v>
      </c>
      <c r="D2924" t="s">
        <v>96</v>
      </c>
      <c r="E2924" t="s">
        <v>1271</v>
      </c>
      <c r="F2924">
        <v>7</v>
      </c>
      <c r="G2924" s="10">
        <v>41254</v>
      </c>
      <c r="H2924">
        <v>50</v>
      </c>
      <c r="I2924">
        <v>2016</v>
      </c>
      <c r="J2924" t="s">
        <v>73</v>
      </c>
      <c r="K2924" t="s">
        <v>74</v>
      </c>
      <c r="L2924" t="s">
        <v>74</v>
      </c>
      <c r="M2924" t="s">
        <v>74</v>
      </c>
      <c r="N2924" t="s">
        <v>74</v>
      </c>
      <c r="O2924" t="s">
        <v>75</v>
      </c>
      <c r="P2924" t="s">
        <v>73</v>
      </c>
    </row>
    <row r="2925" spans="1:16" hidden="1">
      <c r="A2925" t="s">
        <v>1651</v>
      </c>
      <c r="B2925" t="s">
        <v>11</v>
      </c>
      <c r="C2925" t="s">
        <v>12</v>
      </c>
      <c r="D2925" t="s">
        <v>97</v>
      </c>
      <c r="E2925" t="s">
        <v>1271</v>
      </c>
      <c r="F2925">
        <v>8</v>
      </c>
      <c r="G2925" s="10">
        <v>41254</v>
      </c>
      <c r="H2925">
        <v>50</v>
      </c>
      <c r="I2925">
        <v>2016</v>
      </c>
      <c r="J2925" t="s">
        <v>75</v>
      </c>
      <c r="K2925" t="s">
        <v>75</v>
      </c>
      <c r="L2925" t="s">
        <v>75</v>
      </c>
      <c r="M2925" t="s">
        <v>76</v>
      </c>
      <c r="N2925" t="s">
        <v>77</v>
      </c>
      <c r="O2925" t="s">
        <v>73</v>
      </c>
      <c r="P2925" t="s">
        <v>74</v>
      </c>
    </row>
    <row r="2926" spans="1:16" hidden="1">
      <c r="A2926" t="s">
        <v>1652</v>
      </c>
      <c r="B2926" t="s">
        <v>13</v>
      </c>
      <c r="C2926" t="s">
        <v>14</v>
      </c>
      <c r="D2926" t="s">
        <v>120</v>
      </c>
      <c r="E2926" t="s">
        <v>1320</v>
      </c>
      <c r="F2926">
        <v>1</v>
      </c>
      <c r="G2926" s="10">
        <v>41254</v>
      </c>
      <c r="H2926">
        <v>50</v>
      </c>
      <c r="I2926">
        <v>2016</v>
      </c>
      <c r="J2926" t="s">
        <v>126</v>
      </c>
      <c r="K2926" t="s">
        <v>126</v>
      </c>
      <c r="L2926" t="s">
        <v>126</v>
      </c>
      <c r="M2926" t="s">
        <v>126</v>
      </c>
      <c r="N2926" t="s">
        <v>126</v>
      </c>
      <c r="O2926" t="s">
        <v>126</v>
      </c>
      <c r="P2926" t="s">
        <v>126</v>
      </c>
    </row>
    <row r="2927" spans="1:16" hidden="1">
      <c r="A2927" t="s">
        <v>1653</v>
      </c>
      <c r="B2927" t="s">
        <v>13</v>
      </c>
      <c r="C2927" t="s">
        <v>15</v>
      </c>
      <c r="D2927" t="s">
        <v>98</v>
      </c>
      <c r="E2927" t="s">
        <v>1272</v>
      </c>
      <c r="F2927">
        <v>3</v>
      </c>
      <c r="G2927" s="10">
        <v>41254</v>
      </c>
      <c r="H2927">
        <v>50</v>
      </c>
      <c r="I2927">
        <v>2016</v>
      </c>
      <c r="J2927" t="s">
        <v>75</v>
      </c>
      <c r="K2927" t="s">
        <v>74</v>
      </c>
      <c r="L2927" t="s">
        <v>73</v>
      </c>
      <c r="M2927" t="s">
        <v>134</v>
      </c>
      <c r="N2927" t="s">
        <v>74</v>
      </c>
      <c r="O2927" t="s">
        <v>74</v>
      </c>
      <c r="P2927" t="s">
        <v>74</v>
      </c>
    </row>
    <row r="2928" spans="1:16" hidden="1">
      <c r="A2928" t="s">
        <v>1654</v>
      </c>
      <c r="B2928" t="s">
        <v>16</v>
      </c>
      <c r="C2928" t="s">
        <v>17</v>
      </c>
      <c r="D2928" t="s">
        <v>99</v>
      </c>
      <c r="E2928" t="s">
        <v>1271</v>
      </c>
      <c r="F2928">
        <v>2</v>
      </c>
      <c r="G2928" s="10">
        <v>41254</v>
      </c>
      <c r="H2928">
        <v>50</v>
      </c>
      <c r="I2928">
        <v>2016</v>
      </c>
      <c r="J2928" t="s">
        <v>75</v>
      </c>
      <c r="K2928" t="s">
        <v>75</v>
      </c>
      <c r="L2928" t="s">
        <v>75</v>
      </c>
      <c r="M2928" t="s">
        <v>75</v>
      </c>
      <c r="N2928" t="s">
        <v>75</v>
      </c>
      <c r="O2928" t="s">
        <v>73</v>
      </c>
      <c r="P2928" t="s">
        <v>74</v>
      </c>
    </row>
    <row r="2929" spans="1:16" hidden="1">
      <c r="A2929" t="s">
        <v>1655</v>
      </c>
      <c r="B2929" t="s">
        <v>18</v>
      </c>
      <c r="C2929" t="s">
        <v>19</v>
      </c>
      <c r="D2929" t="s">
        <v>100</v>
      </c>
      <c r="E2929" t="s">
        <v>1271</v>
      </c>
      <c r="F2929">
        <v>4</v>
      </c>
      <c r="G2929" s="10">
        <v>41254</v>
      </c>
      <c r="H2929">
        <v>50</v>
      </c>
      <c r="I2929">
        <v>2016</v>
      </c>
      <c r="J2929" t="s">
        <v>74</v>
      </c>
      <c r="K2929" t="s">
        <v>75</v>
      </c>
      <c r="L2929" t="s">
        <v>74</v>
      </c>
      <c r="M2929" t="s">
        <v>73</v>
      </c>
      <c r="N2929" t="s">
        <v>74</v>
      </c>
      <c r="O2929" t="s">
        <v>74</v>
      </c>
      <c r="P2929" t="s">
        <v>75</v>
      </c>
    </row>
    <row r="2930" spans="1:16" hidden="1">
      <c r="A2930" t="s">
        <v>1656</v>
      </c>
      <c r="B2930" t="s">
        <v>20</v>
      </c>
      <c r="C2930" t="s">
        <v>21</v>
      </c>
      <c r="D2930" t="s">
        <v>101</v>
      </c>
      <c r="E2930" t="s">
        <v>1271</v>
      </c>
      <c r="F2930">
        <v>3</v>
      </c>
      <c r="G2930" s="10">
        <v>41254</v>
      </c>
      <c r="H2930">
        <v>50</v>
      </c>
      <c r="I2930">
        <v>2016</v>
      </c>
      <c r="J2930" t="s">
        <v>74</v>
      </c>
      <c r="K2930" t="s">
        <v>75</v>
      </c>
      <c r="L2930" t="s">
        <v>76</v>
      </c>
      <c r="M2930" t="s">
        <v>77</v>
      </c>
      <c r="N2930" t="s">
        <v>73</v>
      </c>
      <c r="O2930" t="s">
        <v>74</v>
      </c>
      <c r="P2930" t="s">
        <v>75</v>
      </c>
    </row>
    <row r="2931" spans="1:16" hidden="1">
      <c r="A2931" t="s">
        <v>1657</v>
      </c>
      <c r="B2931" t="s">
        <v>22</v>
      </c>
      <c r="C2931" t="s">
        <v>17</v>
      </c>
      <c r="D2931" t="s">
        <v>102</v>
      </c>
      <c r="E2931" t="s">
        <v>1272</v>
      </c>
      <c r="F2931">
        <v>6</v>
      </c>
      <c r="G2931" s="10">
        <v>41254</v>
      </c>
      <c r="H2931">
        <v>50</v>
      </c>
      <c r="I2931">
        <v>2016</v>
      </c>
      <c r="J2931" t="s">
        <v>75</v>
      </c>
      <c r="K2931" t="s">
        <v>74</v>
      </c>
      <c r="L2931" t="s">
        <v>75</v>
      </c>
      <c r="M2931" t="s">
        <v>76</v>
      </c>
      <c r="N2931" t="s">
        <v>77</v>
      </c>
      <c r="O2931" t="s">
        <v>73</v>
      </c>
      <c r="P2931" t="s">
        <v>75</v>
      </c>
    </row>
    <row r="2932" spans="1:16" hidden="1">
      <c r="A2932" t="s">
        <v>1658</v>
      </c>
      <c r="B2932" t="s">
        <v>23</v>
      </c>
      <c r="C2932" t="s">
        <v>24</v>
      </c>
      <c r="D2932" t="s">
        <v>103</v>
      </c>
      <c r="E2932" t="s">
        <v>1272</v>
      </c>
      <c r="F2932">
        <v>1</v>
      </c>
      <c r="G2932" s="10">
        <v>41254</v>
      </c>
      <c r="H2932">
        <v>50</v>
      </c>
      <c r="I2932">
        <v>2016</v>
      </c>
      <c r="J2932" t="s">
        <v>75</v>
      </c>
      <c r="K2932" t="s">
        <v>74</v>
      </c>
      <c r="L2932" t="s">
        <v>75</v>
      </c>
      <c r="M2932" t="s">
        <v>75</v>
      </c>
      <c r="N2932" t="s">
        <v>73</v>
      </c>
      <c r="O2932" t="s">
        <v>134</v>
      </c>
      <c r="P2932" t="s">
        <v>74</v>
      </c>
    </row>
    <row r="2933" spans="1:16" hidden="1">
      <c r="A2933" t="s">
        <v>1659</v>
      </c>
      <c r="B2933" t="s">
        <v>23</v>
      </c>
      <c r="C2933" t="s">
        <v>55</v>
      </c>
      <c r="D2933" t="s">
        <v>127</v>
      </c>
      <c r="E2933" t="s">
        <v>1271</v>
      </c>
      <c r="F2933">
        <v>2</v>
      </c>
      <c r="G2933" s="10">
        <v>41254</v>
      </c>
      <c r="H2933">
        <v>50</v>
      </c>
      <c r="I2933">
        <v>2016</v>
      </c>
      <c r="J2933" t="s">
        <v>74</v>
      </c>
      <c r="K2933" t="s">
        <v>75</v>
      </c>
      <c r="L2933" t="s">
        <v>75</v>
      </c>
      <c r="M2933" t="s">
        <v>75</v>
      </c>
      <c r="N2933" t="s">
        <v>75</v>
      </c>
      <c r="O2933" t="s">
        <v>73</v>
      </c>
      <c r="P2933" t="s">
        <v>75</v>
      </c>
    </row>
    <row r="2934" spans="1:16" hidden="1">
      <c r="A2934" t="s">
        <v>1660</v>
      </c>
      <c r="B2934" t="s">
        <v>25</v>
      </c>
      <c r="C2934" t="s">
        <v>132</v>
      </c>
      <c r="D2934" t="s">
        <v>104</v>
      </c>
      <c r="E2934" t="s">
        <v>1271</v>
      </c>
      <c r="F2934">
        <v>5</v>
      </c>
      <c r="G2934" s="10">
        <v>41254</v>
      </c>
      <c r="H2934">
        <v>50</v>
      </c>
      <c r="I2934">
        <v>2016</v>
      </c>
      <c r="J2934" t="s">
        <v>76</v>
      </c>
      <c r="K2934" t="s">
        <v>77</v>
      </c>
      <c r="L2934" t="s">
        <v>73</v>
      </c>
      <c r="M2934" t="s">
        <v>74</v>
      </c>
      <c r="N2934" t="s">
        <v>75</v>
      </c>
      <c r="O2934" t="s">
        <v>75</v>
      </c>
      <c r="P2934" t="s">
        <v>92</v>
      </c>
    </row>
    <row r="2935" spans="1:16" hidden="1">
      <c r="A2935" t="s">
        <v>1661</v>
      </c>
      <c r="B2935" t="s">
        <v>56</v>
      </c>
      <c r="C2935" t="s">
        <v>57</v>
      </c>
      <c r="D2935" t="s">
        <v>129</v>
      </c>
      <c r="E2935" t="s">
        <v>1271</v>
      </c>
      <c r="F2935">
        <v>8</v>
      </c>
      <c r="G2935" s="10">
        <v>41254</v>
      </c>
      <c r="H2935">
        <v>50</v>
      </c>
      <c r="I2935">
        <v>2016</v>
      </c>
      <c r="J2935" t="s">
        <v>75</v>
      </c>
      <c r="K2935" t="s">
        <v>74</v>
      </c>
      <c r="L2935" t="s">
        <v>75</v>
      </c>
      <c r="M2935" t="s">
        <v>74</v>
      </c>
      <c r="N2935" t="s">
        <v>75</v>
      </c>
      <c r="O2935" t="s">
        <v>73</v>
      </c>
      <c r="P2935" t="s">
        <v>74</v>
      </c>
    </row>
    <row r="2936" spans="1:16" hidden="1">
      <c r="A2936" t="s">
        <v>1662</v>
      </c>
      <c r="B2936" t="s">
        <v>26</v>
      </c>
      <c r="C2936" t="s">
        <v>27</v>
      </c>
      <c r="D2936" t="s">
        <v>105</v>
      </c>
      <c r="E2936" t="s">
        <v>1271</v>
      </c>
      <c r="F2936">
        <v>9</v>
      </c>
      <c r="G2936" s="10">
        <v>41254</v>
      </c>
      <c r="H2936">
        <v>50</v>
      </c>
      <c r="I2936">
        <v>2016</v>
      </c>
      <c r="J2936" t="s">
        <v>75</v>
      </c>
      <c r="K2936" t="s">
        <v>75</v>
      </c>
      <c r="L2936" t="s">
        <v>74</v>
      </c>
      <c r="M2936" t="s">
        <v>75</v>
      </c>
      <c r="N2936" t="s">
        <v>73</v>
      </c>
      <c r="O2936" t="s">
        <v>75</v>
      </c>
      <c r="P2936" t="s">
        <v>74</v>
      </c>
    </row>
    <row r="2937" spans="1:16" hidden="1">
      <c r="A2937" t="s">
        <v>1663</v>
      </c>
      <c r="B2937" t="s">
        <v>28</v>
      </c>
      <c r="C2937" t="s">
        <v>29</v>
      </c>
      <c r="D2937" t="s">
        <v>106</v>
      </c>
      <c r="E2937" t="s">
        <v>1271</v>
      </c>
      <c r="F2937">
        <v>4</v>
      </c>
      <c r="G2937" s="10">
        <v>41254</v>
      </c>
      <c r="H2937">
        <v>50</v>
      </c>
      <c r="I2937">
        <v>2016</v>
      </c>
      <c r="J2937" t="s">
        <v>74</v>
      </c>
      <c r="K2937" t="s">
        <v>75</v>
      </c>
      <c r="L2937" t="s">
        <v>134</v>
      </c>
      <c r="M2937" t="s">
        <v>73</v>
      </c>
      <c r="N2937" t="s">
        <v>74</v>
      </c>
      <c r="O2937" t="s">
        <v>74</v>
      </c>
      <c r="P2937" t="s">
        <v>75</v>
      </c>
    </row>
    <row r="2938" spans="1:16">
      <c r="A2938" t="s">
        <v>1664</v>
      </c>
      <c r="B2938" t="s">
        <v>30</v>
      </c>
      <c r="C2938" t="s">
        <v>8</v>
      </c>
      <c r="D2938" t="s">
        <v>107</v>
      </c>
      <c r="E2938" t="s">
        <v>1272</v>
      </c>
      <c r="F2938">
        <v>3</v>
      </c>
      <c r="G2938" s="10">
        <v>41254</v>
      </c>
      <c r="H2938">
        <v>50</v>
      </c>
      <c r="I2938">
        <v>2016</v>
      </c>
      <c r="J2938" t="s">
        <v>74</v>
      </c>
      <c r="K2938" t="s">
        <v>75</v>
      </c>
      <c r="L2938" t="s">
        <v>73</v>
      </c>
      <c r="M2938" t="s">
        <v>75</v>
      </c>
      <c r="N2938" t="s">
        <v>75</v>
      </c>
      <c r="O2938" t="s">
        <v>1298</v>
      </c>
      <c r="P2938" t="s">
        <v>75</v>
      </c>
    </row>
    <row r="2939" spans="1:16">
      <c r="A2939" t="s">
        <v>1665</v>
      </c>
      <c r="B2939" t="s">
        <v>30</v>
      </c>
      <c r="C2939" t="s">
        <v>31</v>
      </c>
      <c r="D2939" t="s">
        <v>108</v>
      </c>
      <c r="E2939" t="s">
        <v>1271</v>
      </c>
      <c r="F2939">
        <v>1</v>
      </c>
      <c r="G2939" s="10">
        <v>41254</v>
      </c>
      <c r="H2939">
        <v>50</v>
      </c>
      <c r="I2939">
        <v>2016</v>
      </c>
      <c r="J2939" t="s">
        <v>73</v>
      </c>
      <c r="K2939" t="s">
        <v>74</v>
      </c>
      <c r="L2939" t="s">
        <v>75</v>
      </c>
      <c r="M2939" t="s">
        <v>75</v>
      </c>
      <c r="N2939" t="s">
        <v>76</v>
      </c>
      <c r="O2939" t="s">
        <v>77</v>
      </c>
      <c r="P2939" t="s">
        <v>73</v>
      </c>
    </row>
    <row r="2940" spans="1:16" hidden="1">
      <c r="A2940" t="s">
        <v>1666</v>
      </c>
      <c r="B2940" t="s">
        <v>32</v>
      </c>
      <c r="C2940" t="s">
        <v>33</v>
      </c>
      <c r="D2940" t="s">
        <v>109</v>
      </c>
      <c r="E2940" t="s">
        <v>1272</v>
      </c>
      <c r="F2940">
        <v>5</v>
      </c>
      <c r="G2940" s="10">
        <v>41254</v>
      </c>
      <c r="H2940">
        <v>50</v>
      </c>
      <c r="I2940">
        <v>2016</v>
      </c>
      <c r="J2940" t="s">
        <v>73</v>
      </c>
      <c r="K2940" t="s">
        <v>75</v>
      </c>
      <c r="L2940" t="s">
        <v>75</v>
      </c>
      <c r="M2940" t="s">
        <v>75</v>
      </c>
      <c r="N2940" t="s">
        <v>75</v>
      </c>
      <c r="O2940" t="s">
        <v>75</v>
      </c>
      <c r="P2940" t="s">
        <v>73</v>
      </c>
    </row>
    <row r="2941" spans="1:16" hidden="1">
      <c r="A2941" t="s">
        <v>1667</v>
      </c>
      <c r="B2941" t="s">
        <v>32</v>
      </c>
      <c r="C2941" t="s">
        <v>34</v>
      </c>
      <c r="D2941" t="s">
        <v>122</v>
      </c>
      <c r="E2941" t="s">
        <v>1320</v>
      </c>
      <c r="F2941">
        <v>1</v>
      </c>
      <c r="G2941" s="10">
        <v>41254</v>
      </c>
      <c r="H2941">
        <v>50</v>
      </c>
      <c r="I2941">
        <v>2016</v>
      </c>
      <c r="J2941" t="s">
        <v>126</v>
      </c>
      <c r="K2941" t="s">
        <v>126</v>
      </c>
      <c r="L2941" t="s">
        <v>126</v>
      </c>
      <c r="M2941" t="s">
        <v>126</v>
      </c>
      <c r="N2941" t="s">
        <v>126</v>
      </c>
      <c r="O2941" t="s">
        <v>126</v>
      </c>
      <c r="P2941" t="s">
        <v>126</v>
      </c>
    </row>
    <row r="2942" spans="1:16" hidden="1">
      <c r="A2942" t="s">
        <v>1668</v>
      </c>
      <c r="B2942" t="s">
        <v>35</v>
      </c>
      <c r="C2942" t="s">
        <v>36</v>
      </c>
      <c r="D2942" t="s">
        <v>110</v>
      </c>
      <c r="E2942" t="s">
        <v>1271</v>
      </c>
      <c r="F2942">
        <v>6</v>
      </c>
      <c r="G2942" s="10">
        <v>41254</v>
      </c>
      <c r="H2942">
        <v>50</v>
      </c>
      <c r="I2942">
        <v>2016</v>
      </c>
      <c r="J2942" t="s">
        <v>77</v>
      </c>
      <c r="K2942" t="s">
        <v>73</v>
      </c>
      <c r="L2942" t="s">
        <v>74</v>
      </c>
      <c r="M2942" t="s">
        <v>74</v>
      </c>
      <c r="N2942" t="s">
        <v>75</v>
      </c>
      <c r="O2942" t="s">
        <v>75</v>
      </c>
      <c r="P2942" t="s">
        <v>134</v>
      </c>
    </row>
    <row r="2943" spans="1:16" hidden="1">
      <c r="A2943" t="s">
        <v>1669</v>
      </c>
      <c r="B2943" t="s">
        <v>58</v>
      </c>
      <c r="C2943" t="s">
        <v>59</v>
      </c>
      <c r="D2943" t="s">
        <v>130</v>
      </c>
      <c r="E2943" t="s">
        <v>1272</v>
      </c>
      <c r="F2943">
        <v>3</v>
      </c>
      <c r="G2943" s="10">
        <v>41254</v>
      </c>
      <c r="H2943">
        <v>50</v>
      </c>
      <c r="I2943">
        <v>2016</v>
      </c>
      <c r="J2943" t="s">
        <v>74</v>
      </c>
      <c r="K2943" t="s">
        <v>75</v>
      </c>
      <c r="L2943" t="s">
        <v>73</v>
      </c>
      <c r="M2943" t="s">
        <v>134</v>
      </c>
      <c r="N2943" t="s">
        <v>75</v>
      </c>
      <c r="O2943" t="s">
        <v>74</v>
      </c>
      <c r="P2943" t="s">
        <v>76</v>
      </c>
    </row>
    <row r="2944" spans="1:16" hidden="1">
      <c r="A2944" t="s">
        <v>1670</v>
      </c>
      <c r="B2944" t="s">
        <v>37</v>
      </c>
      <c r="C2944" t="s">
        <v>38</v>
      </c>
      <c r="D2944" t="s">
        <v>111</v>
      </c>
      <c r="E2944" t="s">
        <v>1271</v>
      </c>
      <c r="F2944">
        <v>7</v>
      </c>
      <c r="G2944" s="10">
        <v>41254</v>
      </c>
      <c r="H2944">
        <v>50</v>
      </c>
      <c r="I2944">
        <v>2016</v>
      </c>
      <c r="J2944" t="s">
        <v>73</v>
      </c>
      <c r="K2944" t="s">
        <v>75</v>
      </c>
      <c r="L2944" t="s">
        <v>75</v>
      </c>
      <c r="M2944" t="s">
        <v>74</v>
      </c>
      <c r="N2944" t="s">
        <v>74</v>
      </c>
      <c r="O2944" t="s">
        <v>75</v>
      </c>
      <c r="P2944" t="s">
        <v>73</v>
      </c>
    </row>
    <row r="2945" spans="1:16" hidden="1">
      <c r="A2945" t="s">
        <v>1671</v>
      </c>
      <c r="B2945" t="s">
        <v>39</v>
      </c>
      <c r="C2945" t="s">
        <v>40</v>
      </c>
      <c r="D2945" t="s">
        <v>112</v>
      </c>
      <c r="E2945" t="s">
        <v>1272</v>
      </c>
      <c r="F2945">
        <v>2</v>
      </c>
      <c r="G2945" s="10">
        <v>41254</v>
      </c>
      <c r="H2945">
        <v>50</v>
      </c>
      <c r="I2945">
        <v>2016</v>
      </c>
      <c r="J2945" t="s">
        <v>74</v>
      </c>
      <c r="K2945" t="s">
        <v>75</v>
      </c>
      <c r="L2945" t="s">
        <v>74</v>
      </c>
      <c r="M2945" t="s">
        <v>73</v>
      </c>
      <c r="N2945" t="s">
        <v>134</v>
      </c>
      <c r="O2945" t="s">
        <v>75</v>
      </c>
      <c r="P2945" t="s">
        <v>74</v>
      </c>
    </row>
    <row r="2946" spans="1:16" hidden="1">
      <c r="A2946" t="s">
        <v>1672</v>
      </c>
      <c r="B2946" t="s">
        <v>41</v>
      </c>
      <c r="C2946" t="s">
        <v>42</v>
      </c>
      <c r="D2946" t="s">
        <v>113</v>
      </c>
      <c r="E2946" t="s">
        <v>1271</v>
      </c>
      <c r="F2946">
        <v>11</v>
      </c>
      <c r="G2946" s="10">
        <v>41254</v>
      </c>
      <c r="H2946">
        <v>50</v>
      </c>
      <c r="I2946">
        <v>2016</v>
      </c>
      <c r="J2946" t="s">
        <v>75</v>
      </c>
      <c r="K2946" t="s">
        <v>73</v>
      </c>
      <c r="L2946" t="s">
        <v>75</v>
      </c>
      <c r="M2946" t="s">
        <v>75</v>
      </c>
      <c r="N2946" t="s">
        <v>75</v>
      </c>
      <c r="O2946" t="s">
        <v>76</v>
      </c>
      <c r="P2946" t="s">
        <v>77</v>
      </c>
    </row>
    <row r="2947" spans="1:16" hidden="1">
      <c r="A2947" t="s">
        <v>1673</v>
      </c>
      <c r="B2947" t="s">
        <v>43</v>
      </c>
      <c r="C2947" t="s">
        <v>44</v>
      </c>
      <c r="D2947" t="s">
        <v>114</v>
      </c>
      <c r="E2947" t="s">
        <v>1271</v>
      </c>
      <c r="F2947">
        <v>3</v>
      </c>
      <c r="G2947" s="10">
        <v>41254</v>
      </c>
      <c r="H2947">
        <v>50</v>
      </c>
      <c r="I2947">
        <v>2016</v>
      </c>
      <c r="J2947" t="s">
        <v>74</v>
      </c>
      <c r="K2947" t="s">
        <v>75</v>
      </c>
      <c r="L2947" t="s">
        <v>76</v>
      </c>
      <c r="M2947" t="s">
        <v>77</v>
      </c>
      <c r="N2947" t="s">
        <v>73</v>
      </c>
      <c r="O2947" t="s">
        <v>74</v>
      </c>
      <c r="P2947" t="s">
        <v>75</v>
      </c>
    </row>
    <row r="2948" spans="1:16" hidden="1">
      <c r="A2948" t="s">
        <v>1674</v>
      </c>
      <c r="B2948" t="s">
        <v>45</v>
      </c>
      <c r="C2948" t="s">
        <v>46</v>
      </c>
      <c r="D2948" t="s">
        <v>115</v>
      </c>
      <c r="E2948" t="s">
        <v>1271</v>
      </c>
      <c r="F2948">
        <v>10</v>
      </c>
      <c r="G2948" s="10">
        <v>41254</v>
      </c>
      <c r="H2948">
        <v>50</v>
      </c>
      <c r="I2948">
        <v>2016</v>
      </c>
      <c r="J2948" t="s">
        <v>75</v>
      </c>
      <c r="K2948" t="s">
        <v>76</v>
      </c>
      <c r="L2948" t="s">
        <v>77</v>
      </c>
      <c r="M2948" t="s">
        <v>73</v>
      </c>
      <c r="N2948" t="s">
        <v>74</v>
      </c>
      <c r="O2948" t="s">
        <v>75</v>
      </c>
      <c r="P2948" t="s">
        <v>75</v>
      </c>
    </row>
    <row r="2949" spans="1:16" hidden="1">
      <c r="A2949" t="s">
        <v>1675</v>
      </c>
      <c r="B2949" t="s">
        <v>47</v>
      </c>
      <c r="C2949" t="s">
        <v>48</v>
      </c>
      <c r="D2949" t="s">
        <v>116</v>
      </c>
      <c r="E2949" t="s">
        <v>1271</v>
      </c>
      <c r="F2949">
        <v>10</v>
      </c>
      <c r="G2949" s="10">
        <v>41254</v>
      </c>
      <c r="H2949">
        <v>50</v>
      </c>
      <c r="I2949">
        <v>2016</v>
      </c>
      <c r="J2949" t="s">
        <v>75</v>
      </c>
      <c r="K2949" t="s">
        <v>76</v>
      </c>
      <c r="L2949" t="s">
        <v>77</v>
      </c>
      <c r="M2949" t="s">
        <v>73</v>
      </c>
      <c r="N2949" t="s">
        <v>74</v>
      </c>
      <c r="O2949" t="s">
        <v>75</v>
      </c>
      <c r="P2949" t="s">
        <v>75</v>
      </c>
    </row>
    <row r="2950" spans="1:16" hidden="1">
      <c r="A2950" t="s">
        <v>1676</v>
      </c>
      <c r="B2950" t="s">
        <v>49</v>
      </c>
      <c r="C2950" t="s">
        <v>50</v>
      </c>
      <c r="D2950" t="s">
        <v>117</v>
      </c>
      <c r="E2950" t="s">
        <v>1271</v>
      </c>
      <c r="F2950">
        <v>9</v>
      </c>
      <c r="G2950" s="10">
        <v>41254</v>
      </c>
      <c r="H2950">
        <v>50</v>
      </c>
      <c r="I2950">
        <v>2016</v>
      </c>
      <c r="J2950" t="s">
        <v>75</v>
      </c>
      <c r="K2950" t="s">
        <v>74</v>
      </c>
      <c r="L2950" t="s">
        <v>74</v>
      </c>
      <c r="M2950" t="s">
        <v>75</v>
      </c>
      <c r="N2950" t="s">
        <v>73</v>
      </c>
      <c r="O2950" t="s">
        <v>74</v>
      </c>
      <c r="P2950" t="s">
        <v>74</v>
      </c>
    </row>
    <row r="2951" spans="1:16" hidden="1">
      <c r="A2951" t="s">
        <v>1677</v>
      </c>
      <c r="B2951" t="s">
        <v>51</v>
      </c>
      <c r="C2951" t="s">
        <v>52</v>
      </c>
      <c r="D2951" t="s">
        <v>118</v>
      </c>
      <c r="E2951" t="s">
        <v>1271</v>
      </c>
      <c r="F2951">
        <v>5</v>
      </c>
      <c r="G2951" s="10">
        <v>41254</v>
      </c>
      <c r="H2951">
        <v>50</v>
      </c>
      <c r="I2951">
        <v>2016</v>
      </c>
      <c r="J2951" t="s">
        <v>76</v>
      </c>
      <c r="K2951" t="s">
        <v>77</v>
      </c>
      <c r="L2951" t="s">
        <v>73</v>
      </c>
      <c r="M2951" t="s">
        <v>74</v>
      </c>
      <c r="N2951" t="s">
        <v>75</v>
      </c>
      <c r="O2951" t="s">
        <v>75</v>
      </c>
      <c r="P2951" t="s">
        <v>76</v>
      </c>
    </row>
    <row r="2952" spans="1:16" hidden="1">
      <c r="A2952" t="s">
        <v>1678</v>
      </c>
      <c r="B2952" t="s">
        <v>53</v>
      </c>
      <c r="C2952" t="s">
        <v>54</v>
      </c>
      <c r="D2952" t="s">
        <v>119</v>
      </c>
      <c r="E2952" t="s">
        <v>1272</v>
      </c>
      <c r="F2952">
        <v>1</v>
      </c>
      <c r="G2952" s="10">
        <v>41254</v>
      </c>
      <c r="H2952">
        <v>50</v>
      </c>
      <c r="I2952">
        <v>2016</v>
      </c>
      <c r="J2952" t="s">
        <v>75</v>
      </c>
      <c r="K2952" t="s">
        <v>134</v>
      </c>
      <c r="L2952" t="s">
        <v>92</v>
      </c>
      <c r="M2952" t="s">
        <v>75</v>
      </c>
      <c r="N2952" t="s">
        <v>73</v>
      </c>
      <c r="O2952" t="s">
        <v>74</v>
      </c>
      <c r="P2952" t="s">
        <v>74</v>
      </c>
    </row>
    <row r="2953" spans="1:16" hidden="1">
      <c r="A2953" t="s">
        <v>1679</v>
      </c>
      <c r="B2953" t="s">
        <v>1289</v>
      </c>
      <c r="C2953" t="s">
        <v>132</v>
      </c>
      <c r="D2953" t="s">
        <v>1292</v>
      </c>
      <c r="E2953" t="s">
        <v>1272</v>
      </c>
      <c r="F2953">
        <v>3</v>
      </c>
      <c r="G2953" s="10">
        <v>41254</v>
      </c>
      <c r="H2953">
        <v>50</v>
      </c>
      <c r="I2953">
        <v>2016</v>
      </c>
      <c r="J2953" t="s">
        <v>74</v>
      </c>
      <c r="K2953" t="s">
        <v>73</v>
      </c>
      <c r="L2953" t="s">
        <v>75</v>
      </c>
      <c r="M2953" t="s">
        <v>134</v>
      </c>
      <c r="N2953" t="s">
        <v>75</v>
      </c>
      <c r="O2953" t="s">
        <v>74</v>
      </c>
      <c r="P2953" t="s">
        <v>75</v>
      </c>
    </row>
    <row r="2954" spans="1:16" hidden="1">
      <c r="A2954" t="s">
        <v>1680</v>
      </c>
      <c r="B2954" t="s">
        <v>1290</v>
      </c>
      <c r="C2954" t="s">
        <v>132</v>
      </c>
      <c r="D2954" t="s">
        <v>1294</v>
      </c>
      <c r="E2954" t="s">
        <v>1272</v>
      </c>
      <c r="F2954">
        <v>6</v>
      </c>
      <c r="G2954" s="10">
        <v>41254</v>
      </c>
      <c r="H2954">
        <v>50</v>
      </c>
      <c r="I2954">
        <v>2016</v>
      </c>
      <c r="J2954" t="s">
        <v>75</v>
      </c>
      <c r="K2954" t="s">
        <v>74</v>
      </c>
      <c r="L2954" t="s">
        <v>75</v>
      </c>
      <c r="M2954" t="s">
        <v>74</v>
      </c>
      <c r="N2954" t="s">
        <v>75</v>
      </c>
      <c r="O2954" t="s">
        <v>73</v>
      </c>
      <c r="P2954" t="s">
        <v>75</v>
      </c>
    </row>
    <row r="2955" spans="1:16" hidden="1">
      <c r="A2955" t="s">
        <v>1681</v>
      </c>
      <c r="B2955" t="s">
        <v>1291</v>
      </c>
      <c r="C2955" t="s">
        <v>132</v>
      </c>
      <c r="D2955" t="s">
        <v>1295</v>
      </c>
      <c r="E2955" t="s">
        <v>1272</v>
      </c>
      <c r="F2955">
        <v>4</v>
      </c>
      <c r="G2955" s="10">
        <v>41254</v>
      </c>
      <c r="H2955">
        <v>50</v>
      </c>
      <c r="I2955">
        <v>2016</v>
      </c>
      <c r="J2955" t="s">
        <v>75</v>
      </c>
      <c r="K2955" t="s">
        <v>73</v>
      </c>
      <c r="L2955" t="s">
        <v>74</v>
      </c>
      <c r="M2955" t="s">
        <v>75</v>
      </c>
      <c r="N2955" t="s">
        <v>74</v>
      </c>
      <c r="O2955" t="s">
        <v>75</v>
      </c>
      <c r="P2955" t="s">
        <v>75</v>
      </c>
    </row>
    <row r="2956" spans="1:16" hidden="1">
      <c r="A2956" t="s">
        <v>1682</v>
      </c>
      <c r="B2956" t="s">
        <v>1296</v>
      </c>
      <c r="C2956" t="s">
        <v>1297</v>
      </c>
      <c r="D2956" t="s">
        <v>1293</v>
      </c>
      <c r="E2956" t="s">
        <v>1272</v>
      </c>
      <c r="F2956">
        <v>5</v>
      </c>
      <c r="G2956" s="10">
        <v>41254</v>
      </c>
      <c r="H2956">
        <v>50</v>
      </c>
      <c r="I2956">
        <v>2016</v>
      </c>
      <c r="J2956" t="s">
        <v>73</v>
      </c>
      <c r="K2956" t="s">
        <v>75</v>
      </c>
      <c r="L2956" t="s">
        <v>75</v>
      </c>
      <c r="M2956" t="s">
        <v>74</v>
      </c>
      <c r="N2956" t="s">
        <v>75</v>
      </c>
      <c r="O2956" t="s">
        <v>75</v>
      </c>
      <c r="P2956" t="s">
        <v>73</v>
      </c>
    </row>
    <row r="2957" spans="1:16" hidden="1">
      <c r="A2957" t="s">
        <v>1683</v>
      </c>
      <c r="B2957" t="s">
        <v>3</v>
      </c>
      <c r="C2957" t="s">
        <v>4</v>
      </c>
      <c r="D2957" t="s">
        <v>90</v>
      </c>
      <c r="E2957" t="s">
        <v>1271</v>
      </c>
      <c r="F2957">
        <v>1</v>
      </c>
      <c r="G2957" s="10">
        <v>41261</v>
      </c>
      <c r="H2957">
        <v>51</v>
      </c>
      <c r="I2957">
        <v>2016</v>
      </c>
      <c r="J2957" t="s">
        <v>73</v>
      </c>
      <c r="K2957" t="s">
        <v>74</v>
      </c>
      <c r="L2957" t="s">
        <v>75</v>
      </c>
      <c r="M2957" t="s">
        <v>75</v>
      </c>
      <c r="N2957" t="s">
        <v>76</v>
      </c>
      <c r="O2957" t="s">
        <v>77</v>
      </c>
      <c r="P2957" t="s">
        <v>73</v>
      </c>
    </row>
    <row r="2958" spans="1:16" hidden="1">
      <c r="A2958" t="s">
        <v>1684</v>
      </c>
      <c r="B2958" t="s">
        <v>5</v>
      </c>
      <c r="C2958" t="s">
        <v>6</v>
      </c>
      <c r="D2958" t="s">
        <v>93</v>
      </c>
      <c r="E2958" t="s">
        <v>1271</v>
      </c>
      <c r="F2958">
        <v>2</v>
      </c>
      <c r="G2958" s="10">
        <v>41261</v>
      </c>
      <c r="H2958">
        <v>51</v>
      </c>
      <c r="I2958">
        <v>2016</v>
      </c>
      <c r="J2958" t="s">
        <v>74</v>
      </c>
      <c r="K2958" t="s">
        <v>75</v>
      </c>
      <c r="L2958" t="s">
        <v>75</v>
      </c>
      <c r="M2958" t="s">
        <v>75</v>
      </c>
      <c r="N2958" t="s">
        <v>74</v>
      </c>
      <c r="O2958" t="s">
        <v>73</v>
      </c>
      <c r="P2958" t="s">
        <v>75</v>
      </c>
    </row>
    <row r="2959" spans="1:16" hidden="1">
      <c r="A2959" t="s">
        <v>1685</v>
      </c>
      <c r="B2959" t="s">
        <v>7</v>
      </c>
      <c r="C2959" t="s">
        <v>8</v>
      </c>
      <c r="D2959" t="s">
        <v>94</v>
      </c>
      <c r="E2959" t="s">
        <v>1271</v>
      </c>
      <c r="F2959">
        <v>7</v>
      </c>
      <c r="G2959" s="10">
        <v>41261</v>
      </c>
      <c r="H2959">
        <v>51</v>
      </c>
      <c r="I2959">
        <v>2016</v>
      </c>
      <c r="J2959" t="s">
        <v>73</v>
      </c>
      <c r="K2959" t="s">
        <v>74</v>
      </c>
      <c r="L2959" t="s">
        <v>75</v>
      </c>
      <c r="M2959" t="s">
        <v>74</v>
      </c>
      <c r="N2959" t="s">
        <v>75</v>
      </c>
      <c r="O2959" t="s">
        <v>75</v>
      </c>
      <c r="P2959" t="s">
        <v>73</v>
      </c>
    </row>
    <row r="2960" spans="1:16" hidden="1">
      <c r="A2960" t="s">
        <v>1686</v>
      </c>
      <c r="B2960" t="s">
        <v>9</v>
      </c>
      <c r="C2960" t="s">
        <v>10</v>
      </c>
      <c r="D2960" t="s">
        <v>96</v>
      </c>
      <c r="E2960" t="s">
        <v>1271</v>
      </c>
      <c r="F2960">
        <v>8</v>
      </c>
      <c r="G2960" s="10">
        <v>41261</v>
      </c>
      <c r="H2960">
        <v>51</v>
      </c>
      <c r="I2960">
        <v>2016</v>
      </c>
      <c r="J2960" t="s">
        <v>75</v>
      </c>
      <c r="K2960" t="s">
        <v>75</v>
      </c>
      <c r="L2960" t="s">
        <v>75</v>
      </c>
      <c r="M2960" t="s">
        <v>76</v>
      </c>
      <c r="N2960" t="s">
        <v>77</v>
      </c>
      <c r="O2960" t="s">
        <v>73</v>
      </c>
      <c r="P2960" t="s">
        <v>74</v>
      </c>
    </row>
    <row r="2961" spans="1:16" hidden="1">
      <c r="A2961" t="s">
        <v>1687</v>
      </c>
      <c r="B2961" t="s">
        <v>11</v>
      </c>
      <c r="C2961" t="s">
        <v>12</v>
      </c>
      <c r="D2961" t="s">
        <v>97</v>
      </c>
      <c r="E2961" t="s">
        <v>1271</v>
      </c>
      <c r="F2961">
        <v>9</v>
      </c>
      <c r="G2961" s="10">
        <v>41261</v>
      </c>
      <c r="H2961">
        <v>51</v>
      </c>
      <c r="I2961">
        <v>2016</v>
      </c>
      <c r="J2961" t="s">
        <v>75</v>
      </c>
      <c r="K2961" t="s">
        <v>74</v>
      </c>
      <c r="L2961" t="s">
        <v>75</v>
      </c>
      <c r="M2961" t="s">
        <v>75</v>
      </c>
      <c r="N2961" t="s">
        <v>73</v>
      </c>
      <c r="O2961" t="s">
        <v>74</v>
      </c>
      <c r="P2961" t="s">
        <v>75</v>
      </c>
    </row>
    <row r="2962" spans="1:16" hidden="1">
      <c r="A2962" t="s">
        <v>1688</v>
      </c>
      <c r="B2962" t="s">
        <v>13</v>
      </c>
      <c r="C2962" t="s">
        <v>14</v>
      </c>
      <c r="D2962" t="s">
        <v>120</v>
      </c>
      <c r="E2962" t="s">
        <v>1320</v>
      </c>
      <c r="F2962">
        <v>1</v>
      </c>
      <c r="G2962" s="10">
        <v>41261</v>
      </c>
      <c r="H2962">
        <v>51</v>
      </c>
      <c r="I2962">
        <v>2016</v>
      </c>
      <c r="J2962" t="s">
        <v>126</v>
      </c>
      <c r="K2962" t="s">
        <v>126</v>
      </c>
      <c r="L2962" t="s">
        <v>126</v>
      </c>
      <c r="M2962" t="s">
        <v>126</v>
      </c>
      <c r="N2962" t="s">
        <v>126</v>
      </c>
      <c r="O2962" t="s">
        <v>126</v>
      </c>
      <c r="P2962" t="s">
        <v>126</v>
      </c>
    </row>
    <row r="2963" spans="1:16" hidden="1">
      <c r="A2963" t="s">
        <v>1689</v>
      </c>
      <c r="B2963" t="s">
        <v>13</v>
      </c>
      <c r="C2963" t="s">
        <v>15</v>
      </c>
      <c r="D2963" t="s">
        <v>98</v>
      </c>
      <c r="E2963" t="s">
        <v>1272</v>
      </c>
      <c r="F2963">
        <v>4</v>
      </c>
      <c r="G2963" s="10">
        <v>41261</v>
      </c>
      <c r="H2963">
        <v>51</v>
      </c>
      <c r="I2963">
        <v>2016</v>
      </c>
      <c r="J2963" t="s">
        <v>75</v>
      </c>
      <c r="K2963" t="s">
        <v>73</v>
      </c>
      <c r="L2963" t="s">
        <v>75</v>
      </c>
      <c r="M2963" t="s">
        <v>75</v>
      </c>
      <c r="N2963" t="s">
        <v>75</v>
      </c>
      <c r="O2963" t="s">
        <v>75</v>
      </c>
      <c r="P2963" t="s">
        <v>75</v>
      </c>
    </row>
    <row r="2964" spans="1:16" hidden="1">
      <c r="A2964" t="s">
        <v>1690</v>
      </c>
      <c r="B2964" t="s">
        <v>16</v>
      </c>
      <c r="C2964" t="s">
        <v>17</v>
      </c>
      <c r="D2964" t="s">
        <v>99</v>
      </c>
      <c r="E2964" t="s">
        <v>1271</v>
      </c>
      <c r="F2964">
        <v>3</v>
      </c>
      <c r="G2964" s="10">
        <v>41261</v>
      </c>
      <c r="H2964">
        <v>51</v>
      </c>
      <c r="I2964">
        <v>2016</v>
      </c>
      <c r="J2964" t="s">
        <v>74</v>
      </c>
      <c r="K2964" t="s">
        <v>75</v>
      </c>
      <c r="L2964" t="s">
        <v>76</v>
      </c>
      <c r="M2964" t="s">
        <v>77</v>
      </c>
      <c r="N2964" t="s">
        <v>73</v>
      </c>
      <c r="O2964" t="s">
        <v>74</v>
      </c>
      <c r="P2964" t="s">
        <v>75</v>
      </c>
    </row>
    <row r="2965" spans="1:16" hidden="1">
      <c r="A2965" t="s">
        <v>1691</v>
      </c>
      <c r="B2965" t="s">
        <v>18</v>
      </c>
      <c r="C2965" t="s">
        <v>19</v>
      </c>
      <c r="D2965" t="s">
        <v>100</v>
      </c>
      <c r="E2965" t="s">
        <v>1271</v>
      </c>
      <c r="F2965">
        <v>5</v>
      </c>
      <c r="G2965" s="10">
        <v>41261</v>
      </c>
      <c r="H2965">
        <v>51</v>
      </c>
      <c r="I2965">
        <v>2016</v>
      </c>
      <c r="J2965" t="s">
        <v>76</v>
      </c>
      <c r="K2965" t="s">
        <v>77</v>
      </c>
      <c r="L2965" t="s">
        <v>73</v>
      </c>
      <c r="M2965" t="s">
        <v>74</v>
      </c>
      <c r="N2965" t="s">
        <v>75</v>
      </c>
      <c r="O2965" t="s">
        <v>75</v>
      </c>
      <c r="P2965" t="s">
        <v>76</v>
      </c>
    </row>
    <row r="2966" spans="1:16" hidden="1">
      <c r="A2966" t="s">
        <v>1692</v>
      </c>
      <c r="B2966" t="s">
        <v>20</v>
      </c>
      <c r="C2966" t="s">
        <v>21</v>
      </c>
      <c r="D2966" t="s">
        <v>101</v>
      </c>
      <c r="E2966" t="s">
        <v>1271</v>
      </c>
      <c r="F2966">
        <v>4</v>
      </c>
      <c r="G2966" s="10">
        <v>41261</v>
      </c>
      <c r="H2966">
        <v>51</v>
      </c>
      <c r="I2966">
        <v>2016</v>
      </c>
      <c r="J2966" t="s">
        <v>74</v>
      </c>
      <c r="K2966" t="s">
        <v>75</v>
      </c>
      <c r="L2966" t="s">
        <v>75</v>
      </c>
      <c r="M2966" t="s">
        <v>73</v>
      </c>
      <c r="N2966" t="s">
        <v>75</v>
      </c>
      <c r="O2966" t="s">
        <v>74</v>
      </c>
      <c r="P2966" t="s">
        <v>75</v>
      </c>
    </row>
    <row r="2967" spans="1:16" hidden="1">
      <c r="A2967" t="s">
        <v>1693</v>
      </c>
      <c r="B2967" t="s">
        <v>22</v>
      </c>
      <c r="C2967" t="s">
        <v>17</v>
      </c>
      <c r="D2967" t="s">
        <v>102</v>
      </c>
      <c r="E2967" t="s">
        <v>1272</v>
      </c>
      <c r="F2967">
        <v>1</v>
      </c>
      <c r="G2967" s="10">
        <v>41261</v>
      </c>
      <c r="H2967">
        <v>51</v>
      </c>
      <c r="I2967">
        <v>2016</v>
      </c>
      <c r="J2967" t="s">
        <v>75</v>
      </c>
      <c r="K2967" t="s">
        <v>74</v>
      </c>
      <c r="L2967" t="s">
        <v>75</v>
      </c>
      <c r="M2967" t="s">
        <v>75</v>
      </c>
      <c r="N2967" t="s">
        <v>73</v>
      </c>
      <c r="O2967" t="s">
        <v>74</v>
      </c>
      <c r="P2967" t="s">
        <v>74</v>
      </c>
    </row>
    <row r="2968" spans="1:16" hidden="1">
      <c r="A2968" t="s">
        <v>1694</v>
      </c>
      <c r="B2968" t="s">
        <v>23</v>
      </c>
      <c r="C2968" t="s">
        <v>24</v>
      </c>
      <c r="D2968" t="s">
        <v>103</v>
      </c>
      <c r="E2968" t="s">
        <v>1272</v>
      </c>
      <c r="F2968">
        <v>2</v>
      </c>
      <c r="G2968" s="10">
        <v>41261</v>
      </c>
      <c r="H2968">
        <v>51</v>
      </c>
      <c r="I2968">
        <v>2016</v>
      </c>
      <c r="J2968" t="s">
        <v>74</v>
      </c>
      <c r="K2968" t="s">
        <v>75</v>
      </c>
      <c r="L2968" t="s">
        <v>74</v>
      </c>
      <c r="M2968" t="s">
        <v>73</v>
      </c>
      <c r="N2968" t="s">
        <v>74</v>
      </c>
      <c r="O2968" t="s">
        <v>75</v>
      </c>
      <c r="P2968" t="s">
        <v>74</v>
      </c>
    </row>
    <row r="2969" spans="1:16" hidden="1">
      <c r="A2969" t="s">
        <v>1695</v>
      </c>
      <c r="B2969" t="s">
        <v>23</v>
      </c>
      <c r="C2969" t="s">
        <v>55</v>
      </c>
      <c r="D2969" t="s">
        <v>127</v>
      </c>
      <c r="E2969" t="s">
        <v>1271</v>
      </c>
      <c r="F2969">
        <v>3</v>
      </c>
      <c r="G2969" s="10">
        <v>41261</v>
      </c>
      <c r="H2969">
        <v>51</v>
      </c>
      <c r="I2969">
        <v>2016</v>
      </c>
      <c r="J2969" t="s">
        <v>74</v>
      </c>
      <c r="K2969" t="s">
        <v>75</v>
      </c>
      <c r="L2969" t="s">
        <v>76</v>
      </c>
      <c r="M2969" t="s">
        <v>77</v>
      </c>
      <c r="N2969" t="s">
        <v>73</v>
      </c>
      <c r="O2969" t="s">
        <v>74</v>
      </c>
      <c r="P2969" t="s">
        <v>75</v>
      </c>
    </row>
    <row r="2970" spans="1:16" hidden="1">
      <c r="A2970" t="s">
        <v>1696</v>
      </c>
      <c r="B2970" t="s">
        <v>25</v>
      </c>
      <c r="C2970" t="s">
        <v>132</v>
      </c>
      <c r="D2970" t="s">
        <v>104</v>
      </c>
      <c r="E2970" t="s">
        <v>1271</v>
      </c>
      <c r="F2970">
        <v>6</v>
      </c>
      <c r="G2970" s="10">
        <v>41261</v>
      </c>
      <c r="H2970">
        <v>51</v>
      </c>
      <c r="I2970">
        <v>2016</v>
      </c>
      <c r="J2970" t="s">
        <v>75</v>
      </c>
      <c r="K2970" t="s">
        <v>73</v>
      </c>
      <c r="L2970" t="s">
        <v>74</v>
      </c>
      <c r="M2970" t="s">
        <v>74</v>
      </c>
      <c r="N2970" t="s">
        <v>75</v>
      </c>
      <c r="O2970" t="s">
        <v>75</v>
      </c>
      <c r="P2970" t="s">
        <v>74</v>
      </c>
    </row>
    <row r="2971" spans="1:16" hidden="1">
      <c r="A2971" t="s">
        <v>1697</v>
      </c>
      <c r="B2971" t="s">
        <v>56</v>
      </c>
      <c r="C2971" t="s">
        <v>57</v>
      </c>
      <c r="D2971" t="s">
        <v>129</v>
      </c>
      <c r="E2971" t="s">
        <v>1271</v>
      </c>
      <c r="F2971">
        <v>9</v>
      </c>
      <c r="G2971" s="10">
        <v>41261</v>
      </c>
      <c r="H2971">
        <v>51</v>
      </c>
      <c r="I2971">
        <v>2016</v>
      </c>
      <c r="J2971" t="s">
        <v>75</v>
      </c>
      <c r="K2971" t="s">
        <v>75</v>
      </c>
      <c r="L2971" t="s">
        <v>74</v>
      </c>
      <c r="M2971" t="s">
        <v>75</v>
      </c>
      <c r="N2971" t="s">
        <v>73</v>
      </c>
      <c r="O2971" t="s">
        <v>74</v>
      </c>
      <c r="P2971" t="s">
        <v>74</v>
      </c>
    </row>
    <row r="2972" spans="1:16" hidden="1">
      <c r="A2972" t="s">
        <v>1698</v>
      </c>
      <c r="B2972" t="s">
        <v>26</v>
      </c>
      <c r="C2972" t="s">
        <v>27</v>
      </c>
      <c r="D2972" t="s">
        <v>105</v>
      </c>
      <c r="E2972" t="s">
        <v>1271</v>
      </c>
      <c r="F2972">
        <v>10</v>
      </c>
      <c r="G2972" s="10">
        <v>41261</v>
      </c>
      <c r="H2972">
        <v>51</v>
      </c>
      <c r="I2972">
        <v>2016</v>
      </c>
      <c r="J2972" t="s">
        <v>75</v>
      </c>
      <c r="K2972" t="s">
        <v>76</v>
      </c>
      <c r="L2972" t="s">
        <v>77</v>
      </c>
      <c r="M2972" t="s">
        <v>73</v>
      </c>
      <c r="N2972" t="s">
        <v>74</v>
      </c>
      <c r="O2972" t="s">
        <v>74</v>
      </c>
      <c r="P2972" t="s">
        <v>75</v>
      </c>
    </row>
    <row r="2973" spans="1:16" hidden="1">
      <c r="A2973" t="s">
        <v>1699</v>
      </c>
      <c r="B2973" t="s">
        <v>28</v>
      </c>
      <c r="C2973" t="s">
        <v>29</v>
      </c>
      <c r="D2973" t="s">
        <v>106</v>
      </c>
      <c r="E2973" t="s">
        <v>1271</v>
      </c>
      <c r="F2973">
        <v>5</v>
      </c>
      <c r="G2973" s="10">
        <v>41261</v>
      </c>
      <c r="H2973">
        <v>51</v>
      </c>
      <c r="I2973">
        <v>2016</v>
      </c>
      <c r="J2973" t="s">
        <v>76</v>
      </c>
      <c r="K2973" t="s">
        <v>77</v>
      </c>
      <c r="L2973" t="s">
        <v>73</v>
      </c>
      <c r="M2973" t="s">
        <v>74</v>
      </c>
      <c r="N2973" t="s">
        <v>75</v>
      </c>
      <c r="O2973" t="s">
        <v>75</v>
      </c>
      <c r="P2973" t="s">
        <v>76</v>
      </c>
    </row>
    <row r="2974" spans="1:16">
      <c r="A2974" t="s">
        <v>1700</v>
      </c>
      <c r="B2974" t="s">
        <v>30</v>
      </c>
      <c r="C2974" t="s">
        <v>8</v>
      </c>
      <c r="D2974" t="s">
        <v>107</v>
      </c>
      <c r="E2974" t="s">
        <v>1272</v>
      </c>
      <c r="F2974">
        <v>4</v>
      </c>
      <c r="G2974" s="10">
        <v>41261</v>
      </c>
      <c r="H2974">
        <v>51</v>
      </c>
      <c r="I2974">
        <v>2016</v>
      </c>
      <c r="J2974" t="s">
        <v>75</v>
      </c>
      <c r="K2974" t="s">
        <v>73</v>
      </c>
      <c r="L2974" t="s">
        <v>74</v>
      </c>
      <c r="M2974" t="s">
        <v>75</v>
      </c>
      <c r="N2974" t="s">
        <v>74</v>
      </c>
      <c r="O2974" t="s">
        <v>1298</v>
      </c>
      <c r="P2974" t="s">
        <v>75</v>
      </c>
    </row>
    <row r="2975" spans="1:16">
      <c r="A2975" t="s">
        <v>1701</v>
      </c>
      <c r="B2975" t="s">
        <v>30</v>
      </c>
      <c r="C2975" t="s">
        <v>31</v>
      </c>
      <c r="D2975" t="s">
        <v>108</v>
      </c>
      <c r="E2975" t="s">
        <v>1271</v>
      </c>
      <c r="F2975">
        <v>2</v>
      </c>
      <c r="G2975" s="10">
        <v>41261</v>
      </c>
      <c r="H2975">
        <v>51</v>
      </c>
      <c r="I2975">
        <v>2016</v>
      </c>
      <c r="J2975" t="s">
        <v>74</v>
      </c>
      <c r="K2975" t="s">
        <v>75</v>
      </c>
      <c r="L2975" t="s">
        <v>75</v>
      </c>
      <c r="M2975" t="s">
        <v>75</v>
      </c>
      <c r="N2975" t="s">
        <v>75</v>
      </c>
      <c r="O2975" t="s">
        <v>73</v>
      </c>
      <c r="P2975" t="s">
        <v>75</v>
      </c>
    </row>
    <row r="2976" spans="1:16" hidden="1">
      <c r="A2976" t="s">
        <v>1702</v>
      </c>
      <c r="B2976" t="s">
        <v>32</v>
      </c>
      <c r="C2976" t="s">
        <v>33</v>
      </c>
      <c r="D2976" t="s">
        <v>109</v>
      </c>
      <c r="E2976" t="s">
        <v>1272</v>
      </c>
      <c r="F2976">
        <v>6</v>
      </c>
      <c r="G2976" s="10">
        <v>41261</v>
      </c>
      <c r="H2976">
        <v>51</v>
      </c>
      <c r="I2976">
        <v>2016</v>
      </c>
      <c r="J2976" t="s">
        <v>75</v>
      </c>
      <c r="K2976" t="s">
        <v>75</v>
      </c>
      <c r="L2976" t="s">
        <v>75</v>
      </c>
      <c r="M2976" t="s">
        <v>74</v>
      </c>
      <c r="N2976" t="s">
        <v>134</v>
      </c>
      <c r="O2976" t="s">
        <v>73</v>
      </c>
      <c r="P2976" t="s">
        <v>75</v>
      </c>
    </row>
    <row r="2977" spans="1:16" hidden="1">
      <c r="A2977" t="s">
        <v>1703</v>
      </c>
      <c r="B2977" t="s">
        <v>32</v>
      </c>
      <c r="C2977" t="s">
        <v>34</v>
      </c>
      <c r="D2977" t="s">
        <v>122</v>
      </c>
      <c r="E2977" t="s">
        <v>1320</v>
      </c>
      <c r="F2977">
        <v>1</v>
      </c>
      <c r="G2977" s="10">
        <v>41261</v>
      </c>
      <c r="H2977">
        <v>51</v>
      </c>
      <c r="I2977">
        <v>2016</v>
      </c>
      <c r="J2977" t="s">
        <v>126</v>
      </c>
      <c r="K2977" t="s">
        <v>126</v>
      </c>
      <c r="L2977" t="s">
        <v>126</v>
      </c>
      <c r="M2977" t="s">
        <v>126</v>
      </c>
      <c r="N2977" t="s">
        <v>126</v>
      </c>
      <c r="O2977" t="s">
        <v>126</v>
      </c>
      <c r="P2977" t="s">
        <v>126</v>
      </c>
    </row>
    <row r="2978" spans="1:16" hidden="1">
      <c r="A2978" t="s">
        <v>1704</v>
      </c>
      <c r="B2978" t="s">
        <v>35</v>
      </c>
      <c r="C2978" t="s">
        <v>36</v>
      </c>
      <c r="D2978" t="s">
        <v>110</v>
      </c>
      <c r="E2978" t="s">
        <v>1271</v>
      </c>
      <c r="F2978">
        <v>7</v>
      </c>
      <c r="G2978" s="10">
        <v>41261</v>
      </c>
      <c r="H2978">
        <v>51</v>
      </c>
      <c r="I2978">
        <v>2016</v>
      </c>
      <c r="J2978" t="s">
        <v>73</v>
      </c>
      <c r="K2978" t="s">
        <v>74</v>
      </c>
      <c r="L2978" t="s">
        <v>75</v>
      </c>
      <c r="M2978" t="s">
        <v>74</v>
      </c>
      <c r="N2978" t="s">
        <v>74</v>
      </c>
      <c r="O2978" t="s">
        <v>75</v>
      </c>
      <c r="P2978" t="s">
        <v>73</v>
      </c>
    </row>
    <row r="2979" spans="1:16" hidden="1">
      <c r="A2979" t="s">
        <v>1705</v>
      </c>
      <c r="B2979" t="s">
        <v>58</v>
      </c>
      <c r="C2979" t="s">
        <v>59</v>
      </c>
      <c r="D2979" t="s">
        <v>130</v>
      </c>
      <c r="E2979" t="s">
        <v>1272</v>
      </c>
      <c r="F2979">
        <v>4</v>
      </c>
      <c r="G2979" s="10">
        <v>41261</v>
      </c>
      <c r="H2979">
        <v>51</v>
      </c>
      <c r="I2979">
        <v>2016</v>
      </c>
      <c r="J2979" t="s">
        <v>77</v>
      </c>
      <c r="K2979" t="s">
        <v>73</v>
      </c>
      <c r="L2979" t="s">
        <v>74</v>
      </c>
      <c r="M2979" t="s">
        <v>75</v>
      </c>
      <c r="N2979" t="s">
        <v>74</v>
      </c>
      <c r="O2979" t="s">
        <v>75</v>
      </c>
      <c r="P2979" t="s">
        <v>75</v>
      </c>
    </row>
    <row r="2980" spans="1:16" hidden="1">
      <c r="A2980" t="s">
        <v>1706</v>
      </c>
      <c r="B2980" t="s">
        <v>37</v>
      </c>
      <c r="C2980" t="s">
        <v>38</v>
      </c>
      <c r="D2980" t="s">
        <v>111</v>
      </c>
      <c r="E2980" t="s">
        <v>1271</v>
      </c>
      <c r="F2980">
        <v>8</v>
      </c>
      <c r="G2980" s="10">
        <v>41261</v>
      </c>
      <c r="H2980">
        <v>51</v>
      </c>
      <c r="I2980">
        <v>2016</v>
      </c>
      <c r="J2980" t="s">
        <v>75</v>
      </c>
      <c r="K2980" t="s">
        <v>75</v>
      </c>
      <c r="L2980" t="s">
        <v>75</v>
      </c>
      <c r="M2980" t="s">
        <v>76</v>
      </c>
      <c r="N2980" t="s">
        <v>77</v>
      </c>
      <c r="O2980" t="s">
        <v>73</v>
      </c>
      <c r="P2980" t="s">
        <v>74</v>
      </c>
    </row>
    <row r="2981" spans="1:16" hidden="1">
      <c r="A2981" t="s">
        <v>1707</v>
      </c>
      <c r="B2981" t="s">
        <v>39</v>
      </c>
      <c r="C2981" t="s">
        <v>40</v>
      </c>
      <c r="D2981" t="s">
        <v>112</v>
      </c>
      <c r="E2981" t="s">
        <v>1272</v>
      </c>
      <c r="F2981">
        <v>3</v>
      </c>
      <c r="G2981" s="10">
        <v>41261</v>
      </c>
      <c r="H2981">
        <v>51</v>
      </c>
      <c r="I2981">
        <v>2016</v>
      </c>
      <c r="J2981" t="s">
        <v>74</v>
      </c>
      <c r="K2981" t="s">
        <v>74</v>
      </c>
      <c r="L2981" t="s">
        <v>73</v>
      </c>
      <c r="M2981" t="s">
        <v>92</v>
      </c>
      <c r="N2981" t="s">
        <v>92</v>
      </c>
      <c r="O2981" t="s">
        <v>92</v>
      </c>
      <c r="P2981" t="s">
        <v>92</v>
      </c>
    </row>
    <row r="2982" spans="1:16" hidden="1">
      <c r="A2982" t="s">
        <v>1708</v>
      </c>
      <c r="B2982" t="s">
        <v>41</v>
      </c>
      <c r="C2982" t="s">
        <v>42</v>
      </c>
      <c r="D2982" t="s">
        <v>113</v>
      </c>
      <c r="E2982" t="s">
        <v>1271</v>
      </c>
      <c r="F2982">
        <v>1</v>
      </c>
      <c r="G2982" s="10">
        <v>41261</v>
      </c>
      <c r="H2982">
        <v>51</v>
      </c>
      <c r="I2982">
        <v>2016</v>
      </c>
      <c r="J2982" t="s">
        <v>73</v>
      </c>
      <c r="K2982" t="s">
        <v>74</v>
      </c>
      <c r="L2982" t="s">
        <v>75</v>
      </c>
      <c r="M2982" t="s">
        <v>75</v>
      </c>
      <c r="N2982" t="s">
        <v>76</v>
      </c>
      <c r="O2982" t="s">
        <v>77</v>
      </c>
      <c r="P2982" t="s">
        <v>73</v>
      </c>
    </row>
    <row r="2983" spans="1:16" hidden="1">
      <c r="A2983" t="s">
        <v>1709</v>
      </c>
      <c r="B2983" t="s">
        <v>43</v>
      </c>
      <c r="C2983" t="s">
        <v>44</v>
      </c>
      <c r="D2983" t="s">
        <v>114</v>
      </c>
      <c r="E2983" t="s">
        <v>1271</v>
      </c>
      <c r="F2983">
        <v>4</v>
      </c>
      <c r="G2983" s="10">
        <v>41261</v>
      </c>
      <c r="H2983">
        <v>51</v>
      </c>
      <c r="I2983">
        <v>2016</v>
      </c>
      <c r="J2983" t="s">
        <v>74</v>
      </c>
      <c r="K2983" t="s">
        <v>75</v>
      </c>
      <c r="L2983" t="s">
        <v>74</v>
      </c>
      <c r="M2983" t="s">
        <v>73</v>
      </c>
      <c r="N2983" t="s">
        <v>134</v>
      </c>
      <c r="O2983" t="s">
        <v>74</v>
      </c>
      <c r="P2983" t="s">
        <v>75</v>
      </c>
    </row>
    <row r="2984" spans="1:16" hidden="1">
      <c r="A2984" t="s">
        <v>1710</v>
      </c>
      <c r="B2984" t="s">
        <v>45</v>
      </c>
      <c r="C2984" t="s">
        <v>46</v>
      </c>
      <c r="D2984" t="s">
        <v>115</v>
      </c>
      <c r="E2984" t="s">
        <v>1271</v>
      </c>
      <c r="F2984">
        <v>11</v>
      </c>
      <c r="G2984" s="10">
        <v>41261</v>
      </c>
      <c r="H2984">
        <v>51</v>
      </c>
      <c r="I2984">
        <v>2016</v>
      </c>
      <c r="J2984" t="s">
        <v>75</v>
      </c>
      <c r="K2984" t="s">
        <v>75</v>
      </c>
      <c r="L2984" t="s">
        <v>73</v>
      </c>
      <c r="M2984" t="s">
        <v>75</v>
      </c>
      <c r="N2984" t="s">
        <v>75</v>
      </c>
      <c r="O2984" t="s">
        <v>76</v>
      </c>
      <c r="P2984" t="s">
        <v>77</v>
      </c>
    </row>
    <row r="2985" spans="1:16" hidden="1">
      <c r="A2985" t="s">
        <v>1711</v>
      </c>
      <c r="B2985" t="s">
        <v>47</v>
      </c>
      <c r="C2985" t="s">
        <v>48</v>
      </c>
      <c r="D2985" t="s">
        <v>116</v>
      </c>
      <c r="E2985" t="s">
        <v>1271</v>
      </c>
      <c r="F2985">
        <v>11</v>
      </c>
      <c r="G2985" s="10">
        <v>41261</v>
      </c>
      <c r="H2985">
        <v>51</v>
      </c>
      <c r="I2985">
        <v>2016</v>
      </c>
      <c r="J2985" t="s">
        <v>75</v>
      </c>
      <c r="K2985" t="s">
        <v>75</v>
      </c>
      <c r="L2985" t="s">
        <v>73</v>
      </c>
      <c r="M2985" t="s">
        <v>75</v>
      </c>
      <c r="N2985" t="s">
        <v>75</v>
      </c>
      <c r="O2985" t="s">
        <v>76</v>
      </c>
      <c r="P2985" t="s">
        <v>77</v>
      </c>
    </row>
    <row r="2986" spans="1:16" hidden="1">
      <c r="A2986" t="s">
        <v>1712</v>
      </c>
      <c r="B2986" t="s">
        <v>49</v>
      </c>
      <c r="C2986" t="s">
        <v>50</v>
      </c>
      <c r="D2986" t="s">
        <v>117</v>
      </c>
      <c r="E2986" t="s">
        <v>1271</v>
      </c>
      <c r="F2986">
        <v>10</v>
      </c>
      <c r="G2986" s="10">
        <v>41261</v>
      </c>
      <c r="H2986">
        <v>51</v>
      </c>
      <c r="I2986">
        <v>2016</v>
      </c>
      <c r="J2986" t="s">
        <v>75</v>
      </c>
      <c r="K2986" t="s">
        <v>76</v>
      </c>
      <c r="L2986" t="s">
        <v>77</v>
      </c>
      <c r="M2986" t="s">
        <v>73</v>
      </c>
      <c r="N2986" t="s">
        <v>74</v>
      </c>
      <c r="O2986" t="s">
        <v>75</v>
      </c>
      <c r="P2986" t="s">
        <v>75</v>
      </c>
    </row>
    <row r="2987" spans="1:16" hidden="1">
      <c r="A2987" t="s">
        <v>1713</v>
      </c>
      <c r="B2987" t="s">
        <v>51</v>
      </c>
      <c r="C2987" t="s">
        <v>52</v>
      </c>
      <c r="D2987" t="s">
        <v>118</v>
      </c>
      <c r="E2987" t="s">
        <v>1271</v>
      </c>
      <c r="F2987">
        <v>6</v>
      </c>
      <c r="G2987" s="10">
        <v>41261</v>
      </c>
      <c r="H2987">
        <v>51</v>
      </c>
      <c r="I2987">
        <v>2016</v>
      </c>
      <c r="J2987" t="s">
        <v>77</v>
      </c>
      <c r="K2987" t="s">
        <v>73</v>
      </c>
      <c r="L2987" t="s">
        <v>74</v>
      </c>
      <c r="M2987" t="s">
        <v>74</v>
      </c>
      <c r="N2987" t="s">
        <v>75</v>
      </c>
      <c r="O2987" t="s">
        <v>75</v>
      </c>
      <c r="P2987" t="s">
        <v>74</v>
      </c>
    </row>
    <row r="2988" spans="1:16" hidden="1">
      <c r="A2988" t="s">
        <v>1714</v>
      </c>
      <c r="B2988" t="s">
        <v>53</v>
      </c>
      <c r="C2988" t="s">
        <v>54</v>
      </c>
      <c r="D2988" t="s">
        <v>119</v>
      </c>
      <c r="E2988" t="s">
        <v>1272</v>
      </c>
      <c r="F2988">
        <v>2</v>
      </c>
      <c r="G2988" s="10">
        <v>41261</v>
      </c>
      <c r="H2988">
        <v>51</v>
      </c>
      <c r="I2988">
        <v>2016</v>
      </c>
      <c r="J2988" t="s">
        <v>74</v>
      </c>
      <c r="K2988" t="s">
        <v>75</v>
      </c>
      <c r="L2988" t="s">
        <v>74</v>
      </c>
      <c r="M2988" t="s">
        <v>73</v>
      </c>
      <c r="N2988" t="s">
        <v>74</v>
      </c>
      <c r="O2988" t="s">
        <v>75</v>
      </c>
      <c r="P2988" t="s">
        <v>74</v>
      </c>
    </row>
    <row r="2989" spans="1:16" hidden="1">
      <c r="A2989" t="s">
        <v>1715</v>
      </c>
      <c r="B2989" t="s">
        <v>1289</v>
      </c>
      <c r="C2989" t="s">
        <v>132</v>
      </c>
      <c r="D2989" t="s">
        <v>1292</v>
      </c>
      <c r="E2989" t="s">
        <v>1272</v>
      </c>
      <c r="F2989">
        <v>4</v>
      </c>
      <c r="G2989" s="10">
        <v>41261</v>
      </c>
      <c r="H2989">
        <v>51</v>
      </c>
      <c r="I2989">
        <v>2016</v>
      </c>
      <c r="J2989" t="s">
        <v>75</v>
      </c>
      <c r="K2989" t="s">
        <v>73</v>
      </c>
      <c r="L2989" t="s">
        <v>74</v>
      </c>
      <c r="M2989" t="s">
        <v>75</v>
      </c>
      <c r="N2989" t="s">
        <v>74</v>
      </c>
      <c r="O2989" t="s">
        <v>75</v>
      </c>
      <c r="P2989" t="s">
        <v>75</v>
      </c>
    </row>
    <row r="2990" spans="1:16" hidden="1">
      <c r="A2990" t="s">
        <v>1716</v>
      </c>
      <c r="B2990" t="s">
        <v>1290</v>
      </c>
      <c r="C2990" t="s">
        <v>132</v>
      </c>
      <c r="D2990" t="s">
        <v>1294</v>
      </c>
      <c r="E2990" t="s">
        <v>1272</v>
      </c>
      <c r="F2990">
        <v>1</v>
      </c>
      <c r="G2990" s="10">
        <v>41261</v>
      </c>
      <c r="H2990">
        <v>51</v>
      </c>
      <c r="I2990">
        <v>2016</v>
      </c>
      <c r="J2990" t="s">
        <v>75</v>
      </c>
      <c r="K2990" t="s">
        <v>74</v>
      </c>
      <c r="L2990" t="s">
        <v>75</v>
      </c>
      <c r="M2990" t="s">
        <v>75</v>
      </c>
      <c r="N2990" t="s">
        <v>73</v>
      </c>
      <c r="O2990" t="s">
        <v>74</v>
      </c>
      <c r="P2990" t="s">
        <v>74</v>
      </c>
    </row>
    <row r="2991" spans="1:16" hidden="1">
      <c r="A2991" t="s">
        <v>1717</v>
      </c>
      <c r="B2991" t="s">
        <v>1291</v>
      </c>
      <c r="C2991" t="s">
        <v>132</v>
      </c>
      <c r="D2991" t="s">
        <v>1295</v>
      </c>
      <c r="E2991" t="s">
        <v>1272</v>
      </c>
      <c r="F2991">
        <v>5</v>
      </c>
      <c r="G2991" s="10">
        <v>41261</v>
      </c>
      <c r="H2991">
        <v>51</v>
      </c>
      <c r="I2991">
        <v>2016</v>
      </c>
      <c r="J2991" t="s">
        <v>73</v>
      </c>
      <c r="K2991" t="s">
        <v>75</v>
      </c>
      <c r="L2991" t="s">
        <v>75</v>
      </c>
      <c r="M2991" t="s">
        <v>74</v>
      </c>
      <c r="N2991" t="s">
        <v>75</v>
      </c>
      <c r="O2991" t="s">
        <v>75</v>
      </c>
      <c r="P2991" t="s">
        <v>73</v>
      </c>
    </row>
    <row r="2992" spans="1:16" hidden="1">
      <c r="A2992" t="s">
        <v>1718</v>
      </c>
      <c r="B2992" t="s">
        <v>1296</v>
      </c>
      <c r="C2992" t="s">
        <v>1297</v>
      </c>
      <c r="D2992" t="s">
        <v>1293</v>
      </c>
      <c r="E2992" t="s">
        <v>1272</v>
      </c>
      <c r="F2992">
        <v>6</v>
      </c>
      <c r="G2992" s="10">
        <v>41261</v>
      </c>
      <c r="H2992">
        <v>51</v>
      </c>
      <c r="I2992">
        <v>2016</v>
      </c>
      <c r="J2992" t="s">
        <v>75</v>
      </c>
      <c r="K2992" t="s">
        <v>74</v>
      </c>
      <c r="L2992" t="s">
        <v>75</v>
      </c>
      <c r="M2992" t="s">
        <v>74</v>
      </c>
      <c r="N2992" t="s">
        <v>75</v>
      </c>
      <c r="O2992" t="s">
        <v>73</v>
      </c>
      <c r="P2992" t="s">
        <v>75</v>
      </c>
    </row>
    <row r="2993" spans="1:16" hidden="1">
      <c r="A2993" t="s">
        <v>1719</v>
      </c>
      <c r="B2993" t="s">
        <v>3</v>
      </c>
      <c r="C2993" t="s">
        <v>4</v>
      </c>
      <c r="D2993" t="s">
        <v>90</v>
      </c>
      <c r="E2993" t="s">
        <v>1271</v>
      </c>
      <c r="F2993">
        <v>2</v>
      </c>
      <c r="G2993" s="10">
        <v>41268</v>
      </c>
      <c r="H2993">
        <v>52</v>
      </c>
      <c r="I2993">
        <v>2016</v>
      </c>
      <c r="J2993" t="s">
        <v>75</v>
      </c>
      <c r="K2993" t="s">
        <v>75</v>
      </c>
      <c r="L2993" t="s">
        <v>74</v>
      </c>
      <c r="M2993" t="s">
        <v>75</v>
      </c>
      <c r="N2993" t="s">
        <v>74</v>
      </c>
      <c r="O2993" t="s">
        <v>73</v>
      </c>
      <c r="P2993" t="s">
        <v>75</v>
      </c>
    </row>
    <row r="2994" spans="1:16" hidden="1">
      <c r="A2994" t="s">
        <v>1720</v>
      </c>
      <c r="B2994" t="s">
        <v>5</v>
      </c>
      <c r="C2994" t="s">
        <v>6</v>
      </c>
      <c r="D2994" t="s">
        <v>93</v>
      </c>
      <c r="E2994" t="s">
        <v>1271</v>
      </c>
      <c r="F2994">
        <v>3</v>
      </c>
      <c r="G2994" s="10">
        <v>41268</v>
      </c>
      <c r="H2994">
        <v>52</v>
      </c>
      <c r="I2994">
        <v>2016</v>
      </c>
      <c r="J2994" t="s">
        <v>74</v>
      </c>
      <c r="K2994" t="s">
        <v>75</v>
      </c>
      <c r="L2994" t="s">
        <v>76</v>
      </c>
      <c r="M2994" t="s">
        <v>77</v>
      </c>
      <c r="N2994" t="s">
        <v>73</v>
      </c>
      <c r="O2994" t="s">
        <v>74</v>
      </c>
      <c r="P2994" t="s">
        <v>75</v>
      </c>
    </row>
    <row r="2995" spans="1:16" hidden="1">
      <c r="A2995" t="s">
        <v>1721</v>
      </c>
      <c r="B2995" t="s">
        <v>7</v>
      </c>
      <c r="C2995" t="s">
        <v>8</v>
      </c>
      <c r="D2995" t="s">
        <v>94</v>
      </c>
      <c r="E2995" t="s">
        <v>1271</v>
      </c>
      <c r="F2995">
        <v>8</v>
      </c>
      <c r="G2995" s="10">
        <v>41268</v>
      </c>
      <c r="H2995">
        <v>52</v>
      </c>
      <c r="I2995">
        <v>2016</v>
      </c>
      <c r="J2995" t="s">
        <v>75</v>
      </c>
      <c r="K2995" t="s">
        <v>75</v>
      </c>
      <c r="L2995" t="s">
        <v>75</v>
      </c>
      <c r="M2995" t="s">
        <v>76</v>
      </c>
      <c r="N2995" t="s">
        <v>77</v>
      </c>
      <c r="O2995" t="s">
        <v>73</v>
      </c>
      <c r="P2995" t="s">
        <v>74</v>
      </c>
    </row>
    <row r="2996" spans="1:16" hidden="1">
      <c r="A2996" t="s">
        <v>1722</v>
      </c>
      <c r="B2996" t="s">
        <v>9</v>
      </c>
      <c r="C2996" t="s">
        <v>10</v>
      </c>
      <c r="D2996" t="s">
        <v>96</v>
      </c>
      <c r="E2996" t="s">
        <v>1271</v>
      </c>
      <c r="F2996">
        <v>9</v>
      </c>
      <c r="G2996" s="10">
        <v>41268</v>
      </c>
      <c r="H2996">
        <v>52</v>
      </c>
      <c r="I2996">
        <v>2016</v>
      </c>
      <c r="J2996" t="s">
        <v>75</v>
      </c>
      <c r="K2996" t="s">
        <v>74</v>
      </c>
      <c r="L2996" t="s">
        <v>74</v>
      </c>
      <c r="M2996" t="s">
        <v>75</v>
      </c>
      <c r="N2996" t="s">
        <v>73</v>
      </c>
      <c r="O2996" t="s">
        <v>74</v>
      </c>
      <c r="P2996" t="s">
        <v>75</v>
      </c>
    </row>
    <row r="2997" spans="1:16" hidden="1">
      <c r="A2997" t="s">
        <v>1723</v>
      </c>
      <c r="B2997" t="s">
        <v>11</v>
      </c>
      <c r="C2997" t="s">
        <v>12</v>
      </c>
      <c r="D2997" t="s">
        <v>97</v>
      </c>
      <c r="E2997" t="s">
        <v>1271</v>
      </c>
      <c r="F2997">
        <v>10</v>
      </c>
      <c r="G2997" s="10">
        <v>41268</v>
      </c>
      <c r="H2997">
        <v>52</v>
      </c>
      <c r="I2997">
        <v>2016</v>
      </c>
      <c r="J2997" t="s">
        <v>75</v>
      </c>
      <c r="K2997" t="s">
        <v>76</v>
      </c>
      <c r="L2997" t="s">
        <v>77</v>
      </c>
      <c r="M2997" t="s">
        <v>73</v>
      </c>
      <c r="N2997" t="s">
        <v>74</v>
      </c>
      <c r="O2997" t="s">
        <v>75</v>
      </c>
      <c r="P2997" t="s">
        <v>75</v>
      </c>
    </row>
    <row r="2998" spans="1:16" hidden="1">
      <c r="A2998" t="s">
        <v>1724</v>
      </c>
      <c r="B2998" t="s">
        <v>13</v>
      </c>
      <c r="C2998" t="s">
        <v>14</v>
      </c>
      <c r="D2998" t="s">
        <v>120</v>
      </c>
      <c r="E2998" t="s">
        <v>1320</v>
      </c>
      <c r="F2998">
        <v>1</v>
      </c>
      <c r="G2998" s="10">
        <v>41268</v>
      </c>
      <c r="H2998">
        <v>52</v>
      </c>
      <c r="I2998">
        <v>2016</v>
      </c>
      <c r="J2998" t="s">
        <v>126</v>
      </c>
      <c r="K2998" t="s">
        <v>126</v>
      </c>
      <c r="L2998" t="s">
        <v>126</v>
      </c>
      <c r="M2998" t="s">
        <v>126</v>
      </c>
      <c r="N2998" t="s">
        <v>126</v>
      </c>
      <c r="O2998" t="s">
        <v>126</v>
      </c>
      <c r="P2998" t="s">
        <v>126</v>
      </c>
    </row>
    <row r="2999" spans="1:16" hidden="1">
      <c r="A2999" t="s">
        <v>1725</v>
      </c>
      <c r="B2999" t="s">
        <v>13</v>
      </c>
      <c r="C2999" t="s">
        <v>15</v>
      </c>
      <c r="D2999" t="s">
        <v>98</v>
      </c>
      <c r="E2999" t="s">
        <v>1272</v>
      </c>
      <c r="F2999">
        <v>5</v>
      </c>
      <c r="G2999" s="10">
        <v>41268</v>
      </c>
      <c r="H2999">
        <v>52</v>
      </c>
      <c r="I2999">
        <v>2016</v>
      </c>
      <c r="J2999" t="s">
        <v>73</v>
      </c>
      <c r="K2999" t="s">
        <v>75</v>
      </c>
      <c r="L2999" t="s">
        <v>75</v>
      </c>
      <c r="M2999" t="s">
        <v>74</v>
      </c>
      <c r="N2999" t="s">
        <v>75</v>
      </c>
      <c r="O2999" t="s">
        <v>75</v>
      </c>
      <c r="P2999" t="s">
        <v>73</v>
      </c>
    </row>
    <row r="3000" spans="1:16" hidden="1">
      <c r="A3000" t="s">
        <v>1726</v>
      </c>
      <c r="B3000" t="s">
        <v>16</v>
      </c>
      <c r="C3000" t="s">
        <v>17</v>
      </c>
      <c r="D3000" t="s">
        <v>99</v>
      </c>
      <c r="E3000" t="s">
        <v>1271</v>
      </c>
      <c r="F3000">
        <v>4</v>
      </c>
      <c r="G3000" s="10">
        <v>41268</v>
      </c>
      <c r="H3000">
        <v>52</v>
      </c>
      <c r="I3000">
        <v>2016</v>
      </c>
      <c r="J3000" t="s">
        <v>74</v>
      </c>
      <c r="K3000" t="s">
        <v>75</v>
      </c>
      <c r="L3000" t="s">
        <v>74</v>
      </c>
      <c r="M3000" t="s">
        <v>73</v>
      </c>
      <c r="N3000" t="s">
        <v>74</v>
      </c>
      <c r="O3000" t="s">
        <v>74</v>
      </c>
      <c r="P3000" t="s">
        <v>75</v>
      </c>
    </row>
    <row r="3001" spans="1:16" hidden="1">
      <c r="A3001" t="s">
        <v>1727</v>
      </c>
      <c r="B3001" t="s">
        <v>18</v>
      </c>
      <c r="C3001" t="s">
        <v>19</v>
      </c>
      <c r="D3001" t="s">
        <v>100</v>
      </c>
      <c r="E3001" t="s">
        <v>1271</v>
      </c>
      <c r="F3001">
        <v>6</v>
      </c>
      <c r="G3001" s="10">
        <v>41268</v>
      </c>
      <c r="H3001">
        <v>52</v>
      </c>
      <c r="I3001">
        <v>2016</v>
      </c>
      <c r="J3001" t="s">
        <v>77</v>
      </c>
      <c r="K3001" t="s">
        <v>73</v>
      </c>
      <c r="L3001" t="s">
        <v>74</v>
      </c>
      <c r="M3001" t="s">
        <v>74</v>
      </c>
      <c r="N3001" t="s">
        <v>75</v>
      </c>
      <c r="O3001" t="s">
        <v>75</v>
      </c>
      <c r="P3001" t="s">
        <v>74</v>
      </c>
    </row>
    <row r="3002" spans="1:16" hidden="1">
      <c r="A3002" t="s">
        <v>1728</v>
      </c>
      <c r="B3002" t="s">
        <v>20</v>
      </c>
      <c r="C3002" t="s">
        <v>21</v>
      </c>
      <c r="D3002" t="s">
        <v>101</v>
      </c>
      <c r="E3002" t="s">
        <v>1271</v>
      </c>
      <c r="F3002">
        <v>5</v>
      </c>
      <c r="G3002" s="10">
        <v>41268</v>
      </c>
      <c r="H3002">
        <v>52</v>
      </c>
      <c r="I3002">
        <v>2016</v>
      </c>
      <c r="J3002" t="s">
        <v>76</v>
      </c>
      <c r="K3002" t="s">
        <v>77</v>
      </c>
      <c r="L3002" t="s">
        <v>73</v>
      </c>
      <c r="M3002" t="s">
        <v>74</v>
      </c>
      <c r="N3002" t="s">
        <v>75</v>
      </c>
      <c r="O3002" t="s">
        <v>75</v>
      </c>
      <c r="P3002" t="s">
        <v>76</v>
      </c>
    </row>
    <row r="3003" spans="1:16" hidden="1">
      <c r="A3003" t="s">
        <v>1729</v>
      </c>
      <c r="B3003" t="s">
        <v>22</v>
      </c>
      <c r="C3003" t="s">
        <v>17</v>
      </c>
      <c r="D3003" t="s">
        <v>102</v>
      </c>
      <c r="E3003" t="s">
        <v>1272</v>
      </c>
      <c r="F3003">
        <v>2</v>
      </c>
      <c r="G3003" s="10">
        <v>41268</v>
      </c>
      <c r="H3003">
        <v>52</v>
      </c>
      <c r="I3003">
        <v>2016</v>
      </c>
      <c r="J3003" t="s">
        <v>74</v>
      </c>
      <c r="K3003" t="s">
        <v>75</v>
      </c>
      <c r="L3003" t="s">
        <v>74</v>
      </c>
      <c r="M3003" t="s">
        <v>73</v>
      </c>
      <c r="N3003" t="s">
        <v>134</v>
      </c>
      <c r="O3003" t="s">
        <v>75</v>
      </c>
      <c r="P3003" t="s">
        <v>74</v>
      </c>
    </row>
    <row r="3004" spans="1:16" hidden="1">
      <c r="A3004" t="s">
        <v>1730</v>
      </c>
      <c r="B3004" t="s">
        <v>23</v>
      </c>
      <c r="C3004" t="s">
        <v>24</v>
      </c>
      <c r="D3004" t="s">
        <v>103</v>
      </c>
      <c r="E3004" t="s">
        <v>1272</v>
      </c>
      <c r="F3004">
        <v>3</v>
      </c>
      <c r="G3004" s="10">
        <v>41268</v>
      </c>
      <c r="H3004">
        <v>52</v>
      </c>
      <c r="I3004">
        <v>2016</v>
      </c>
      <c r="J3004" t="s">
        <v>74</v>
      </c>
      <c r="K3004" t="s">
        <v>74</v>
      </c>
      <c r="L3004" t="s">
        <v>73</v>
      </c>
      <c r="M3004" t="s">
        <v>134</v>
      </c>
      <c r="N3004" t="s">
        <v>75</v>
      </c>
      <c r="O3004" t="s">
        <v>74</v>
      </c>
      <c r="P3004" t="s">
        <v>75</v>
      </c>
    </row>
    <row r="3005" spans="1:16" hidden="1">
      <c r="A3005" t="s">
        <v>1731</v>
      </c>
      <c r="B3005" t="s">
        <v>23</v>
      </c>
      <c r="C3005" t="s">
        <v>55</v>
      </c>
      <c r="D3005" t="s">
        <v>127</v>
      </c>
      <c r="E3005" t="s">
        <v>1271</v>
      </c>
      <c r="F3005">
        <v>4</v>
      </c>
      <c r="G3005" s="10">
        <v>41268</v>
      </c>
      <c r="H3005">
        <v>52</v>
      </c>
      <c r="I3005">
        <v>2016</v>
      </c>
      <c r="J3005" t="s">
        <v>74</v>
      </c>
      <c r="K3005" t="s">
        <v>75</v>
      </c>
      <c r="L3005" t="s">
        <v>74</v>
      </c>
      <c r="M3005" t="s">
        <v>73</v>
      </c>
      <c r="N3005" t="s">
        <v>74</v>
      </c>
      <c r="O3005" t="s">
        <v>74</v>
      </c>
      <c r="P3005" t="s">
        <v>75</v>
      </c>
    </row>
    <row r="3006" spans="1:16" hidden="1">
      <c r="A3006" t="s">
        <v>1732</v>
      </c>
      <c r="B3006" t="s">
        <v>25</v>
      </c>
      <c r="C3006" t="s">
        <v>132</v>
      </c>
      <c r="D3006" t="s">
        <v>104</v>
      </c>
      <c r="E3006" t="s">
        <v>1271</v>
      </c>
      <c r="F3006">
        <v>7</v>
      </c>
      <c r="G3006" s="10">
        <v>41268</v>
      </c>
      <c r="H3006">
        <v>52</v>
      </c>
      <c r="I3006">
        <v>2016</v>
      </c>
      <c r="J3006" t="s">
        <v>73</v>
      </c>
      <c r="K3006" t="s">
        <v>74</v>
      </c>
      <c r="L3006" t="s">
        <v>75</v>
      </c>
      <c r="M3006" t="s">
        <v>74</v>
      </c>
      <c r="N3006" t="s">
        <v>74</v>
      </c>
      <c r="O3006" t="s">
        <v>75</v>
      </c>
      <c r="P3006" t="s">
        <v>73</v>
      </c>
    </row>
    <row r="3007" spans="1:16" hidden="1">
      <c r="A3007" t="s">
        <v>1733</v>
      </c>
      <c r="B3007" t="s">
        <v>56</v>
      </c>
      <c r="C3007" t="s">
        <v>57</v>
      </c>
      <c r="D3007" t="s">
        <v>129</v>
      </c>
      <c r="E3007" t="s">
        <v>1271</v>
      </c>
      <c r="F3007">
        <v>10</v>
      </c>
      <c r="G3007" s="10">
        <v>41268</v>
      </c>
      <c r="H3007">
        <v>52</v>
      </c>
      <c r="I3007">
        <v>2016</v>
      </c>
      <c r="J3007" t="s">
        <v>75</v>
      </c>
      <c r="K3007" t="s">
        <v>76</v>
      </c>
      <c r="L3007" t="s">
        <v>77</v>
      </c>
      <c r="M3007" t="s">
        <v>73</v>
      </c>
      <c r="N3007" t="s">
        <v>74</v>
      </c>
      <c r="O3007" t="s">
        <v>75</v>
      </c>
      <c r="P3007" t="s">
        <v>75</v>
      </c>
    </row>
    <row r="3008" spans="1:16" hidden="1">
      <c r="A3008" t="s">
        <v>1734</v>
      </c>
      <c r="B3008" t="s">
        <v>26</v>
      </c>
      <c r="C3008" t="s">
        <v>27</v>
      </c>
      <c r="D3008" t="s">
        <v>105</v>
      </c>
      <c r="E3008" t="s">
        <v>1271</v>
      </c>
      <c r="F3008">
        <v>11</v>
      </c>
      <c r="G3008" s="10">
        <v>41268</v>
      </c>
      <c r="H3008">
        <v>52</v>
      </c>
      <c r="I3008">
        <v>2016</v>
      </c>
      <c r="J3008" t="s">
        <v>75</v>
      </c>
      <c r="K3008" t="s">
        <v>74</v>
      </c>
      <c r="L3008" t="s">
        <v>73</v>
      </c>
      <c r="M3008" t="s">
        <v>75</v>
      </c>
      <c r="N3008" t="s">
        <v>92</v>
      </c>
      <c r="O3008" t="s">
        <v>76</v>
      </c>
      <c r="P3008" t="s">
        <v>77</v>
      </c>
    </row>
    <row r="3009" spans="1:16" hidden="1">
      <c r="A3009" t="s">
        <v>1735</v>
      </c>
      <c r="B3009" t="s">
        <v>28</v>
      </c>
      <c r="C3009" t="s">
        <v>29</v>
      </c>
      <c r="D3009" t="s">
        <v>106</v>
      </c>
      <c r="E3009" t="s">
        <v>1271</v>
      </c>
      <c r="F3009">
        <v>6</v>
      </c>
      <c r="G3009" s="10">
        <v>41268</v>
      </c>
      <c r="H3009">
        <v>52</v>
      </c>
      <c r="I3009">
        <v>2016</v>
      </c>
      <c r="J3009" t="s">
        <v>77</v>
      </c>
      <c r="K3009" t="s">
        <v>73</v>
      </c>
      <c r="L3009" t="s">
        <v>74</v>
      </c>
      <c r="M3009" t="s">
        <v>75</v>
      </c>
      <c r="N3009" t="s">
        <v>75</v>
      </c>
      <c r="O3009" t="s">
        <v>75</v>
      </c>
      <c r="P3009" t="s">
        <v>74</v>
      </c>
    </row>
    <row r="3010" spans="1:16">
      <c r="A3010" t="s">
        <v>1736</v>
      </c>
      <c r="B3010" t="s">
        <v>30</v>
      </c>
      <c r="C3010" t="s">
        <v>8</v>
      </c>
      <c r="D3010" t="s">
        <v>107</v>
      </c>
      <c r="E3010" t="s">
        <v>1272</v>
      </c>
      <c r="F3010">
        <v>5</v>
      </c>
      <c r="G3010" s="10">
        <v>41268</v>
      </c>
      <c r="H3010">
        <v>52</v>
      </c>
      <c r="I3010">
        <v>2016</v>
      </c>
      <c r="J3010" t="s">
        <v>73</v>
      </c>
      <c r="K3010" t="s">
        <v>75</v>
      </c>
      <c r="L3010" t="s">
        <v>75</v>
      </c>
      <c r="M3010" t="s">
        <v>75</v>
      </c>
      <c r="N3010" t="s">
        <v>75</v>
      </c>
      <c r="O3010" t="s">
        <v>1298</v>
      </c>
      <c r="P3010" t="s">
        <v>73</v>
      </c>
    </row>
    <row r="3011" spans="1:16">
      <c r="A3011" t="s">
        <v>1737</v>
      </c>
      <c r="B3011" t="s">
        <v>30</v>
      </c>
      <c r="C3011" t="s">
        <v>31</v>
      </c>
      <c r="D3011" t="s">
        <v>108</v>
      </c>
      <c r="E3011" t="s">
        <v>1271</v>
      </c>
      <c r="F3011">
        <v>3</v>
      </c>
      <c r="G3011" s="10">
        <v>41268</v>
      </c>
      <c r="H3011">
        <v>52</v>
      </c>
      <c r="I3011">
        <v>2016</v>
      </c>
      <c r="J3011" t="s">
        <v>74</v>
      </c>
      <c r="K3011" t="s">
        <v>75</v>
      </c>
      <c r="L3011" t="s">
        <v>76</v>
      </c>
      <c r="M3011" t="s">
        <v>77</v>
      </c>
      <c r="N3011" t="s">
        <v>73</v>
      </c>
      <c r="O3011" t="s">
        <v>74</v>
      </c>
      <c r="P3011" t="s">
        <v>75</v>
      </c>
    </row>
    <row r="3012" spans="1:16" hidden="1">
      <c r="A3012" t="s">
        <v>1738</v>
      </c>
      <c r="B3012" t="s">
        <v>32</v>
      </c>
      <c r="C3012" t="s">
        <v>33</v>
      </c>
      <c r="D3012" t="s">
        <v>109</v>
      </c>
      <c r="E3012" t="s">
        <v>1272</v>
      </c>
      <c r="F3012">
        <v>1</v>
      </c>
      <c r="G3012" s="10">
        <v>41268</v>
      </c>
      <c r="H3012">
        <v>52</v>
      </c>
      <c r="I3012">
        <v>2016</v>
      </c>
      <c r="J3012" t="s">
        <v>75</v>
      </c>
      <c r="K3012" t="s">
        <v>75</v>
      </c>
      <c r="L3012" t="s">
        <v>75</v>
      </c>
      <c r="M3012" t="s">
        <v>75</v>
      </c>
      <c r="N3012" t="s">
        <v>73</v>
      </c>
      <c r="O3012" t="s">
        <v>134</v>
      </c>
      <c r="P3012" t="s">
        <v>74</v>
      </c>
    </row>
    <row r="3013" spans="1:16" hidden="1">
      <c r="A3013" t="s">
        <v>1739</v>
      </c>
      <c r="B3013" t="s">
        <v>32</v>
      </c>
      <c r="C3013" t="s">
        <v>34</v>
      </c>
      <c r="D3013" t="s">
        <v>122</v>
      </c>
      <c r="E3013" t="s">
        <v>1320</v>
      </c>
      <c r="F3013">
        <v>1</v>
      </c>
      <c r="G3013" s="10">
        <v>41268</v>
      </c>
      <c r="H3013">
        <v>52</v>
      </c>
      <c r="I3013">
        <v>2016</v>
      </c>
      <c r="J3013" t="s">
        <v>126</v>
      </c>
      <c r="K3013" t="s">
        <v>126</v>
      </c>
      <c r="L3013" t="s">
        <v>126</v>
      </c>
      <c r="M3013" t="s">
        <v>126</v>
      </c>
      <c r="N3013" t="s">
        <v>126</v>
      </c>
      <c r="O3013" t="s">
        <v>126</v>
      </c>
      <c r="P3013" t="s">
        <v>126</v>
      </c>
    </row>
    <row r="3014" spans="1:16" hidden="1">
      <c r="A3014" t="s">
        <v>1740</v>
      </c>
      <c r="B3014" t="s">
        <v>35</v>
      </c>
      <c r="C3014" t="s">
        <v>36</v>
      </c>
      <c r="D3014" t="s">
        <v>110</v>
      </c>
      <c r="E3014" t="s">
        <v>1271</v>
      </c>
      <c r="F3014">
        <v>8</v>
      </c>
      <c r="G3014" s="10">
        <v>41268</v>
      </c>
      <c r="H3014">
        <v>52</v>
      </c>
      <c r="I3014">
        <v>2016</v>
      </c>
      <c r="J3014" t="s">
        <v>75</v>
      </c>
      <c r="K3014" t="s">
        <v>75</v>
      </c>
      <c r="L3014" t="s">
        <v>75</v>
      </c>
      <c r="M3014" t="s">
        <v>76</v>
      </c>
      <c r="N3014" t="s">
        <v>77</v>
      </c>
      <c r="O3014" t="s">
        <v>73</v>
      </c>
      <c r="P3014" t="s">
        <v>74</v>
      </c>
    </row>
    <row r="3015" spans="1:16" hidden="1">
      <c r="A3015" t="s">
        <v>1741</v>
      </c>
      <c r="B3015" t="s">
        <v>58</v>
      </c>
      <c r="C3015" t="s">
        <v>59</v>
      </c>
      <c r="D3015" t="s">
        <v>130</v>
      </c>
      <c r="E3015" t="s">
        <v>1272</v>
      </c>
      <c r="F3015">
        <v>5</v>
      </c>
      <c r="G3015" s="10">
        <v>41268</v>
      </c>
      <c r="H3015">
        <v>52</v>
      </c>
      <c r="I3015">
        <v>2016</v>
      </c>
      <c r="J3015" t="s">
        <v>73</v>
      </c>
      <c r="K3015" t="s">
        <v>75</v>
      </c>
      <c r="L3015" t="s">
        <v>75</v>
      </c>
      <c r="M3015" t="s">
        <v>74</v>
      </c>
      <c r="N3015" t="s">
        <v>75</v>
      </c>
      <c r="O3015" t="s">
        <v>75</v>
      </c>
      <c r="P3015" t="s">
        <v>73</v>
      </c>
    </row>
    <row r="3016" spans="1:16" hidden="1">
      <c r="A3016" t="s">
        <v>1742</v>
      </c>
      <c r="B3016" t="s">
        <v>37</v>
      </c>
      <c r="C3016" t="s">
        <v>38</v>
      </c>
      <c r="D3016" t="s">
        <v>111</v>
      </c>
      <c r="E3016" t="s">
        <v>1271</v>
      </c>
      <c r="F3016">
        <v>9</v>
      </c>
      <c r="G3016" s="10">
        <v>41268</v>
      </c>
      <c r="H3016">
        <v>52</v>
      </c>
      <c r="I3016">
        <v>2016</v>
      </c>
      <c r="J3016" t="s">
        <v>75</v>
      </c>
      <c r="K3016" t="s">
        <v>75</v>
      </c>
      <c r="L3016" t="s">
        <v>74</v>
      </c>
      <c r="M3016" t="s">
        <v>75</v>
      </c>
      <c r="N3016" t="s">
        <v>73</v>
      </c>
      <c r="O3016" t="s">
        <v>74</v>
      </c>
      <c r="P3016" t="s">
        <v>74</v>
      </c>
    </row>
    <row r="3017" spans="1:16" hidden="1">
      <c r="A3017" t="s">
        <v>1743</v>
      </c>
      <c r="B3017" t="s">
        <v>39</v>
      </c>
      <c r="C3017" t="s">
        <v>40</v>
      </c>
      <c r="D3017" t="s">
        <v>112</v>
      </c>
      <c r="E3017" t="s">
        <v>1272</v>
      </c>
      <c r="F3017">
        <v>4</v>
      </c>
      <c r="G3017" s="10">
        <v>41268</v>
      </c>
      <c r="H3017">
        <v>52</v>
      </c>
      <c r="I3017">
        <v>2016</v>
      </c>
      <c r="J3017" t="s">
        <v>92</v>
      </c>
      <c r="K3017" t="s">
        <v>73</v>
      </c>
      <c r="L3017" t="s">
        <v>134</v>
      </c>
      <c r="M3017" t="s">
        <v>92</v>
      </c>
      <c r="N3017" t="s">
        <v>74</v>
      </c>
      <c r="O3017" t="s">
        <v>75</v>
      </c>
      <c r="P3017" t="s">
        <v>75</v>
      </c>
    </row>
    <row r="3018" spans="1:16" hidden="1">
      <c r="A3018" t="s">
        <v>1744</v>
      </c>
      <c r="B3018" t="s">
        <v>41</v>
      </c>
      <c r="C3018" t="s">
        <v>42</v>
      </c>
      <c r="D3018" t="s">
        <v>113</v>
      </c>
      <c r="E3018" t="s">
        <v>1271</v>
      </c>
      <c r="F3018">
        <v>2</v>
      </c>
      <c r="G3018" s="10">
        <v>41268</v>
      </c>
      <c r="H3018">
        <v>52</v>
      </c>
      <c r="I3018">
        <v>2016</v>
      </c>
      <c r="J3018" t="s">
        <v>74</v>
      </c>
      <c r="K3018" t="s">
        <v>75</v>
      </c>
      <c r="L3018" t="s">
        <v>75</v>
      </c>
      <c r="M3018" t="s">
        <v>75</v>
      </c>
      <c r="N3018" t="s">
        <v>75</v>
      </c>
      <c r="O3018" t="s">
        <v>73</v>
      </c>
      <c r="P3018" t="s">
        <v>75</v>
      </c>
    </row>
    <row r="3019" spans="1:16" hidden="1">
      <c r="A3019" t="s">
        <v>1745</v>
      </c>
      <c r="B3019" t="s">
        <v>43</v>
      </c>
      <c r="C3019" t="s">
        <v>44</v>
      </c>
      <c r="D3019" t="s">
        <v>114</v>
      </c>
      <c r="E3019" t="s">
        <v>1271</v>
      </c>
      <c r="F3019">
        <v>5</v>
      </c>
      <c r="G3019" s="10">
        <v>41268</v>
      </c>
      <c r="H3019">
        <v>52</v>
      </c>
      <c r="I3019">
        <v>2016</v>
      </c>
      <c r="J3019" t="s">
        <v>76</v>
      </c>
      <c r="K3019" t="s">
        <v>77</v>
      </c>
      <c r="L3019" t="s">
        <v>73</v>
      </c>
      <c r="M3019" t="s">
        <v>74</v>
      </c>
      <c r="N3019" t="s">
        <v>75</v>
      </c>
      <c r="O3019" t="s">
        <v>75</v>
      </c>
      <c r="P3019" t="s">
        <v>76</v>
      </c>
    </row>
    <row r="3020" spans="1:16" hidden="1">
      <c r="A3020" t="s">
        <v>1746</v>
      </c>
      <c r="B3020" t="s">
        <v>45</v>
      </c>
      <c r="C3020" t="s">
        <v>46</v>
      </c>
      <c r="D3020" t="s">
        <v>115</v>
      </c>
      <c r="E3020" t="s">
        <v>1271</v>
      </c>
      <c r="F3020">
        <v>1</v>
      </c>
      <c r="G3020" s="10">
        <v>41268</v>
      </c>
      <c r="H3020">
        <v>52</v>
      </c>
      <c r="I3020">
        <v>2016</v>
      </c>
      <c r="J3020" t="s">
        <v>73</v>
      </c>
      <c r="K3020" t="s">
        <v>74</v>
      </c>
      <c r="L3020" t="s">
        <v>75</v>
      </c>
      <c r="M3020" t="s">
        <v>75</v>
      </c>
      <c r="N3020" t="s">
        <v>76</v>
      </c>
      <c r="O3020" t="s">
        <v>77</v>
      </c>
      <c r="P3020" t="s">
        <v>73</v>
      </c>
    </row>
    <row r="3021" spans="1:16" hidden="1">
      <c r="A3021" t="s">
        <v>1747</v>
      </c>
      <c r="B3021" t="s">
        <v>47</v>
      </c>
      <c r="C3021" t="s">
        <v>48</v>
      </c>
      <c r="D3021" t="s">
        <v>116</v>
      </c>
      <c r="E3021" t="s">
        <v>1271</v>
      </c>
      <c r="F3021">
        <v>1</v>
      </c>
      <c r="G3021" s="10">
        <v>41268</v>
      </c>
      <c r="H3021">
        <v>52</v>
      </c>
      <c r="I3021">
        <v>2016</v>
      </c>
      <c r="J3021" t="s">
        <v>73</v>
      </c>
      <c r="K3021" t="s">
        <v>74</v>
      </c>
      <c r="L3021" t="s">
        <v>75</v>
      </c>
      <c r="M3021" t="s">
        <v>75</v>
      </c>
      <c r="N3021" t="s">
        <v>76</v>
      </c>
      <c r="O3021" t="s">
        <v>77</v>
      </c>
      <c r="P3021" t="s">
        <v>73</v>
      </c>
    </row>
    <row r="3022" spans="1:16" hidden="1">
      <c r="A3022" t="s">
        <v>1748</v>
      </c>
      <c r="B3022" t="s">
        <v>49</v>
      </c>
      <c r="C3022" t="s">
        <v>50</v>
      </c>
      <c r="D3022" t="s">
        <v>117</v>
      </c>
      <c r="E3022" t="s">
        <v>1271</v>
      </c>
      <c r="F3022">
        <v>11</v>
      </c>
      <c r="G3022" s="10">
        <v>41268</v>
      </c>
      <c r="H3022">
        <v>52</v>
      </c>
      <c r="I3022">
        <v>2016</v>
      </c>
      <c r="J3022" t="s">
        <v>75</v>
      </c>
      <c r="K3022" t="s">
        <v>75</v>
      </c>
      <c r="L3022" t="s">
        <v>73</v>
      </c>
      <c r="M3022" t="s">
        <v>75</v>
      </c>
      <c r="N3022" t="s">
        <v>75</v>
      </c>
      <c r="O3022" t="s">
        <v>76</v>
      </c>
      <c r="P3022" t="s">
        <v>77</v>
      </c>
    </row>
    <row r="3023" spans="1:16" hidden="1">
      <c r="A3023" t="s">
        <v>1749</v>
      </c>
      <c r="B3023" t="s">
        <v>51</v>
      </c>
      <c r="C3023" t="s">
        <v>52</v>
      </c>
      <c r="D3023" t="s">
        <v>118</v>
      </c>
      <c r="E3023" t="s">
        <v>1271</v>
      </c>
      <c r="F3023">
        <v>7</v>
      </c>
      <c r="G3023" s="10">
        <v>41268</v>
      </c>
      <c r="H3023">
        <v>52</v>
      </c>
      <c r="I3023">
        <v>2016</v>
      </c>
      <c r="J3023" t="s">
        <v>73</v>
      </c>
      <c r="K3023" t="s">
        <v>74</v>
      </c>
      <c r="L3023" t="s">
        <v>75</v>
      </c>
      <c r="M3023" t="s">
        <v>74</v>
      </c>
      <c r="N3023" t="s">
        <v>74</v>
      </c>
      <c r="O3023" t="s">
        <v>75</v>
      </c>
      <c r="P3023" t="s">
        <v>73</v>
      </c>
    </row>
    <row r="3024" spans="1:16" hidden="1">
      <c r="A3024" t="s">
        <v>1750</v>
      </c>
      <c r="B3024" t="s">
        <v>53</v>
      </c>
      <c r="C3024" t="s">
        <v>54</v>
      </c>
      <c r="D3024" t="s">
        <v>119</v>
      </c>
      <c r="E3024" t="s">
        <v>1272</v>
      </c>
      <c r="F3024">
        <v>3</v>
      </c>
      <c r="G3024" s="10">
        <v>41268</v>
      </c>
      <c r="H3024">
        <v>52</v>
      </c>
      <c r="I3024">
        <v>2016</v>
      </c>
      <c r="J3024" t="s">
        <v>74</v>
      </c>
      <c r="K3024" t="s">
        <v>134</v>
      </c>
      <c r="L3024" t="s">
        <v>73</v>
      </c>
      <c r="M3024" t="s">
        <v>75</v>
      </c>
      <c r="N3024" t="s">
        <v>75</v>
      </c>
      <c r="O3024" t="s">
        <v>74</v>
      </c>
      <c r="P3024" t="s">
        <v>75</v>
      </c>
    </row>
    <row r="3025" spans="1:16" hidden="1">
      <c r="A3025" t="s">
        <v>1751</v>
      </c>
      <c r="B3025" t="s">
        <v>1289</v>
      </c>
      <c r="C3025" t="s">
        <v>132</v>
      </c>
      <c r="D3025" t="s">
        <v>1292</v>
      </c>
      <c r="E3025" t="s">
        <v>1272</v>
      </c>
      <c r="F3025">
        <v>5</v>
      </c>
      <c r="G3025" s="10">
        <v>41268</v>
      </c>
      <c r="H3025">
        <v>52</v>
      </c>
      <c r="I3025">
        <v>2016</v>
      </c>
      <c r="J3025" t="s">
        <v>73</v>
      </c>
      <c r="K3025" t="s">
        <v>134</v>
      </c>
      <c r="L3025" t="s">
        <v>75</v>
      </c>
      <c r="M3025" t="s">
        <v>74</v>
      </c>
      <c r="N3025" t="s">
        <v>75</v>
      </c>
      <c r="O3025" t="s">
        <v>75</v>
      </c>
      <c r="P3025" t="s">
        <v>73</v>
      </c>
    </row>
    <row r="3026" spans="1:16" hidden="1">
      <c r="A3026" t="s">
        <v>1752</v>
      </c>
      <c r="B3026" t="s">
        <v>1290</v>
      </c>
      <c r="C3026" t="s">
        <v>132</v>
      </c>
      <c r="D3026" t="s">
        <v>1294</v>
      </c>
      <c r="E3026" t="s">
        <v>1272</v>
      </c>
      <c r="F3026">
        <v>2</v>
      </c>
      <c r="G3026" s="10">
        <v>41268</v>
      </c>
      <c r="H3026">
        <v>52</v>
      </c>
      <c r="I3026">
        <v>2016</v>
      </c>
      <c r="J3026" t="s">
        <v>74</v>
      </c>
      <c r="K3026" t="s">
        <v>134</v>
      </c>
      <c r="L3026" t="s">
        <v>74</v>
      </c>
      <c r="M3026" t="s">
        <v>73</v>
      </c>
      <c r="N3026" t="s">
        <v>74</v>
      </c>
      <c r="O3026" t="s">
        <v>75</v>
      </c>
      <c r="P3026" t="s">
        <v>74</v>
      </c>
    </row>
    <row r="3027" spans="1:16" hidden="1">
      <c r="A3027" t="s">
        <v>1753</v>
      </c>
      <c r="B3027" t="s">
        <v>1291</v>
      </c>
      <c r="C3027" t="s">
        <v>132</v>
      </c>
      <c r="D3027" t="s">
        <v>1295</v>
      </c>
      <c r="E3027" t="s">
        <v>1272</v>
      </c>
      <c r="F3027">
        <v>6</v>
      </c>
      <c r="G3027" s="10">
        <v>41268</v>
      </c>
      <c r="H3027">
        <v>52</v>
      </c>
      <c r="I3027">
        <v>2016</v>
      </c>
      <c r="J3027" t="s">
        <v>75</v>
      </c>
      <c r="K3027" t="s">
        <v>74</v>
      </c>
      <c r="L3027" t="s">
        <v>75</v>
      </c>
      <c r="M3027" t="s">
        <v>74</v>
      </c>
      <c r="N3027" t="s">
        <v>75</v>
      </c>
      <c r="O3027" t="s">
        <v>73</v>
      </c>
      <c r="P3027" t="s">
        <v>75</v>
      </c>
    </row>
    <row r="3028" spans="1:16" hidden="1">
      <c r="A3028" t="s">
        <v>1754</v>
      </c>
      <c r="B3028" t="s">
        <v>1296</v>
      </c>
      <c r="C3028" t="s">
        <v>1297</v>
      </c>
      <c r="D3028" t="s">
        <v>1293</v>
      </c>
      <c r="E3028" t="s">
        <v>1272</v>
      </c>
      <c r="F3028">
        <v>1</v>
      </c>
      <c r="G3028" s="10">
        <v>41268</v>
      </c>
      <c r="H3028">
        <v>52</v>
      </c>
      <c r="I3028">
        <v>2016</v>
      </c>
      <c r="J3028" t="s">
        <v>75</v>
      </c>
      <c r="K3028" t="s">
        <v>74</v>
      </c>
      <c r="L3028" t="s">
        <v>75</v>
      </c>
      <c r="M3028" t="s">
        <v>75</v>
      </c>
      <c r="N3028" t="s">
        <v>73</v>
      </c>
      <c r="O3028" t="s">
        <v>74</v>
      </c>
      <c r="P3028" t="s">
        <v>74</v>
      </c>
    </row>
  </sheetData>
  <conditionalFormatting sqref="A1:A1048576">
    <cfRule type="duplicateValues" dxfId="33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>
    <tabColor rgb="FFFF0000"/>
  </sheetPr>
  <dimension ref="A1"/>
  <sheetViews>
    <sheetView workbookViewId="0"/>
  </sheetViews>
  <sheetFormatPr defaultRowHeight="15"/>
  <sheetData/>
  <pageMargins left="0.7" right="0.7" top="0.75" bottom="0.75" header="0.3" footer="0.3"/>
  <customProperties>
    <customPr name="DCFIdentifier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2">
    <outlinePr summaryRight="0"/>
  </sheetPr>
  <dimension ref="A1:BY50"/>
  <sheetViews>
    <sheetView topLeftCell="W8" workbookViewId="0">
      <selection activeCell="A22" sqref="A22:XFD22"/>
    </sheetView>
  </sheetViews>
  <sheetFormatPr defaultRowHeight="15" outlineLevelCol="1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>
      <c r="A1">
        <v>31</v>
      </c>
    </row>
    <row r="2" spans="1:77">
      <c r="A2">
        <v>35</v>
      </c>
    </row>
    <row r="8" spans="1:77" s="11" customFormat="1">
      <c r="L8" s="12"/>
      <c r="X8" s="12">
        <v>41121</v>
      </c>
      <c r="Y8" s="12">
        <v>41122</v>
      </c>
      <c r="Z8" s="12">
        <v>41123</v>
      </c>
      <c r="AA8" s="12">
        <v>41124</v>
      </c>
      <c r="AB8" s="12">
        <v>41125</v>
      </c>
      <c r="AC8" s="12">
        <v>41126</v>
      </c>
      <c r="AD8" s="12">
        <v>41127</v>
      </c>
      <c r="AE8" s="11">
        <v>31</v>
      </c>
      <c r="AI8" s="12">
        <v>41128</v>
      </c>
      <c r="AJ8" s="12">
        <v>41129</v>
      </c>
      <c r="AK8" s="12">
        <v>41130</v>
      </c>
      <c r="AL8" s="12">
        <v>41131</v>
      </c>
      <c r="AM8" s="12">
        <v>41132</v>
      </c>
      <c r="AN8" s="12">
        <v>41133</v>
      </c>
      <c r="AO8" s="12">
        <v>41134</v>
      </c>
      <c r="AP8" s="11">
        <v>32</v>
      </c>
      <c r="AT8" s="12">
        <v>41135</v>
      </c>
      <c r="AU8" s="12">
        <v>41136</v>
      </c>
      <c r="AV8" s="12">
        <v>41137</v>
      </c>
      <c r="AW8" s="12">
        <v>41138</v>
      </c>
      <c r="AX8" s="12">
        <v>41139</v>
      </c>
      <c r="AY8" s="12">
        <v>41140</v>
      </c>
      <c r="AZ8" s="12">
        <v>41141</v>
      </c>
      <c r="BA8" s="11">
        <v>33</v>
      </c>
      <c r="BE8" s="12">
        <v>41142</v>
      </c>
      <c r="BF8" s="12">
        <v>41143</v>
      </c>
      <c r="BG8" s="12">
        <v>41144</v>
      </c>
      <c r="BH8" s="12">
        <v>41145</v>
      </c>
      <c r="BI8" s="12">
        <v>41146</v>
      </c>
      <c r="BJ8" s="12">
        <v>41147</v>
      </c>
      <c r="BK8" s="12">
        <v>41148</v>
      </c>
      <c r="BL8" s="11">
        <v>34</v>
      </c>
      <c r="BP8" s="12">
        <v>41149</v>
      </c>
      <c r="BQ8" s="12">
        <v>41150</v>
      </c>
      <c r="BR8" s="12">
        <v>41151</v>
      </c>
      <c r="BS8" s="12">
        <v>41152</v>
      </c>
      <c r="BT8" s="12">
        <v>41153</v>
      </c>
      <c r="BU8" s="12">
        <v>41154</v>
      </c>
      <c r="BV8" s="12">
        <v>41155</v>
      </c>
      <c r="BW8" s="11">
        <v>35</v>
      </c>
    </row>
    <row r="9" spans="1:77" s="11" customFormat="1">
      <c r="A9" s="11" t="s">
        <v>0</v>
      </c>
      <c r="B9" s="11" t="s">
        <v>1</v>
      </c>
      <c r="C9" s="11" t="s">
        <v>2</v>
      </c>
      <c r="J9" s="11" t="s">
        <v>61</v>
      </c>
      <c r="K9" s="11" t="s">
        <v>60</v>
      </c>
      <c r="L9" s="12" t="s">
        <v>82</v>
      </c>
      <c r="M9" s="11" t="s">
        <v>81</v>
      </c>
      <c r="N9" s="11" t="s">
        <v>80</v>
      </c>
      <c r="O9" s="11" t="s">
        <v>85</v>
      </c>
      <c r="P9" s="11" t="s">
        <v>86</v>
      </c>
      <c r="Q9" s="11" t="s">
        <v>87</v>
      </c>
      <c r="R9" s="11" t="s">
        <v>84</v>
      </c>
      <c r="S9" s="11" t="s">
        <v>89</v>
      </c>
      <c r="T9" s="11" t="s">
        <v>88</v>
      </c>
      <c r="U9" s="11" t="s">
        <v>83</v>
      </c>
      <c r="V9" s="11" t="s">
        <v>1380</v>
      </c>
      <c r="W9" s="11" t="s">
        <v>1381</v>
      </c>
      <c r="X9" s="11" t="s">
        <v>1256</v>
      </c>
      <c r="Y9" s="11" t="s">
        <v>1257</v>
      </c>
      <c r="Z9" s="11" t="s">
        <v>1258</v>
      </c>
      <c r="AA9" s="11" t="s">
        <v>1259</v>
      </c>
      <c r="AB9" s="11" t="s">
        <v>1260</v>
      </c>
      <c r="AC9" s="11" t="s">
        <v>1261</v>
      </c>
      <c r="AD9" s="11" t="s">
        <v>1262</v>
      </c>
      <c r="AE9" s="11" t="s">
        <v>1383</v>
      </c>
      <c r="AF9" s="11" t="s">
        <v>1378</v>
      </c>
      <c r="AG9" s="11" t="s">
        <v>1379</v>
      </c>
      <c r="AH9" s="11" t="s">
        <v>1381</v>
      </c>
      <c r="AI9" s="11" t="s">
        <v>1256</v>
      </c>
      <c r="AJ9" s="11" t="s">
        <v>1257</v>
      </c>
      <c r="AK9" s="11" t="s">
        <v>1258</v>
      </c>
      <c r="AL9" s="11" t="s">
        <v>1259</v>
      </c>
      <c r="AM9" s="11" t="s">
        <v>1260</v>
      </c>
      <c r="AN9" s="11" t="s">
        <v>1261</v>
      </c>
      <c r="AO9" s="11" t="s">
        <v>1262</v>
      </c>
      <c r="AP9" s="11" t="s">
        <v>1383</v>
      </c>
      <c r="AQ9" s="11" t="s">
        <v>1378</v>
      </c>
      <c r="AR9" s="11" t="s">
        <v>1379</v>
      </c>
      <c r="AS9" s="11" t="s">
        <v>1381</v>
      </c>
      <c r="AT9" s="11" t="s">
        <v>1256</v>
      </c>
      <c r="AU9" s="11" t="s">
        <v>1257</v>
      </c>
      <c r="AV9" s="11" t="s">
        <v>1258</v>
      </c>
      <c r="AW9" s="11" t="s">
        <v>1259</v>
      </c>
      <c r="AX9" s="11" t="s">
        <v>1260</v>
      </c>
      <c r="AY9" s="11" t="s">
        <v>1261</v>
      </c>
      <c r="AZ9" s="11" t="s">
        <v>1262</v>
      </c>
      <c r="BA9" s="11" t="s">
        <v>1383</v>
      </c>
      <c r="BB9" s="11" t="s">
        <v>1378</v>
      </c>
      <c r="BC9" s="11" t="s">
        <v>1379</v>
      </c>
      <c r="BD9" s="11" t="s">
        <v>1381</v>
      </c>
      <c r="BE9" s="11" t="s">
        <v>1256</v>
      </c>
      <c r="BF9" s="11" t="s">
        <v>1257</v>
      </c>
      <c r="BG9" s="11" t="s">
        <v>1258</v>
      </c>
      <c r="BH9" s="11" t="s">
        <v>1259</v>
      </c>
      <c r="BI9" s="11" t="s">
        <v>1260</v>
      </c>
      <c r="BJ9" s="11" t="s">
        <v>1261</v>
      </c>
      <c r="BK9" s="11" t="s">
        <v>1262</v>
      </c>
      <c r="BL9" s="11" t="s">
        <v>1383</v>
      </c>
      <c r="BM9" s="11" t="s">
        <v>1378</v>
      </c>
      <c r="BN9" s="11" t="s">
        <v>1379</v>
      </c>
      <c r="BO9" s="11" t="s">
        <v>1381</v>
      </c>
      <c r="BP9" s="11" t="s">
        <v>1256</v>
      </c>
      <c r="BQ9" s="11" t="s">
        <v>1257</v>
      </c>
      <c r="BR9" s="11" t="s">
        <v>1258</v>
      </c>
      <c r="BS9" s="11" t="s">
        <v>1259</v>
      </c>
      <c r="BT9" s="11" t="s">
        <v>1260</v>
      </c>
      <c r="BU9" s="11" t="s">
        <v>1261</v>
      </c>
      <c r="BV9" s="11" t="s">
        <v>1262</v>
      </c>
      <c r="BW9" s="11" t="s">
        <v>1383</v>
      </c>
      <c r="BX9" s="11" t="s">
        <v>1378</v>
      </c>
      <c r="BY9" s="11" t="s">
        <v>1379</v>
      </c>
    </row>
    <row r="10" spans="1:77">
      <c r="A10" t="s">
        <v>90</v>
      </c>
      <c r="B10" t="s">
        <v>3</v>
      </c>
      <c r="C10" t="s">
        <v>4</v>
      </c>
      <c r="I10" s="15" t="s">
        <v>1412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5" t="s">
        <v>1413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1387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5" t="s">
        <v>1414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1388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5" t="s">
        <v>1415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1389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5" t="s">
        <v>1416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1390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5" t="s">
        <v>1417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1391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>
      <c r="A11" t="s">
        <v>93</v>
      </c>
      <c r="B11" t="s">
        <v>5</v>
      </c>
      <c r="C11" t="s">
        <v>6</v>
      </c>
      <c r="I11" s="15"/>
      <c r="J11" t="s">
        <v>72</v>
      </c>
      <c r="K11">
        <v>3</v>
      </c>
      <c r="L11" s="10">
        <v>41114</v>
      </c>
      <c r="M11">
        <v>30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min_hour(420)</f>
        <v>07:00</v>
      </c>
      <c r="W11" s="15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1388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5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1389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5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1390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5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1391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5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1392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>
      <c r="A12" t="s">
        <v>94</v>
      </c>
      <c r="B12" t="s">
        <v>7</v>
      </c>
      <c r="C12" t="s">
        <v>8</v>
      </c>
      <c r="I12" s="15"/>
      <c r="J12" t="s">
        <v>72</v>
      </c>
      <c r="K12">
        <v>8</v>
      </c>
      <c r="L12" s="10">
        <v>41114</v>
      </c>
      <c r="M12">
        <v>30</v>
      </c>
      <c r="N12">
        <v>2016</v>
      </c>
      <c r="O12" t="s">
        <v>92</v>
      </c>
      <c r="P12" t="s">
        <v>92</v>
      </c>
      <c r="Q12" t="s">
        <v>92</v>
      </c>
      <c r="R12" t="s">
        <v>92</v>
      </c>
      <c r="S12" t="s">
        <v>92</v>
      </c>
      <c r="T12" t="s">
        <v>73</v>
      </c>
      <c r="U12" t="s">
        <v>75</v>
      </c>
      <c r="V12" t="str">
        <f>min_hour(280)</f>
        <v>04:40</v>
      </c>
      <c r="W12" s="15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1393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5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1394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5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1395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5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1385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5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1386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>
      <c r="A13" t="s">
        <v>96</v>
      </c>
      <c r="B13" t="s">
        <v>9</v>
      </c>
      <c r="C13" t="s">
        <v>10</v>
      </c>
      <c r="I13" s="15"/>
      <c r="J13" t="s">
        <v>72</v>
      </c>
      <c r="K13">
        <v>9</v>
      </c>
      <c r="L13" s="10">
        <v>41114</v>
      </c>
      <c r="M13">
        <v>30</v>
      </c>
      <c r="N13">
        <v>2016</v>
      </c>
      <c r="O13" t="s">
        <v>92</v>
      </c>
      <c r="P13" t="s">
        <v>92</v>
      </c>
      <c r="Q13" t="s">
        <v>73</v>
      </c>
      <c r="R13" t="s">
        <v>92</v>
      </c>
      <c r="S13" t="s">
        <v>92</v>
      </c>
      <c r="T13" t="s">
        <v>92</v>
      </c>
      <c r="U13" t="s">
        <v>92</v>
      </c>
      <c r="V13" t="str">
        <f>min_hour(300)</f>
        <v>05:00</v>
      </c>
      <c r="W13" s="15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1394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5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1395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5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1385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5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1386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5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1387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>
      <c r="A14" t="s">
        <v>97</v>
      </c>
      <c r="B14" t="s">
        <v>11</v>
      </c>
      <c r="C14" t="s">
        <v>12</v>
      </c>
      <c r="I14" s="15"/>
      <c r="J14" t="s">
        <v>72</v>
      </c>
      <c r="K14">
        <v>10</v>
      </c>
      <c r="L14" s="10">
        <v>41114</v>
      </c>
      <c r="M14">
        <v>30</v>
      </c>
      <c r="N14">
        <v>2016</v>
      </c>
      <c r="O14" t="s">
        <v>75</v>
      </c>
      <c r="P14" t="s">
        <v>76</v>
      </c>
      <c r="Q14" t="s">
        <v>77</v>
      </c>
      <c r="R14" t="s">
        <v>73</v>
      </c>
      <c r="S14" t="s">
        <v>74</v>
      </c>
      <c r="T14" t="s">
        <v>75</v>
      </c>
      <c r="U14" t="s">
        <v>75</v>
      </c>
      <c r="V14" t="str">
        <f>min_hour(60)</f>
        <v>01:00</v>
      </c>
      <c r="W14" s="15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1395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5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1385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5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1386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5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1387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5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1388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>
      <c r="A15" t="s">
        <v>120</v>
      </c>
      <c r="B15" t="s">
        <v>13</v>
      </c>
      <c r="C15" t="s">
        <v>14</v>
      </c>
      <c r="I15" s="15"/>
      <c r="J15" t="s">
        <v>78</v>
      </c>
      <c r="K15">
        <v>2</v>
      </c>
      <c r="L15" s="10">
        <v>41114</v>
      </c>
      <c r="M15">
        <v>30</v>
      </c>
      <c r="N15">
        <v>2016</v>
      </c>
      <c r="O15" t="s">
        <v>91</v>
      </c>
      <c r="P15" t="s">
        <v>95</v>
      </c>
      <c r="Q15" t="s">
        <v>95</v>
      </c>
      <c r="R15" t="s">
        <v>73</v>
      </c>
      <c r="S15" t="s">
        <v>91</v>
      </c>
      <c r="T15" t="s">
        <v>91</v>
      </c>
      <c r="U15" t="s">
        <v>95</v>
      </c>
      <c r="V15" t="str">
        <f>min_hour(-1800)</f>
        <v>-30:00</v>
      </c>
      <c r="W15" s="15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1399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5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1400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5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1401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5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1396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5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1397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>
      <c r="A16" t="s">
        <v>98</v>
      </c>
      <c r="B16" t="s">
        <v>13</v>
      </c>
      <c r="C16" t="s">
        <v>15</v>
      </c>
      <c r="I16" s="15"/>
      <c r="J16" t="s">
        <v>72</v>
      </c>
      <c r="K16">
        <v>3</v>
      </c>
      <c r="L16" s="10">
        <v>41114</v>
      </c>
      <c r="M16">
        <v>30</v>
      </c>
      <c r="N16">
        <v>2016</v>
      </c>
      <c r="O16" t="s">
        <v>75</v>
      </c>
      <c r="P16" t="s">
        <v>75</v>
      </c>
      <c r="Q16" t="s">
        <v>75</v>
      </c>
      <c r="R16" t="s">
        <v>75</v>
      </c>
      <c r="S16" t="s">
        <v>73</v>
      </c>
      <c r="T16" t="s">
        <v>74</v>
      </c>
      <c r="U16" t="s">
        <v>75</v>
      </c>
      <c r="V16" t="str">
        <f>min_hour(300)</f>
        <v>05:00</v>
      </c>
      <c r="W16" s="15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1388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5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1389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5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1390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5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1391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5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1392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>
      <c r="A17" t="s">
        <v>99</v>
      </c>
      <c r="B17" t="s">
        <v>16</v>
      </c>
      <c r="C17" t="s">
        <v>17</v>
      </c>
      <c r="I17" s="15"/>
      <c r="J17" t="s">
        <v>72</v>
      </c>
      <c r="K17">
        <v>4</v>
      </c>
      <c r="L17" s="10">
        <v>41114</v>
      </c>
      <c r="M17">
        <v>30</v>
      </c>
      <c r="N17">
        <v>2016</v>
      </c>
      <c r="O17" t="s">
        <v>92</v>
      </c>
      <c r="P17" t="s">
        <v>92</v>
      </c>
      <c r="Q17" t="s">
        <v>92</v>
      </c>
      <c r="R17" t="s">
        <v>73</v>
      </c>
      <c r="S17" t="s">
        <v>92</v>
      </c>
      <c r="T17" t="s">
        <v>92</v>
      </c>
      <c r="U17" t="s">
        <v>92</v>
      </c>
      <c r="V17" t="str">
        <f>min_hour(540)</f>
        <v>09:00</v>
      </c>
      <c r="W17" s="15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1389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5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1390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1391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5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1392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5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1393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>
      <c r="A18" t="s">
        <v>100</v>
      </c>
      <c r="B18" t="s">
        <v>18</v>
      </c>
      <c r="C18" t="s">
        <v>19</v>
      </c>
      <c r="I18" s="15"/>
      <c r="J18" t="s">
        <v>72</v>
      </c>
      <c r="K18">
        <v>6</v>
      </c>
      <c r="L18" s="10">
        <v>41114</v>
      </c>
      <c r="M18">
        <v>30</v>
      </c>
      <c r="N18">
        <v>2016</v>
      </c>
      <c r="O18" t="s">
        <v>92</v>
      </c>
      <c r="P18" t="s">
        <v>73</v>
      </c>
      <c r="Q18" t="s">
        <v>92</v>
      </c>
      <c r="R18" t="s">
        <v>92</v>
      </c>
      <c r="S18" t="s">
        <v>92</v>
      </c>
      <c r="T18" t="s">
        <v>92</v>
      </c>
      <c r="U18" t="s">
        <v>92</v>
      </c>
      <c r="V18" t="str">
        <f>min_hour(300)</f>
        <v>05:00</v>
      </c>
      <c r="W18" s="15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1391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5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1392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5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1393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5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1394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5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1395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>
      <c r="A19" t="s">
        <v>101</v>
      </c>
      <c r="B19" t="s">
        <v>20</v>
      </c>
      <c r="C19" t="s">
        <v>21</v>
      </c>
      <c r="I19" s="15"/>
      <c r="J19" t="s">
        <v>72</v>
      </c>
      <c r="K19">
        <v>5</v>
      </c>
      <c r="L19" s="10">
        <v>41114</v>
      </c>
      <c r="M19">
        <v>30</v>
      </c>
      <c r="N19">
        <v>2016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min_hour(720)</f>
        <v>12:00</v>
      </c>
      <c r="W19" s="15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1390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5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1391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5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1392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5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1393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5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1394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>
      <c r="A20" t="s">
        <v>102</v>
      </c>
      <c r="B20" t="s">
        <v>22</v>
      </c>
      <c r="C20" t="s">
        <v>17</v>
      </c>
      <c r="I20" s="15"/>
      <c r="J20" t="s">
        <v>72</v>
      </c>
      <c r="K20">
        <v>11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73</v>
      </c>
      <c r="R20" t="s">
        <v>91</v>
      </c>
      <c r="S20" t="s">
        <v>95</v>
      </c>
      <c r="T20" t="s">
        <v>91</v>
      </c>
      <c r="U20" t="s">
        <v>95</v>
      </c>
      <c r="V20" t="str">
        <f>min_hour(220)</f>
        <v>03:40</v>
      </c>
      <c r="W20" s="15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1385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5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1386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5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1387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5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1388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5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1389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>
      <c r="A21" t="s">
        <v>103</v>
      </c>
      <c r="B21" t="s">
        <v>23</v>
      </c>
      <c r="C21" t="s">
        <v>24</v>
      </c>
      <c r="I21" s="15"/>
      <c r="J21" t="s">
        <v>78</v>
      </c>
      <c r="K21">
        <v>5</v>
      </c>
      <c r="L21" s="10">
        <v>41114</v>
      </c>
      <c r="M21">
        <v>30</v>
      </c>
      <c r="N21">
        <v>2016</v>
      </c>
      <c r="O21" t="s">
        <v>73</v>
      </c>
      <c r="P21" t="s">
        <v>91</v>
      </c>
      <c r="Q21" t="s">
        <v>91</v>
      </c>
      <c r="R21" t="s">
        <v>75</v>
      </c>
      <c r="S21" t="s">
        <v>74</v>
      </c>
      <c r="T21" t="s">
        <v>75</v>
      </c>
      <c r="U21" t="s">
        <v>73</v>
      </c>
      <c r="V21" t="str">
        <f>min_hour(-200)</f>
        <v>-03:20</v>
      </c>
      <c r="W21" s="15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1396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5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1397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1398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5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1399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5"/>
      <c r="BW21" t="s">
        <v>1400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>
      <c r="A22" t="s">
        <v>127</v>
      </c>
      <c r="B22" t="s">
        <v>23</v>
      </c>
      <c r="C22" t="s">
        <v>55</v>
      </c>
      <c r="I22" s="15"/>
      <c r="J22" t="s">
        <v>72</v>
      </c>
      <c r="K22">
        <v>5</v>
      </c>
      <c r="L22" s="10">
        <v>41114</v>
      </c>
      <c r="M22">
        <v>30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min_hour(-1380)</f>
        <v>-23:00</v>
      </c>
      <c r="W22" s="15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1390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5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1391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5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1392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5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1393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5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1394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>
      <c r="A23" t="s">
        <v>104</v>
      </c>
      <c r="B23" t="s">
        <v>25</v>
      </c>
      <c r="C23" t="s">
        <v>132</v>
      </c>
      <c r="I23" s="15"/>
      <c r="J23" t="s">
        <v>72</v>
      </c>
      <c r="K23">
        <v>2</v>
      </c>
      <c r="L23" s="10">
        <v>41114</v>
      </c>
      <c r="M23">
        <v>30</v>
      </c>
      <c r="N23">
        <v>2016</v>
      </c>
      <c r="O23" t="s">
        <v>74</v>
      </c>
      <c r="P23" t="s">
        <v>75</v>
      </c>
      <c r="Q23" t="s">
        <v>75</v>
      </c>
      <c r="R23" t="s">
        <v>75</v>
      </c>
      <c r="S23" t="s">
        <v>75</v>
      </c>
      <c r="T23" t="s">
        <v>73</v>
      </c>
      <c r="U23" t="s">
        <v>74</v>
      </c>
      <c r="V23" t="str">
        <f>min_hour(-720)</f>
        <v>-12:00</v>
      </c>
      <c r="W23" s="15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1387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5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1388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5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1389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5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1390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5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1391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>
      <c r="A24" t="s">
        <v>129</v>
      </c>
      <c r="B24" t="s">
        <v>56</v>
      </c>
      <c r="C24" t="s">
        <v>57</v>
      </c>
      <c r="I24" s="15"/>
      <c r="J24" t="s">
        <v>72</v>
      </c>
      <c r="K24">
        <v>10</v>
      </c>
      <c r="L24" s="10">
        <v>41114</v>
      </c>
      <c r="M24">
        <v>30</v>
      </c>
      <c r="N24">
        <v>2016</v>
      </c>
      <c r="O24" t="s">
        <v>95</v>
      </c>
      <c r="P24" t="s">
        <v>95</v>
      </c>
      <c r="Q24" t="s">
        <v>73</v>
      </c>
      <c r="R24" t="s">
        <v>91</v>
      </c>
      <c r="S24" t="s">
        <v>91</v>
      </c>
      <c r="T24" t="s">
        <v>95</v>
      </c>
      <c r="U24" t="s">
        <v>91</v>
      </c>
      <c r="V24" t="str">
        <f>min_hour(60)</f>
        <v>01:00</v>
      </c>
      <c r="W24" s="15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1395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5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1385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5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1386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5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1387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5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1388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>
      <c r="A25" t="s">
        <v>105</v>
      </c>
      <c r="B25" t="s">
        <v>26</v>
      </c>
      <c r="C25" t="s">
        <v>27</v>
      </c>
      <c r="I25" s="15"/>
      <c r="J25" t="s">
        <v>72</v>
      </c>
      <c r="K25">
        <v>11</v>
      </c>
      <c r="L25" s="10">
        <v>41114</v>
      </c>
      <c r="M25">
        <v>30</v>
      </c>
      <c r="N25">
        <v>2016</v>
      </c>
      <c r="O25" t="s">
        <v>77</v>
      </c>
      <c r="P25" t="s">
        <v>73</v>
      </c>
      <c r="Q25" t="s">
        <v>74</v>
      </c>
      <c r="R25" t="s">
        <v>74</v>
      </c>
      <c r="S25" t="s">
        <v>75</v>
      </c>
      <c r="T25" t="s">
        <v>76</v>
      </c>
      <c r="U25" t="s">
        <v>77</v>
      </c>
      <c r="V25" t="str">
        <f>min_hour(140)</f>
        <v>02:20</v>
      </c>
      <c r="W25" s="15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1385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5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1386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5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1387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5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1388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5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1389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>
      <c r="A26" t="s">
        <v>106</v>
      </c>
      <c r="B26" t="s">
        <v>28</v>
      </c>
      <c r="C26" t="s">
        <v>29</v>
      </c>
      <c r="I26" s="15"/>
      <c r="J26" t="s">
        <v>72</v>
      </c>
      <c r="K26">
        <v>1</v>
      </c>
      <c r="L26" s="10">
        <v>41114</v>
      </c>
      <c r="M26">
        <v>30</v>
      </c>
      <c r="N26">
        <v>2016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min_hour(-600)</f>
        <v>-10:00</v>
      </c>
      <c r="W26" s="15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1386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5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1387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5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1388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5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1389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5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1390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>
      <c r="A27" t="s">
        <v>107</v>
      </c>
      <c r="B27" t="s">
        <v>30</v>
      </c>
      <c r="C27" t="s">
        <v>8</v>
      </c>
      <c r="I27" s="15"/>
      <c r="J27" t="s">
        <v>78</v>
      </c>
      <c r="K27">
        <v>1</v>
      </c>
      <c r="L27" s="10">
        <v>41114</v>
      </c>
      <c r="M27">
        <v>30</v>
      </c>
      <c r="N27">
        <v>2016</v>
      </c>
      <c r="O27" t="s">
        <v>95</v>
      </c>
      <c r="P27" t="s">
        <v>95</v>
      </c>
      <c r="Q27" t="s">
        <v>95</v>
      </c>
      <c r="R27" t="s">
        <v>95</v>
      </c>
      <c r="S27" t="s">
        <v>73</v>
      </c>
      <c r="T27" t="s">
        <v>91</v>
      </c>
      <c r="U27" t="s">
        <v>91</v>
      </c>
      <c r="V27" t="str">
        <f>min_hour(-1680)</f>
        <v>-28:00</v>
      </c>
      <c r="W27" s="15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1398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5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1399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5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1400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5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1401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5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1396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>
      <c r="A28" t="s">
        <v>108</v>
      </c>
      <c r="B28" t="s">
        <v>30</v>
      </c>
      <c r="C28" t="s">
        <v>31</v>
      </c>
      <c r="I28" s="15"/>
      <c r="J28" t="s">
        <v>72</v>
      </c>
      <c r="K28">
        <v>8</v>
      </c>
      <c r="L28" s="10">
        <v>41114</v>
      </c>
      <c r="M28">
        <v>30</v>
      </c>
      <c r="N28">
        <v>2016</v>
      </c>
      <c r="O28" t="s">
        <v>74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min_hour(-120)</f>
        <v>-02:00</v>
      </c>
      <c r="W28" s="15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1393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1394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1395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5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1385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5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1386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>
      <c r="A29" t="s">
        <v>109</v>
      </c>
      <c r="B29" t="s">
        <v>32</v>
      </c>
      <c r="C29" t="s">
        <v>33</v>
      </c>
      <c r="I29" s="15"/>
      <c r="J29" t="s">
        <v>78</v>
      </c>
      <c r="K29">
        <v>2</v>
      </c>
      <c r="L29" s="10">
        <v>41114</v>
      </c>
      <c r="M29">
        <v>30</v>
      </c>
      <c r="N29">
        <v>2016</v>
      </c>
      <c r="O29" t="s">
        <v>75</v>
      </c>
      <c r="P29" t="s">
        <v>76</v>
      </c>
      <c r="Q29" t="s">
        <v>77</v>
      </c>
      <c r="R29" t="s">
        <v>73</v>
      </c>
      <c r="S29" t="s">
        <v>75</v>
      </c>
      <c r="T29" t="s">
        <v>75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1399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5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1400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5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1401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5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1396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5"/>
      <c r="BW29" t="s">
        <v>1397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>
      <c r="A30" t="s">
        <v>122</v>
      </c>
      <c r="B30" t="s">
        <v>32</v>
      </c>
      <c r="C30" t="s">
        <v>34</v>
      </c>
      <c r="I30" s="15"/>
      <c r="J30" t="s">
        <v>78</v>
      </c>
      <c r="K30">
        <v>2</v>
      </c>
      <c r="L30" s="10">
        <v>41114</v>
      </c>
      <c r="M30">
        <v>30</v>
      </c>
      <c r="N30">
        <v>2016</v>
      </c>
      <c r="O30" t="s">
        <v>95</v>
      </c>
      <c r="P30" t="s">
        <v>95</v>
      </c>
      <c r="Q30" t="s">
        <v>95</v>
      </c>
      <c r="R30" t="s">
        <v>73</v>
      </c>
      <c r="S30" t="s">
        <v>91</v>
      </c>
      <c r="T30" t="s">
        <v>95</v>
      </c>
      <c r="U30" t="s">
        <v>95</v>
      </c>
      <c r="V30" t="str">
        <f>min_hour(60)</f>
        <v>01:00</v>
      </c>
      <c r="W30" s="15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1399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5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1400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5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1401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5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1396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5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1397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>
      <c r="A31" t="s">
        <v>110</v>
      </c>
      <c r="B31" t="s">
        <v>35</v>
      </c>
      <c r="C31" t="s">
        <v>36</v>
      </c>
      <c r="I31" s="15"/>
      <c r="J31" t="s">
        <v>78</v>
      </c>
      <c r="K31">
        <v>1</v>
      </c>
      <c r="L31" s="10">
        <v>41114</v>
      </c>
      <c r="M31">
        <v>30</v>
      </c>
      <c r="N31">
        <v>2016</v>
      </c>
      <c r="O31" t="s">
        <v>75</v>
      </c>
      <c r="P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tr">
        <f>min_hour(20)</f>
        <v>00:20</v>
      </c>
      <c r="W31" s="15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1398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5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1399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5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1400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5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1401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5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1396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>
      <c r="A32" t="s">
        <v>130</v>
      </c>
      <c r="B32" t="s">
        <v>58</v>
      </c>
      <c r="C32" t="s">
        <v>59</v>
      </c>
      <c r="I32" s="15"/>
      <c r="J32" t="s">
        <v>78</v>
      </c>
      <c r="K32">
        <v>1</v>
      </c>
      <c r="L32" s="10">
        <v>41114</v>
      </c>
      <c r="M32">
        <v>30</v>
      </c>
      <c r="N32">
        <v>2016</v>
      </c>
      <c r="O32" t="s">
        <v>95</v>
      </c>
      <c r="P32" t="s">
        <v>95</v>
      </c>
      <c r="Q32" t="s">
        <v>95</v>
      </c>
      <c r="R32" t="s">
        <v>95</v>
      </c>
      <c r="S32" t="s">
        <v>73</v>
      </c>
      <c r="T32" t="s">
        <v>91</v>
      </c>
      <c r="U32" t="s">
        <v>91</v>
      </c>
      <c r="V32" t="str">
        <f>min_hour(300)</f>
        <v>05:00</v>
      </c>
      <c r="W32" s="15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1398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5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1399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5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1400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5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1401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5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1396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>
      <c r="A33" t="s">
        <v>111</v>
      </c>
      <c r="B33" t="s">
        <v>37</v>
      </c>
      <c r="C33" t="s">
        <v>38</v>
      </c>
      <c r="I33" s="15"/>
      <c r="J33" t="s">
        <v>72</v>
      </c>
      <c r="K33">
        <v>9</v>
      </c>
      <c r="L33" s="10">
        <v>41114</v>
      </c>
      <c r="M33">
        <v>30</v>
      </c>
      <c r="N33">
        <v>2016</v>
      </c>
      <c r="O33" t="s">
        <v>92</v>
      </c>
      <c r="P33" t="s">
        <v>92</v>
      </c>
      <c r="Q33" t="s">
        <v>92</v>
      </c>
      <c r="R33" t="s">
        <v>92</v>
      </c>
      <c r="S33" t="s">
        <v>73</v>
      </c>
      <c r="T33" t="s">
        <v>92</v>
      </c>
      <c r="U33" t="s">
        <v>92</v>
      </c>
      <c r="V33" t="str">
        <f>min_hour(360)</f>
        <v>06:00</v>
      </c>
      <c r="W33" s="15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1394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5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1395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5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1385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5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1386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5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1387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>
      <c r="A34" t="s">
        <v>112</v>
      </c>
      <c r="B34" t="s">
        <v>39</v>
      </c>
      <c r="C34" t="s">
        <v>40</v>
      </c>
      <c r="I34" s="15"/>
      <c r="J34" t="s">
        <v>78</v>
      </c>
      <c r="K34">
        <v>4</v>
      </c>
      <c r="L34" s="10">
        <v>41114</v>
      </c>
      <c r="M34">
        <v>30</v>
      </c>
      <c r="N34">
        <v>2016</v>
      </c>
      <c r="O34" t="s">
        <v>75</v>
      </c>
      <c r="P34" t="s">
        <v>73</v>
      </c>
      <c r="Q34" t="s">
        <v>74</v>
      </c>
      <c r="R34" t="s">
        <v>75</v>
      </c>
      <c r="S34" t="s">
        <v>75</v>
      </c>
      <c r="T34" t="s">
        <v>76</v>
      </c>
      <c r="U34" t="s">
        <v>77</v>
      </c>
      <c r="V34" t="str">
        <f>min_hour(300)</f>
        <v>05:00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1401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5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1396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5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1397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5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1398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5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1399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>
      <c r="A35" t="s">
        <v>113</v>
      </c>
      <c r="B35" t="s">
        <v>41</v>
      </c>
      <c r="C35" t="s">
        <v>42</v>
      </c>
      <c r="I35" s="15"/>
      <c r="J35" t="s">
        <v>72</v>
      </c>
      <c r="K35">
        <v>8</v>
      </c>
      <c r="L35" s="10">
        <v>41114</v>
      </c>
      <c r="M35">
        <v>30</v>
      </c>
      <c r="N35">
        <v>2016</v>
      </c>
      <c r="O35" t="s">
        <v>74</v>
      </c>
      <c r="P35" t="s">
        <v>74</v>
      </c>
      <c r="Q35" t="s">
        <v>75</v>
      </c>
      <c r="R35" t="s">
        <v>76</v>
      </c>
      <c r="S35" t="s">
        <v>77</v>
      </c>
      <c r="T35" t="s">
        <v>73</v>
      </c>
      <c r="U35" t="s">
        <v>74</v>
      </c>
      <c r="V35" t="str">
        <f>min_hour(80)</f>
        <v>01:20</v>
      </c>
      <c r="W35" s="15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1393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5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1394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5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1395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5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1385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5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1386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>
      <c r="A36" t="s">
        <v>114</v>
      </c>
      <c r="B36" t="s">
        <v>43</v>
      </c>
      <c r="C36" t="s">
        <v>44</v>
      </c>
      <c r="I36" s="15"/>
      <c r="J36" t="s">
        <v>72</v>
      </c>
      <c r="K36">
        <v>4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92</v>
      </c>
      <c r="R36" t="s">
        <v>73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5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1389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5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1390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5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1391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1392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5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1393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>
      <c r="A37" t="s">
        <v>115</v>
      </c>
      <c r="B37" t="s">
        <v>45</v>
      </c>
      <c r="C37" t="s">
        <v>46</v>
      </c>
      <c r="I37" s="15"/>
      <c r="J37" t="s">
        <v>72</v>
      </c>
      <c r="K37">
        <v>1</v>
      </c>
      <c r="L37" s="10">
        <v>41114</v>
      </c>
      <c r="M37">
        <v>30</v>
      </c>
      <c r="N37">
        <v>2016</v>
      </c>
      <c r="O37" t="s">
        <v>73</v>
      </c>
      <c r="P37" t="s">
        <v>74</v>
      </c>
      <c r="Q37" t="s">
        <v>74</v>
      </c>
      <c r="R37" t="s">
        <v>74</v>
      </c>
      <c r="S37" t="s">
        <v>75</v>
      </c>
      <c r="T37" t="s">
        <v>75</v>
      </c>
      <c r="U37" t="s">
        <v>73</v>
      </c>
      <c r="V37" t="str">
        <f>min_hour(180)</f>
        <v>03:00</v>
      </c>
      <c r="W37" s="15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1386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5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1387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5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1388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5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1389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5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1390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>
      <c r="A38" t="s">
        <v>116</v>
      </c>
      <c r="B38" t="s">
        <v>47</v>
      </c>
      <c r="C38" t="s">
        <v>48</v>
      </c>
      <c r="I38" s="15"/>
      <c r="J38" t="s">
        <v>72</v>
      </c>
      <c r="K38">
        <v>7</v>
      </c>
      <c r="L38" s="10">
        <v>41114</v>
      </c>
      <c r="M38">
        <v>30</v>
      </c>
      <c r="N38">
        <v>2016</v>
      </c>
      <c r="O38" t="s">
        <v>73</v>
      </c>
      <c r="P38" t="s">
        <v>74</v>
      </c>
      <c r="Q38" t="s">
        <v>74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5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1392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5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1393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5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1394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5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1395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5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1385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>
      <c r="A39" t="s">
        <v>117</v>
      </c>
      <c r="B39" t="s">
        <v>49</v>
      </c>
      <c r="C39" t="s">
        <v>50</v>
      </c>
      <c r="I39" s="15"/>
      <c r="J39" t="s">
        <v>78</v>
      </c>
      <c r="K39">
        <v>5</v>
      </c>
      <c r="L39" s="10">
        <v>41114</v>
      </c>
      <c r="M39">
        <v>30</v>
      </c>
      <c r="N39">
        <v>2016</v>
      </c>
      <c r="O39" t="s">
        <v>73</v>
      </c>
      <c r="P39" t="s">
        <v>74</v>
      </c>
      <c r="Q39" t="s">
        <v>75</v>
      </c>
      <c r="R39" t="s">
        <v>75</v>
      </c>
      <c r="S39" t="s">
        <v>76</v>
      </c>
      <c r="T39" t="s">
        <v>77</v>
      </c>
      <c r="U39" t="s">
        <v>73</v>
      </c>
      <c r="V39" t="str">
        <f>min_hour(-120)</f>
        <v>-02:00</v>
      </c>
      <c r="W39" s="15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1396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5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1397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5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1398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5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1399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5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1400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>
      <c r="A40" t="s">
        <v>118</v>
      </c>
      <c r="B40" t="s">
        <v>51</v>
      </c>
      <c r="C40" t="s">
        <v>52</v>
      </c>
      <c r="I40" s="15"/>
      <c r="J40" t="s">
        <v>72</v>
      </c>
      <c r="K40">
        <v>7</v>
      </c>
      <c r="L40" s="10">
        <v>41114</v>
      </c>
      <c r="M40">
        <v>30</v>
      </c>
      <c r="N40">
        <v>2016</v>
      </c>
      <c r="O40" t="s">
        <v>73</v>
      </c>
      <c r="P40" t="s">
        <v>92</v>
      </c>
      <c r="Q40" t="s">
        <v>92</v>
      </c>
      <c r="R40" t="s">
        <v>92</v>
      </c>
      <c r="S40" t="s">
        <v>92</v>
      </c>
      <c r="T40" t="s">
        <v>92</v>
      </c>
      <c r="U40" t="s">
        <v>73</v>
      </c>
      <c r="V40" t="str">
        <f>min_hour(120)</f>
        <v>02:00</v>
      </c>
      <c r="W40" s="15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1392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5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1393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5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1394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5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1395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5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1385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>
      <c r="A41" t="s">
        <v>119</v>
      </c>
      <c r="B41" t="s">
        <v>53</v>
      </c>
      <c r="C41" t="s">
        <v>54</v>
      </c>
      <c r="I41" s="15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91</v>
      </c>
      <c r="P41" t="s">
        <v>73</v>
      </c>
      <c r="Q41" t="s">
        <v>91</v>
      </c>
      <c r="R41" t="s">
        <v>95</v>
      </c>
      <c r="S41" t="s">
        <v>95</v>
      </c>
      <c r="T41" t="s">
        <v>95</v>
      </c>
      <c r="U41" t="s">
        <v>95</v>
      </c>
      <c r="V41" t="str">
        <f>min_hour(300)</f>
        <v>05:00</v>
      </c>
      <c r="W41" s="15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1391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1392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5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1393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1394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1395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31" priority="1" operator="equal">
      <formula>"RC"</formula>
    </cfRule>
    <cfRule type="cellIs" dxfId="30" priority="2" operator="equal">
      <formula>"R"</formula>
    </cfRule>
    <cfRule type="cellIs" dxfId="29" priority="3" operator="equal">
      <formula>"S"</formula>
    </cfRule>
    <cfRule type="cellIs" dxfId="28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3">
    <outlinePr summaryRight="0"/>
  </sheetPr>
  <dimension ref="A1:BN50"/>
  <sheetViews>
    <sheetView topLeftCell="AQ7" workbookViewId="0">
      <selection activeCell="A28" sqref="A28:XFD28"/>
    </sheetView>
  </sheetViews>
  <sheetFormatPr defaultRowHeight="15" outlineLevelCol="1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>
      <c r="A1">
        <v>36</v>
      </c>
    </row>
    <row r="2" spans="1:66">
      <c r="A2">
        <v>39</v>
      </c>
    </row>
    <row r="8" spans="1:66" s="11" customFormat="1">
      <c r="L8" s="12"/>
      <c r="X8" s="12">
        <v>41156</v>
      </c>
      <c r="Y8" s="12">
        <v>41157</v>
      </c>
      <c r="Z8" s="12">
        <v>41158</v>
      </c>
      <c r="AA8" s="12">
        <v>41159</v>
      </c>
      <c r="AB8" s="12">
        <v>41160</v>
      </c>
      <c r="AC8" s="12">
        <v>41161</v>
      </c>
      <c r="AD8" s="12">
        <v>41162</v>
      </c>
      <c r="AE8" s="11">
        <v>36</v>
      </c>
      <c r="AI8" s="12">
        <v>41163</v>
      </c>
      <c r="AJ8" s="12">
        <v>41164</v>
      </c>
      <c r="AK8" s="12">
        <v>41165</v>
      </c>
      <c r="AL8" s="12">
        <v>41166</v>
      </c>
      <c r="AM8" s="12">
        <v>41167</v>
      </c>
      <c r="AN8" s="12">
        <v>41168</v>
      </c>
      <c r="AO8" s="12">
        <v>41169</v>
      </c>
      <c r="AP8" s="11">
        <v>37</v>
      </c>
      <c r="AT8" s="12">
        <v>41170</v>
      </c>
      <c r="AU8" s="12">
        <v>41171</v>
      </c>
      <c r="AV8" s="12">
        <v>41172</v>
      </c>
      <c r="AW8" s="12">
        <v>41173</v>
      </c>
      <c r="AX8" s="12">
        <v>41174</v>
      </c>
      <c r="AY8" s="12">
        <v>41175</v>
      </c>
      <c r="AZ8" s="12">
        <v>41176</v>
      </c>
      <c r="BA8" s="11">
        <v>38</v>
      </c>
      <c r="BE8" s="12">
        <v>41177</v>
      </c>
      <c r="BF8" s="12">
        <v>41178</v>
      </c>
      <c r="BG8" s="12">
        <v>41179</v>
      </c>
      <c r="BH8" s="12">
        <v>41180</v>
      </c>
      <c r="BI8" s="12">
        <v>41181</v>
      </c>
      <c r="BJ8" s="12">
        <v>41182</v>
      </c>
      <c r="BK8" s="12">
        <v>41183</v>
      </c>
      <c r="BL8" s="11">
        <v>39</v>
      </c>
    </row>
    <row r="9" spans="1:66" s="11" customFormat="1">
      <c r="A9" s="11" t="s">
        <v>0</v>
      </c>
      <c r="B9" s="11" t="s">
        <v>1</v>
      </c>
      <c r="C9" s="11" t="s">
        <v>2</v>
      </c>
      <c r="J9" s="11" t="s">
        <v>61</v>
      </c>
      <c r="K9" s="11" t="s">
        <v>60</v>
      </c>
      <c r="L9" s="12" t="s">
        <v>82</v>
      </c>
      <c r="M9" s="11" t="s">
        <v>81</v>
      </c>
      <c r="N9" s="11" t="s">
        <v>80</v>
      </c>
      <c r="O9" s="11" t="s">
        <v>85</v>
      </c>
      <c r="P9" s="11" t="s">
        <v>86</v>
      </c>
      <c r="Q9" s="11" t="s">
        <v>87</v>
      </c>
      <c r="R9" s="11" t="s">
        <v>84</v>
      </c>
      <c r="S9" s="11" t="s">
        <v>89</v>
      </c>
      <c r="T9" s="11" t="s">
        <v>88</v>
      </c>
      <c r="U9" s="11" t="s">
        <v>83</v>
      </c>
      <c r="V9" s="11" t="s">
        <v>1380</v>
      </c>
      <c r="W9" s="11" t="s">
        <v>1381</v>
      </c>
      <c r="X9" s="11" t="s">
        <v>1256</v>
      </c>
      <c r="Y9" s="11" t="s">
        <v>1257</v>
      </c>
      <c r="Z9" s="11" t="s">
        <v>1258</v>
      </c>
      <c r="AA9" s="11" t="s">
        <v>1259</v>
      </c>
      <c r="AB9" s="11" t="s">
        <v>1260</v>
      </c>
      <c r="AC9" s="11" t="s">
        <v>1261</v>
      </c>
      <c r="AD9" s="11" t="s">
        <v>1262</v>
      </c>
      <c r="AE9" s="11" t="s">
        <v>1383</v>
      </c>
      <c r="AF9" s="11" t="s">
        <v>1378</v>
      </c>
      <c r="AG9" s="11" t="s">
        <v>1379</v>
      </c>
      <c r="AH9" s="11" t="s">
        <v>1381</v>
      </c>
      <c r="AI9" s="11" t="s">
        <v>1256</v>
      </c>
      <c r="AJ9" s="11" t="s">
        <v>1257</v>
      </c>
      <c r="AK9" s="11" t="s">
        <v>1258</v>
      </c>
      <c r="AL9" s="11" t="s">
        <v>1259</v>
      </c>
      <c r="AM9" s="11" t="s">
        <v>1260</v>
      </c>
      <c r="AN9" s="11" t="s">
        <v>1261</v>
      </c>
      <c r="AO9" s="11" t="s">
        <v>1262</v>
      </c>
      <c r="AP9" s="11" t="s">
        <v>1383</v>
      </c>
      <c r="AQ9" s="11" t="s">
        <v>1378</v>
      </c>
      <c r="AR9" s="11" t="s">
        <v>1379</v>
      </c>
      <c r="AS9" s="11" t="s">
        <v>1381</v>
      </c>
      <c r="AT9" s="11" t="s">
        <v>1256</v>
      </c>
      <c r="AU9" s="11" t="s">
        <v>1257</v>
      </c>
      <c r="AV9" s="11" t="s">
        <v>1258</v>
      </c>
      <c r="AW9" s="11" t="s">
        <v>1259</v>
      </c>
      <c r="AX9" s="11" t="s">
        <v>1260</v>
      </c>
      <c r="AY9" s="11" t="s">
        <v>1261</v>
      </c>
      <c r="AZ9" s="11" t="s">
        <v>1262</v>
      </c>
      <c r="BA9" s="11" t="s">
        <v>1383</v>
      </c>
      <c r="BB9" s="11" t="s">
        <v>1378</v>
      </c>
      <c r="BC9" s="11" t="s">
        <v>1379</v>
      </c>
      <c r="BD9" s="11" t="s">
        <v>1381</v>
      </c>
      <c r="BE9" s="11" t="s">
        <v>1256</v>
      </c>
      <c r="BF9" s="11" t="s">
        <v>1257</v>
      </c>
      <c r="BG9" s="11" t="s">
        <v>1258</v>
      </c>
      <c r="BH9" s="11" t="s">
        <v>1259</v>
      </c>
      <c r="BI9" s="11" t="s">
        <v>1260</v>
      </c>
      <c r="BJ9" s="11" t="s">
        <v>1261</v>
      </c>
      <c r="BK9" s="11" t="s">
        <v>1262</v>
      </c>
      <c r="BL9" s="11" t="s">
        <v>1383</v>
      </c>
      <c r="BM9" s="11" t="s">
        <v>1378</v>
      </c>
      <c r="BN9" s="11" t="s">
        <v>1379</v>
      </c>
    </row>
    <row r="10" spans="1:66">
      <c r="A10" t="s">
        <v>90</v>
      </c>
      <c r="B10" t="s">
        <v>3</v>
      </c>
      <c r="C10" t="s">
        <v>4</v>
      </c>
      <c r="I10" s="15" t="s">
        <v>1407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5" t="s">
        <v>1408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1392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5" t="s">
        <v>1409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1393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5" t="s">
        <v>1410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1394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5" t="s">
        <v>1411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1395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>
      <c r="A11" t="s">
        <v>93</v>
      </c>
      <c r="B11" t="s">
        <v>5</v>
      </c>
      <c r="C11" t="s">
        <v>6</v>
      </c>
      <c r="I11" s="15"/>
      <c r="J11" t="s">
        <v>72</v>
      </c>
      <c r="K11">
        <v>8</v>
      </c>
      <c r="L11" s="10">
        <v>41149</v>
      </c>
      <c r="M11">
        <v>35</v>
      </c>
      <c r="N11">
        <v>2016</v>
      </c>
      <c r="O11" t="s">
        <v>73</v>
      </c>
      <c r="P11" t="s">
        <v>75</v>
      </c>
      <c r="Q11" t="s">
        <v>75</v>
      </c>
      <c r="R11" t="s">
        <v>76</v>
      </c>
      <c r="S11" t="s">
        <v>77</v>
      </c>
      <c r="T11" t="s">
        <v>73</v>
      </c>
      <c r="U11" t="s">
        <v>74</v>
      </c>
      <c r="V11" t="str">
        <f>min_hour(260)</f>
        <v>04:20</v>
      </c>
      <c r="W11" s="15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1393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5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1394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5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1395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5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1385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>
      <c r="A12" t="s">
        <v>94</v>
      </c>
      <c r="B12" t="s">
        <v>7</v>
      </c>
      <c r="C12" t="s">
        <v>8</v>
      </c>
      <c r="I12" s="15"/>
      <c r="J12" t="s">
        <v>72</v>
      </c>
      <c r="K12">
        <v>2</v>
      </c>
      <c r="L12" s="10">
        <v>41149</v>
      </c>
      <c r="M12">
        <v>35</v>
      </c>
      <c r="N12">
        <v>2016</v>
      </c>
      <c r="O12" t="s">
        <v>74</v>
      </c>
      <c r="P12" t="s">
        <v>75</v>
      </c>
      <c r="Q12" t="s">
        <v>75</v>
      </c>
      <c r="R12" t="s">
        <v>75</v>
      </c>
      <c r="S12" t="s">
        <v>75</v>
      </c>
      <c r="T12" t="s">
        <v>73</v>
      </c>
      <c r="U12" t="s">
        <v>75</v>
      </c>
      <c r="V12" t="str">
        <f>min_hour(-60)</f>
        <v>-01:00</v>
      </c>
      <c r="W12" s="15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133</v>
      </c>
      <c r="AE12" t="s">
        <v>1387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5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1388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5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1389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5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1390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>
      <c r="A13" t="s">
        <v>96</v>
      </c>
      <c r="B13" t="s">
        <v>9</v>
      </c>
      <c r="C13" t="s">
        <v>10</v>
      </c>
      <c r="I13" s="15"/>
      <c r="J13" t="s">
        <v>72</v>
      </c>
      <c r="K13">
        <v>3</v>
      </c>
      <c r="L13" s="10">
        <v>41149</v>
      </c>
      <c r="M13">
        <v>35</v>
      </c>
      <c r="N13">
        <v>2016</v>
      </c>
      <c r="O13" t="s">
        <v>74</v>
      </c>
      <c r="P13" t="s">
        <v>75</v>
      </c>
      <c r="Q13" t="s">
        <v>76</v>
      </c>
      <c r="R13" t="s">
        <v>77</v>
      </c>
      <c r="S13" t="s">
        <v>73</v>
      </c>
      <c r="T13" t="s">
        <v>74</v>
      </c>
      <c r="U13" t="s">
        <v>75</v>
      </c>
      <c r="V13" t="str">
        <f>min_hour(300)</f>
        <v>05:00</v>
      </c>
      <c r="W13" s="15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1388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5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1389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5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1390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5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1391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>
      <c r="A14" t="s">
        <v>97</v>
      </c>
      <c r="B14" t="s">
        <v>11</v>
      </c>
      <c r="C14" t="s">
        <v>12</v>
      </c>
      <c r="I14" s="15"/>
      <c r="J14" t="s">
        <v>72</v>
      </c>
      <c r="K14">
        <v>4</v>
      </c>
      <c r="L14" s="10">
        <v>41149</v>
      </c>
      <c r="M14">
        <v>35</v>
      </c>
      <c r="N14">
        <v>2016</v>
      </c>
      <c r="O14" t="s">
        <v>74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min_hour(300)</f>
        <v>05:00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1389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5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1390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5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1391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5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1392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>
      <c r="A15" t="s">
        <v>120</v>
      </c>
      <c r="B15" t="s">
        <v>13</v>
      </c>
      <c r="C15" t="s">
        <v>14</v>
      </c>
      <c r="I15" s="15"/>
      <c r="J15" t="s">
        <v>78</v>
      </c>
      <c r="K15">
        <v>1</v>
      </c>
      <c r="L15" s="10">
        <v>41149</v>
      </c>
      <c r="M15">
        <v>35</v>
      </c>
      <c r="N15">
        <v>2016</v>
      </c>
      <c r="O15" t="s">
        <v>91</v>
      </c>
      <c r="P15" t="s">
        <v>95</v>
      </c>
      <c r="Q15" t="s">
        <v>95</v>
      </c>
      <c r="R15" t="s">
        <v>95</v>
      </c>
      <c r="S15" t="s">
        <v>73</v>
      </c>
      <c r="T15" t="s">
        <v>91</v>
      </c>
      <c r="U15" t="s">
        <v>91</v>
      </c>
      <c r="V15" t="str">
        <f>min_hour(-1300)</f>
        <v>-21:40</v>
      </c>
      <c r="W15" s="15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1398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5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1399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5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1400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5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1401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>
      <c r="A16" t="s">
        <v>98</v>
      </c>
      <c r="B16" t="s">
        <v>13</v>
      </c>
      <c r="C16" t="s">
        <v>15</v>
      </c>
      <c r="I16" s="15"/>
      <c r="J16" t="s">
        <v>78</v>
      </c>
      <c r="K16">
        <v>6</v>
      </c>
      <c r="L16" s="10">
        <v>41149</v>
      </c>
      <c r="M16">
        <v>35</v>
      </c>
      <c r="N16">
        <v>2016</v>
      </c>
      <c r="O16" t="s">
        <v>73</v>
      </c>
      <c r="P16" t="s">
        <v>75</v>
      </c>
      <c r="Q16" t="s">
        <v>75</v>
      </c>
      <c r="R16" t="s">
        <v>76</v>
      </c>
      <c r="S16" t="s">
        <v>77</v>
      </c>
      <c r="T16" t="s">
        <v>73</v>
      </c>
      <c r="U16" t="s">
        <v>74</v>
      </c>
      <c r="V16" t="str">
        <f>min_hour(-120)</f>
        <v>-02:00</v>
      </c>
      <c r="W16" s="15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1397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5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1398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5"/>
      <c r="AT16" t="s">
        <v>74</v>
      </c>
      <c r="AU16" t="s">
        <v>134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1399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5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1400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>
      <c r="A17" t="s">
        <v>99</v>
      </c>
      <c r="B17" t="s">
        <v>16</v>
      </c>
      <c r="C17" t="s">
        <v>17</v>
      </c>
      <c r="I17" s="15"/>
      <c r="J17" t="s">
        <v>72</v>
      </c>
      <c r="K17">
        <v>9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74</v>
      </c>
      <c r="R17" t="s">
        <v>75</v>
      </c>
      <c r="S17" t="s">
        <v>73</v>
      </c>
      <c r="T17" t="s">
        <v>74</v>
      </c>
      <c r="U17" t="s">
        <v>74</v>
      </c>
      <c r="V17" t="str">
        <f>min_hour(540)</f>
        <v>09:00</v>
      </c>
      <c r="W17" s="15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1394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5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1395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5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1385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5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1386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>
      <c r="A18" t="s">
        <v>100</v>
      </c>
      <c r="B18" t="s">
        <v>18</v>
      </c>
      <c r="C18" t="s">
        <v>19</v>
      </c>
      <c r="I18" s="15"/>
      <c r="J18" t="s">
        <v>72</v>
      </c>
      <c r="K18">
        <v>11</v>
      </c>
      <c r="L18" s="10">
        <v>41149</v>
      </c>
      <c r="M18">
        <v>35</v>
      </c>
      <c r="N18">
        <v>2016</v>
      </c>
      <c r="O18" t="s">
        <v>76</v>
      </c>
      <c r="P18" t="s">
        <v>77</v>
      </c>
      <c r="Q18" t="s">
        <v>73</v>
      </c>
      <c r="R18" t="s">
        <v>75</v>
      </c>
      <c r="S18" t="s">
        <v>75</v>
      </c>
      <c r="T18" t="s">
        <v>76</v>
      </c>
      <c r="U18" t="s">
        <v>77</v>
      </c>
      <c r="V18" t="str">
        <f>min_hour(300)</f>
        <v>05:00</v>
      </c>
      <c r="W18" s="15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1385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5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1386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5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1387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5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1388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>
      <c r="A19" t="s">
        <v>101</v>
      </c>
      <c r="B19" t="s">
        <v>20</v>
      </c>
      <c r="C19" t="s">
        <v>21</v>
      </c>
      <c r="I19" s="15"/>
      <c r="J19" t="s">
        <v>72</v>
      </c>
      <c r="K19">
        <v>10</v>
      </c>
      <c r="L19" s="10">
        <v>41149</v>
      </c>
      <c r="M19">
        <v>35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74</v>
      </c>
      <c r="T19" t="s">
        <v>75</v>
      </c>
      <c r="U19" t="s">
        <v>75</v>
      </c>
      <c r="V19" t="str">
        <f>min_hour(300)</f>
        <v>05:00</v>
      </c>
      <c r="W19" s="15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1395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5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1385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5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1386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5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1387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>
      <c r="A20" t="s">
        <v>102</v>
      </c>
      <c r="B20" t="s">
        <v>22</v>
      </c>
      <c r="C20" t="s">
        <v>17</v>
      </c>
      <c r="I20" s="15"/>
      <c r="J20" t="s">
        <v>72</v>
      </c>
      <c r="K20">
        <v>5</v>
      </c>
      <c r="L20" s="10">
        <v>41149</v>
      </c>
      <c r="M20">
        <v>35</v>
      </c>
      <c r="N20">
        <v>2016</v>
      </c>
      <c r="O20" t="s">
        <v>92</v>
      </c>
      <c r="P20" t="s">
        <v>75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min_hour(640)</f>
        <v>10:40</v>
      </c>
      <c r="W20" s="15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1390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5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1391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5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1392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1393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>
      <c r="A21" t="s">
        <v>127</v>
      </c>
      <c r="B21" t="s">
        <v>23</v>
      </c>
      <c r="C21" t="s">
        <v>55</v>
      </c>
      <c r="I21" s="15"/>
      <c r="J21" t="s">
        <v>78</v>
      </c>
      <c r="K21">
        <v>2</v>
      </c>
      <c r="L21" s="10">
        <v>41149</v>
      </c>
      <c r="M21">
        <v>35</v>
      </c>
      <c r="N21">
        <v>2016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min_hour(60)</f>
        <v>01:00</v>
      </c>
      <c r="W21" s="15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1399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5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1400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5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1401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5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134</v>
      </c>
      <c r="BL21" t="s">
        <v>1396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>
      <c r="A22" t="s">
        <v>104</v>
      </c>
      <c r="B22" t="s">
        <v>25</v>
      </c>
      <c r="C22" t="s">
        <v>132</v>
      </c>
      <c r="I22" s="15"/>
      <c r="J22" t="s">
        <v>72</v>
      </c>
      <c r="K22">
        <v>1</v>
      </c>
      <c r="L22" s="10">
        <v>41149</v>
      </c>
      <c r="M22">
        <v>35</v>
      </c>
      <c r="N22">
        <v>2016</v>
      </c>
      <c r="O22" t="s">
        <v>73</v>
      </c>
      <c r="P22" t="s">
        <v>92</v>
      </c>
      <c r="Q22" t="s">
        <v>92</v>
      </c>
      <c r="R22" t="s">
        <v>92</v>
      </c>
      <c r="S22" t="s">
        <v>92</v>
      </c>
      <c r="T22" t="s">
        <v>92</v>
      </c>
      <c r="U22" t="s">
        <v>73</v>
      </c>
      <c r="V22" t="str">
        <f>min_hour(120)</f>
        <v>02:00</v>
      </c>
      <c r="W22" s="15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1386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5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1387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5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1388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5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134</v>
      </c>
      <c r="BK22" t="s">
        <v>76</v>
      </c>
      <c r="BL22" t="s">
        <v>1389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>
      <c r="A23" t="s">
        <v>129</v>
      </c>
      <c r="B23" t="s">
        <v>56</v>
      </c>
      <c r="C23" t="s">
        <v>57</v>
      </c>
      <c r="I23" s="15"/>
      <c r="J23" t="s">
        <v>72</v>
      </c>
      <c r="K23">
        <v>4</v>
      </c>
      <c r="L23" s="10">
        <v>41149</v>
      </c>
      <c r="M23">
        <v>35</v>
      </c>
      <c r="N23">
        <v>2016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min_hour(-120)</f>
        <v>-02:00</v>
      </c>
      <c r="W23" s="15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1389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5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1390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5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1391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5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1392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>
      <c r="A24" t="s">
        <v>105</v>
      </c>
      <c r="B24" t="s">
        <v>26</v>
      </c>
      <c r="C24" t="s">
        <v>27</v>
      </c>
      <c r="I24" s="15"/>
      <c r="J24" t="s">
        <v>72</v>
      </c>
      <c r="K24">
        <v>5</v>
      </c>
      <c r="L24" s="10">
        <v>41149</v>
      </c>
      <c r="M24">
        <v>35</v>
      </c>
      <c r="N24">
        <v>2016</v>
      </c>
      <c r="O24" t="s">
        <v>76</v>
      </c>
      <c r="P24" t="s">
        <v>77</v>
      </c>
      <c r="Q24" t="s">
        <v>73</v>
      </c>
      <c r="R24" t="s">
        <v>74</v>
      </c>
      <c r="S24" t="s">
        <v>75</v>
      </c>
      <c r="T24" t="s">
        <v>75</v>
      </c>
      <c r="U24" t="s">
        <v>76</v>
      </c>
      <c r="V24" t="str">
        <f>min_hour(480)</f>
        <v>08:00</v>
      </c>
      <c r="W24" s="15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1390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5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1391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5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1392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5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1393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>
      <c r="A25" t="s">
        <v>106</v>
      </c>
      <c r="B25" t="s">
        <v>28</v>
      </c>
      <c r="C25" t="s">
        <v>29</v>
      </c>
      <c r="I25" s="15"/>
      <c r="J25" t="s">
        <v>78</v>
      </c>
      <c r="K25">
        <v>4</v>
      </c>
      <c r="L25" s="10">
        <v>41149</v>
      </c>
      <c r="M25">
        <v>35</v>
      </c>
      <c r="N25">
        <v>2016</v>
      </c>
      <c r="O25" t="s">
        <v>77</v>
      </c>
      <c r="P25" t="s">
        <v>73</v>
      </c>
      <c r="Q25" t="s">
        <v>74</v>
      </c>
      <c r="R25" t="s">
        <v>74</v>
      </c>
      <c r="S25" t="s">
        <v>75</v>
      </c>
      <c r="T25" t="s">
        <v>75</v>
      </c>
      <c r="U25" t="s">
        <v>74</v>
      </c>
      <c r="V25" t="str">
        <f>min_hour(60)</f>
        <v>01:00</v>
      </c>
      <c r="W25" s="15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1401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5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1396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5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1397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5"/>
      <c r="BE25" t="s">
        <v>92</v>
      </c>
      <c r="BF25" t="s">
        <v>92</v>
      </c>
      <c r="BG25" t="s">
        <v>92</v>
      </c>
      <c r="BH25" t="s">
        <v>73</v>
      </c>
      <c r="BI25" t="s">
        <v>134</v>
      </c>
      <c r="BJ25" t="s">
        <v>75</v>
      </c>
      <c r="BK25" t="s">
        <v>75</v>
      </c>
      <c r="BL25" t="s">
        <v>1398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>
      <c r="A26" t="s">
        <v>107</v>
      </c>
      <c r="B26" t="s">
        <v>30</v>
      </c>
      <c r="C26" t="s">
        <v>8</v>
      </c>
      <c r="I26" s="15"/>
      <c r="J26" t="s">
        <v>78</v>
      </c>
      <c r="K26">
        <v>6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75</v>
      </c>
      <c r="R26" t="s">
        <v>74</v>
      </c>
      <c r="S26" t="s">
        <v>75</v>
      </c>
      <c r="T26" t="s">
        <v>73</v>
      </c>
      <c r="U26" t="s">
        <v>75</v>
      </c>
      <c r="V26" t="str">
        <f>min_hour(-720)</f>
        <v>-12:00</v>
      </c>
      <c r="W26" s="15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1397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5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1398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5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1399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5"/>
      <c r="BE26" t="s">
        <v>134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1400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>
      <c r="A27" t="s">
        <v>108</v>
      </c>
      <c r="B27" t="s">
        <v>30</v>
      </c>
      <c r="C27" t="s">
        <v>31</v>
      </c>
      <c r="I27" s="15"/>
      <c r="J27" t="s">
        <v>72</v>
      </c>
      <c r="K27">
        <v>8</v>
      </c>
      <c r="L27" s="10">
        <v>41149</v>
      </c>
      <c r="M27">
        <v>35</v>
      </c>
      <c r="N27">
        <v>2016</v>
      </c>
      <c r="O27" t="s">
        <v>92</v>
      </c>
      <c r="P27" t="s">
        <v>92</v>
      </c>
      <c r="Q27" t="s">
        <v>92</v>
      </c>
      <c r="R27" t="s">
        <v>92</v>
      </c>
      <c r="S27" t="s">
        <v>92</v>
      </c>
      <c r="T27" t="s">
        <v>73</v>
      </c>
      <c r="U27" t="s">
        <v>92</v>
      </c>
      <c r="V27" t="str">
        <f>min_hour(-60)</f>
        <v>-01:00</v>
      </c>
      <c r="W27" s="15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1393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5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1394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5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1395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5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1385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>
      <c r="A28" t="s">
        <v>122</v>
      </c>
      <c r="B28" t="s">
        <v>32</v>
      </c>
      <c r="C28" t="s">
        <v>34</v>
      </c>
      <c r="I28" s="15"/>
      <c r="J28" t="s">
        <v>78</v>
      </c>
      <c r="K28">
        <v>1</v>
      </c>
      <c r="L28" s="10">
        <v>41149</v>
      </c>
      <c r="M28">
        <v>35</v>
      </c>
      <c r="N28">
        <v>2016</v>
      </c>
      <c r="O28" t="s">
        <v>95</v>
      </c>
      <c r="P28" t="s">
        <v>95</v>
      </c>
      <c r="Q28" t="s">
        <v>95</v>
      </c>
      <c r="R28" t="s">
        <v>95</v>
      </c>
      <c r="S28" t="s">
        <v>73</v>
      </c>
      <c r="T28" t="s">
        <v>95</v>
      </c>
      <c r="U28" t="s">
        <v>95</v>
      </c>
      <c r="V28" t="str">
        <f>min_hour(300)</f>
        <v>05:00</v>
      </c>
      <c r="W28" s="15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1398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5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1399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5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1400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5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1401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>
      <c r="A29" t="s">
        <v>110</v>
      </c>
      <c r="B29" t="s">
        <v>35</v>
      </c>
      <c r="C29" t="s">
        <v>36</v>
      </c>
      <c r="I29" s="15"/>
      <c r="J29" t="s">
        <v>72</v>
      </c>
      <c r="K29">
        <v>2</v>
      </c>
      <c r="L29" s="10">
        <v>41149</v>
      </c>
      <c r="M29">
        <v>35</v>
      </c>
      <c r="N29">
        <v>2016</v>
      </c>
      <c r="O29" t="s">
        <v>75</v>
      </c>
      <c r="P29" t="s">
        <v>74</v>
      </c>
      <c r="Q29" t="s">
        <v>75</v>
      </c>
      <c r="R29" t="s">
        <v>74</v>
      </c>
      <c r="S29" t="s">
        <v>75</v>
      </c>
      <c r="T29" t="s">
        <v>73</v>
      </c>
      <c r="U29" t="s">
        <v>75</v>
      </c>
      <c r="V29" t="str">
        <f>min_hour(-200)</f>
        <v>-03:20</v>
      </c>
      <c r="W29" s="15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1387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5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1388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5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1389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5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1390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>
      <c r="A30" t="s">
        <v>130</v>
      </c>
      <c r="B30" t="s">
        <v>58</v>
      </c>
      <c r="C30" t="s">
        <v>59</v>
      </c>
      <c r="I30" s="15"/>
      <c r="J30" t="s">
        <v>78</v>
      </c>
      <c r="K30">
        <v>6</v>
      </c>
      <c r="L30" s="10">
        <v>41149</v>
      </c>
      <c r="M30">
        <v>35</v>
      </c>
      <c r="N30">
        <v>2016</v>
      </c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t="str">
        <f>min_hour(120)</f>
        <v>02:00</v>
      </c>
      <c r="W30" s="15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1397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5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1398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5"/>
      <c r="AT30" t="s">
        <v>75</v>
      </c>
      <c r="AU30" t="s">
        <v>73</v>
      </c>
      <c r="AV30" t="s">
        <v>74</v>
      </c>
      <c r="AW30" t="s">
        <v>75</v>
      </c>
      <c r="AX30" t="s">
        <v>134</v>
      </c>
      <c r="AY30" t="s">
        <v>75</v>
      </c>
      <c r="AZ30" t="s">
        <v>75</v>
      </c>
      <c r="BA30" t="s">
        <v>1399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5"/>
      <c r="BE30" t="s">
        <v>75</v>
      </c>
      <c r="BF30" t="s">
        <v>73</v>
      </c>
      <c r="BG30" t="s">
        <v>134</v>
      </c>
      <c r="BH30" t="s">
        <v>75</v>
      </c>
      <c r="BI30" t="s">
        <v>75</v>
      </c>
      <c r="BJ30" t="s">
        <v>74</v>
      </c>
      <c r="BK30" t="s">
        <v>75</v>
      </c>
      <c r="BL30" t="s">
        <v>1400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>
      <c r="A31" t="s">
        <v>111</v>
      </c>
      <c r="B31" t="s">
        <v>37</v>
      </c>
      <c r="C31" t="s">
        <v>38</v>
      </c>
      <c r="I31" s="15"/>
      <c r="J31" t="s">
        <v>72</v>
      </c>
      <c r="K31">
        <v>3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tr">
        <f>min_hour(840)</f>
        <v>14:00</v>
      </c>
      <c r="W31" s="15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1388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5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1389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5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1390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5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1391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>
      <c r="A32" t="s">
        <v>112</v>
      </c>
      <c r="B32" t="s">
        <v>39</v>
      </c>
      <c r="C32" t="s">
        <v>40</v>
      </c>
      <c r="I32" s="15"/>
      <c r="J32" t="s">
        <v>72</v>
      </c>
      <c r="K32">
        <v>6</v>
      </c>
      <c r="L32" s="10">
        <v>41149</v>
      </c>
      <c r="M32">
        <v>35</v>
      </c>
      <c r="N32">
        <v>2016</v>
      </c>
      <c r="O32" t="s">
        <v>92</v>
      </c>
      <c r="P32" t="s">
        <v>92</v>
      </c>
      <c r="Q32" t="s">
        <v>73</v>
      </c>
      <c r="R32" t="s">
        <v>92</v>
      </c>
      <c r="S32" t="s">
        <v>92</v>
      </c>
      <c r="T32" t="s">
        <v>92</v>
      </c>
      <c r="U32" t="s">
        <v>92</v>
      </c>
      <c r="V32" t="str">
        <f>min_hour(820)</f>
        <v>13:40</v>
      </c>
      <c r="W32" s="15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1391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5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1392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5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1393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5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1394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>
      <c r="A33" t="s">
        <v>113</v>
      </c>
      <c r="B33" t="s">
        <v>41</v>
      </c>
      <c r="C33" t="s">
        <v>42</v>
      </c>
      <c r="I33" s="15"/>
      <c r="J33" t="s">
        <v>72</v>
      </c>
      <c r="K33">
        <v>7</v>
      </c>
      <c r="L33" s="10">
        <v>41149</v>
      </c>
      <c r="M33">
        <v>35</v>
      </c>
      <c r="N33">
        <v>2016</v>
      </c>
      <c r="O33" t="s">
        <v>74</v>
      </c>
      <c r="P33" t="s">
        <v>75</v>
      </c>
      <c r="Q33" t="s">
        <v>75</v>
      </c>
      <c r="R33" t="s">
        <v>75</v>
      </c>
      <c r="S33" t="s">
        <v>74</v>
      </c>
      <c r="T33" t="s">
        <v>73</v>
      </c>
      <c r="U33" t="s">
        <v>75</v>
      </c>
      <c r="V33" t="str">
        <f>min_hour(560)</f>
        <v>09:20</v>
      </c>
      <c r="W33" s="15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1392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5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1393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5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1394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5"/>
      <c r="BE33" t="s">
        <v>74</v>
      </c>
      <c r="BF33" t="s">
        <v>75</v>
      </c>
      <c r="BG33" t="s">
        <v>73</v>
      </c>
      <c r="BH33" t="s">
        <v>74</v>
      </c>
      <c r="BI33" t="s">
        <v>134</v>
      </c>
      <c r="BJ33" t="s">
        <v>76</v>
      </c>
      <c r="BK33" t="s">
        <v>77</v>
      </c>
      <c r="BL33" t="s">
        <v>1395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>
      <c r="A34" t="s">
        <v>114</v>
      </c>
      <c r="B34" t="s">
        <v>43</v>
      </c>
      <c r="C34" t="s">
        <v>44</v>
      </c>
      <c r="I34" s="15"/>
      <c r="J34" t="s">
        <v>72</v>
      </c>
      <c r="K34">
        <v>10</v>
      </c>
      <c r="L34" s="10">
        <v>41149</v>
      </c>
      <c r="M34">
        <v>35</v>
      </c>
      <c r="N34">
        <v>2016</v>
      </c>
      <c r="O34" t="s">
        <v>75</v>
      </c>
      <c r="P34" t="s">
        <v>74</v>
      </c>
      <c r="Q34" t="s">
        <v>74</v>
      </c>
      <c r="R34" t="s">
        <v>75</v>
      </c>
      <c r="S34" t="s">
        <v>73</v>
      </c>
      <c r="T34" t="s">
        <v>74</v>
      </c>
      <c r="U34" t="s">
        <v>74</v>
      </c>
      <c r="V34" t="str">
        <f>min_hour(540)</f>
        <v>09:00</v>
      </c>
      <c r="W34" s="15"/>
      <c r="X34" t="s">
        <v>135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1395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5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1385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5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1386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5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1387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>
      <c r="A35" t="s">
        <v>115</v>
      </c>
      <c r="B35" t="s">
        <v>45</v>
      </c>
      <c r="C35" t="s">
        <v>46</v>
      </c>
      <c r="I35" s="15"/>
      <c r="J35" t="s">
        <v>72</v>
      </c>
      <c r="K35">
        <v>6</v>
      </c>
      <c r="L35" s="10">
        <v>41149</v>
      </c>
      <c r="M35">
        <v>35</v>
      </c>
      <c r="N35">
        <v>2016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min_hour(780)</f>
        <v>13:00</v>
      </c>
      <c r="W35" s="15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1391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5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1392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5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1393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5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1394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>
      <c r="A36" t="s">
        <v>116</v>
      </c>
      <c r="B36" t="s">
        <v>47</v>
      </c>
      <c r="C36" t="s">
        <v>48</v>
      </c>
      <c r="I36" s="15"/>
      <c r="J36" t="s">
        <v>78</v>
      </c>
      <c r="K36">
        <v>5</v>
      </c>
      <c r="L36" s="10">
        <v>41149</v>
      </c>
      <c r="M36">
        <v>35</v>
      </c>
      <c r="N36">
        <v>2016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5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1396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5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1397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5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1398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5"/>
      <c r="BE36" t="s">
        <v>75</v>
      </c>
      <c r="BF36" t="s">
        <v>75</v>
      </c>
      <c r="BG36" t="s">
        <v>73</v>
      </c>
      <c r="BH36" t="s">
        <v>134</v>
      </c>
      <c r="BI36" t="s">
        <v>75</v>
      </c>
      <c r="BJ36" t="s">
        <v>74</v>
      </c>
      <c r="BK36" t="s">
        <v>75</v>
      </c>
      <c r="BL36" t="s">
        <v>1399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>
      <c r="A37" t="s">
        <v>117</v>
      </c>
      <c r="B37" t="s">
        <v>49</v>
      </c>
      <c r="C37" t="s">
        <v>50</v>
      </c>
      <c r="I37" s="15"/>
      <c r="J37" t="s">
        <v>78</v>
      </c>
      <c r="K37">
        <v>4</v>
      </c>
      <c r="L37" s="10">
        <v>41149</v>
      </c>
      <c r="M37">
        <v>35</v>
      </c>
      <c r="N37">
        <v>2016</v>
      </c>
      <c r="O37" t="s">
        <v>92</v>
      </c>
      <c r="P37" t="s">
        <v>73</v>
      </c>
      <c r="Q37" t="s">
        <v>92</v>
      </c>
      <c r="R37" t="s">
        <v>92</v>
      </c>
      <c r="S37" t="s">
        <v>92</v>
      </c>
      <c r="T37" t="s">
        <v>92</v>
      </c>
      <c r="U37" t="s">
        <v>92</v>
      </c>
      <c r="V37" t="str">
        <f>min_hour(300)</f>
        <v>05:00</v>
      </c>
      <c r="W37" s="15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1401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5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1396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5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1397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5"/>
      <c r="BE37" t="s">
        <v>75</v>
      </c>
      <c r="BF37" t="s">
        <v>75</v>
      </c>
      <c r="BG37" t="s">
        <v>75</v>
      </c>
      <c r="BH37" t="s">
        <v>73</v>
      </c>
      <c r="BI37" t="s">
        <v>134</v>
      </c>
      <c r="BJ37" t="s">
        <v>74</v>
      </c>
      <c r="BK37" t="s">
        <v>75</v>
      </c>
      <c r="BL37" t="s">
        <v>1398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>
      <c r="A38" t="s">
        <v>118</v>
      </c>
      <c r="B38" t="s">
        <v>51</v>
      </c>
      <c r="C38" t="s">
        <v>52</v>
      </c>
      <c r="I38" s="15"/>
      <c r="J38" t="s">
        <v>72</v>
      </c>
      <c r="K38">
        <v>1</v>
      </c>
      <c r="L38" s="10">
        <v>41149</v>
      </c>
      <c r="M38">
        <v>35</v>
      </c>
      <c r="N38">
        <v>2016</v>
      </c>
      <c r="O38" t="s">
        <v>73</v>
      </c>
      <c r="P38" t="s">
        <v>74</v>
      </c>
      <c r="Q38" t="s">
        <v>75</v>
      </c>
      <c r="R38" t="s">
        <v>75</v>
      </c>
      <c r="S38" t="s">
        <v>76</v>
      </c>
      <c r="T38" t="s">
        <v>77</v>
      </c>
      <c r="U38" t="s">
        <v>73</v>
      </c>
      <c r="V38" t="str">
        <f>min_hour(-120)</f>
        <v>-02:00</v>
      </c>
      <c r="W38" s="15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1386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5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1387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5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1388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5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134</v>
      </c>
      <c r="BK38" t="s">
        <v>76</v>
      </c>
      <c r="BL38" t="s">
        <v>1389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>
      <c r="A39" t="s">
        <v>119</v>
      </c>
      <c r="B39" t="s">
        <v>53</v>
      </c>
      <c r="C39" t="s">
        <v>54</v>
      </c>
      <c r="I39" s="15"/>
      <c r="J39" t="s">
        <v>72</v>
      </c>
      <c r="K39">
        <v>11</v>
      </c>
      <c r="L39" s="10">
        <v>41149</v>
      </c>
      <c r="M39">
        <v>35</v>
      </c>
      <c r="N39">
        <v>2016</v>
      </c>
      <c r="O39" t="s">
        <v>75</v>
      </c>
      <c r="P39" t="s">
        <v>75</v>
      </c>
      <c r="Q39" t="s">
        <v>73</v>
      </c>
      <c r="R39" t="s">
        <v>75</v>
      </c>
      <c r="S39" t="s">
        <v>75</v>
      </c>
      <c r="T39" t="s">
        <v>76</v>
      </c>
      <c r="U39" t="s">
        <v>77</v>
      </c>
      <c r="V39" t="str">
        <f>min_hour(300)</f>
        <v>05:00</v>
      </c>
      <c r="W39" s="15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1385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5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1386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5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1387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5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1388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>
      <c r="A40" t="s">
        <v>103</v>
      </c>
      <c r="B40" t="s">
        <v>23</v>
      </c>
      <c r="C40" t="s">
        <v>24</v>
      </c>
      <c r="I40" s="15"/>
      <c r="J40" t="s">
        <v>78</v>
      </c>
      <c r="K40">
        <v>4</v>
      </c>
      <c r="L40" s="10">
        <v>41149</v>
      </c>
      <c r="M40">
        <v>35</v>
      </c>
      <c r="N40">
        <v>2016</v>
      </c>
      <c r="V40" t="str">
        <f>min_hour(-2300)</f>
        <v>-38:20</v>
      </c>
      <c r="W40" s="15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1401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5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1396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5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1397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5"/>
      <c r="BE40" t="s">
        <v>74</v>
      </c>
      <c r="BF40" t="s">
        <v>74</v>
      </c>
      <c r="BG40" t="s">
        <v>134</v>
      </c>
      <c r="BH40" t="s">
        <v>73</v>
      </c>
      <c r="BI40" t="s">
        <v>74</v>
      </c>
      <c r="BJ40" t="s">
        <v>74</v>
      </c>
      <c r="BK40" t="s">
        <v>74</v>
      </c>
      <c r="BL40" t="s">
        <v>1398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>
      <c r="A41" t="s">
        <v>109</v>
      </c>
      <c r="B41" t="s">
        <v>32</v>
      </c>
      <c r="C41" t="s">
        <v>33</v>
      </c>
      <c r="I41" s="15"/>
      <c r="J41" t="s">
        <v>72</v>
      </c>
      <c r="K41">
        <v>9</v>
      </c>
      <c r="L41" s="10">
        <v>41149</v>
      </c>
      <c r="M41">
        <v>35</v>
      </c>
      <c r="N41">
        <v>2016</v>
      </c>
      <c r="O41" t="s">
        <v>132</v>
      </c>
      <c r="V41" t="str">
        <f>min_hour(-2040)</f>
        <v>-34:00</v>
      </c>
      <c r="W41" s="15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1394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5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1395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5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1385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5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1386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24" priority="1" operator="equal">
      <formula>"RC"</formula>
    </cfRule>
    <cfRule type="cellIs" dxfId="23" priority="2" operator="equal">
      <formula>"R"</formula>
    </cfRule>
    <cfRule type="cellIs" dxfId="22" priority="3" operator="equal">
      <formula>"S"</formula>
    </cfRule>
    <cfRule type="cellIs" dxfId="21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>
      <c r="A1">
        <v>40</v>
      </c>
    </row>
    <row r="2" spans="1:77">
      <c r="A2">
        <v>44</v>
      </c>
    </row>
    <row r="8" spans="1:77" s="11" customFormat="1">
      <c r="L8" s="12"/>
      <c r="X8" s="12">
        <v>41184</v>
      </c>
      <c r="Y8" s="12">
        <v>41185</v>
      </c>
      <c r="Z8" s="12">
        <v>41186</v>
      </c>
      <c r="AA8" s="12">
        <v>41187</v>
      </c>
      <c r="AB8" s="12">
        <v>41188</v>
      </c>
      <c r="AC8" s="12">
        <v>41189</v>
      </c>
      <c r="AD8" s="12">
        <v>41190</v>
      </c>
      <c r="AE8" s="11">
        <v>40</v>
      </c>
      <c r="AI8" s="12">
        <v>41191</v>
      </c>
      <c r="AJ8" s="12">
        <v>41192</v>
      </c>
      <c r="AK8" s="12">
        <v>41193</v>
      </c>
      <c r="AL8" s="12">
        <v>41194</v>
      </c>
      <c r="AM8" s="12">
        <v>41195</v>
      </c>
      <c r="AN8" s="12">
        <v>41196</v>
      </c>
      <c r="AO8" s="12">
        <v>41197</v>
      </c>
      <c r="AP8" s="11">
        <v>41</v>
      </c>
      <c r="AT8" s="12">
        <v>41198</v>
      </c>
      <c r="AU8" s="12">
        <v>41199</v>
      </c>
      <c r="AV8" s="12">
        <v>41200</v>
      </c>
      <c r="AW8" s="12">
        <v>41201</v>
      </c>
      <c r="AX8" s="12">
        <v>41202</v>
      </c>
      <c r="AY8" s="12">
        <v>41203</v>
      </c>
      <c r="AZ8" s="12">
        <v>41204</v>
      </c>
      <c r="BA8" s="11">
        <v>42</v>
      </c>
      <c r="BE8" s="12">
        <v>41205</v>
      </c>
      <c r="BF8" s="12">
        <v>41206</v>
      </c>
      <c r="BG8" s="12">
        <v>41207</v>
      </c>
      <c r="BH8" s="12">
        <v>41208</v>
      </c>
      <c r="BI8" s="12">
        <v>41209</v>
      </c>
      <c r="BJ8" s="12">
        <v>41210</v>
      </c>
      <c r="BK8" s="12">
        <v>41211</v>
      </c>
      <c r="BL8" s="11">
        <v>43</v>
      </c>
      <c r="BP8" s="12">
        <v>41212</v>
      </c>
      <c r="BQ8" s="12">
        <v>41213</v>
      </c>
      <c r="BR8" s="12">
        <v>41214</v>
      </c>
      <c r="BS8" s="12">
        <v>41215</v>
      </c>
      <c r="BT8" s="12">
        <v>41216</v>
      </c>
      <c r="BU8" s="12">
        <v>41217</v>
      </c>
      <c r="BV8" s="12">
        <v>41218</v>
      </c>
      <c r="BW8" s="11">
        <v>44</v>
      </c>
    </row>
    <row r="9" spans="1:77" s="11" customFormat="1">
      <c r="A9" s="11" t="s">
        <v>0</v>
      </c>
      <c r="B9" s="11" t="s">
        <v>1</v>
      </c>
      <c r="C9" s="11" t="s">
        <v>2</v>
      </c>
      <c r="J9" s="11" t="s">
        <v>61</v>
      </c>
      <c r="K9" s="11" t="s">
        <v>60</v>
      </c>
      <c r="L9" s="12" t="s">
        <v>82</v>
      </c>
      <c r="M9" s="11" t="s">
        <v>81</v>
      </c>
      <c r="N9" s="11" t="s">
        <v>80</v>
      </c>
      <c r="O9" s="11" t="s">
        <v>85</v>
      </c>
      <c r="P9" s="11" t="s">
        <v>86</v>
      </c>
      <c r="Q9" s="11" t="s">
        <v>87</v>
      </c>
      <c r="R9" s="11" t="s">
        <v>84</v>
      </c>
      <c r="S9" s="11" t="s">
        <v>89</v>
      </c>
      <c r="T9" s="11" t="s">
        <v>88</v>
      </c>
      <c r="U9" s="11" t="s">
        <v>83</v>
      </c>
      <c r="V9" s="11" t="s">
        <v>1380</v>
      </c>
      <c r="W9" s="11" t="s">
        <v>1381</v>
      </c>
      <c r="X9" s="11" t="s">
        <v>1256</v>
      </c>
      <c r="Y9" s="11" t="s">
        <v>1257</v>
      </c>
      <c r="Z9" s="11" t="s">
        <v>1258</v>
      </c>
      <c r="AA9" s="11" t="s">
        <v>1259</v>
      </c>
      <c r="AB9" s="11" t="s">
        <v>1260</v>
      </c>
      <c r="AC9" s="11" t="s">
        <v>1261</v>
      </c>
      <c r="AD9" s="11" t="s">
        <v>1262</v>
      </c>
      <c r="AE9" s="11" t="s">
        <v>1383</v>
      </c>
      <c r="AF9" s="11" t="s">
        <v>1378</v>
      </c>
      <c r="AG9" s="11" t="s">
        <v>1379</v>
      </c>
      <c r="AH9" s="11" t="s">
        <v>1381</v>
      </c>
      <c r="AI9" s="11" t="s">
        <v>1256</v>
      </c>
      <c r="AJ9" s="11" t="s">
        <v>1257</v>
      </c>
      <c r="AK9" s="11" t="s">
        <v>1258</v>
      </c>
      <c r="AL9" s="11" t="s">
        <v>1259</v>
      </c>
      <c r="AM9" s="11" t="s">
        <v>1260</v>
      </c>
      <c r="AN9" s="11" t="s">
        <v>1261</v>
      </c>
      <c r="AO9" s="11" t="s">
        <v>1262</v>
      </c>
      <c r="AP9" s="11" t="s">
        <v>1383</v>
      </c>
      <c r="AQ9" s="11" t="s">
        <v>1378</v>
      </c>
      <c r="AR9" s="11" t="s">
        <v>1379</v>
      </c>
      <c r="AS9" s="11" t="s">
        <v>1381</v>
      </c>
      <c r="AT9" s="11" t="s">
        <v>1256</v>
      </c>
      <c r="AU9" s="11" t="s">
        <v>1257</v>
      </c>
      <c r="AV9" s="11" t="s">
        <v>1258</v>
      </c>
      <c r="AW9" s="11" t="s">
        <v>1259</v>
      </c>
      <c r="AX9" s="11" t="s">
        <v>1260</v>
      </c>
      <c r="AY9" s="11" t="s">
        <v>1261</v>
      </c>
      <c r="AZ9" s="11" t="s">
        <v>1262</v>
      </c>
      <c r="BA9" s="11" t="s">
        <v>1383</v>
      </c>
      <c r="BB9" s="11" t="s">
        <v>1378</v>
      </c>
      <c r="BC9" s="11" t="s">
        <v>1379</v>
      </c>
      <c r="BD9" s="11" t="s">
        <v>1381</v>
      </c>
      <c r="BE9" s="11" t="s">
        <v>1256</v>
      </c>
      <c r="BF9" s="11" t="s">
        <v>1257</v>
      </c>
      <c r="BG9" s="11" t="s">
        <v>1258</v>
      </c>
      <c r="BH9" s="11" t="s">
        <v>1259</v>
      </c>
      <c r="BI9" s="11" t="s">
        <v>1260</v>
      </c>
      <c r="BJ9" s="11" t="s">
        <v>1261</v>
      </c>
      <c r="BK9" s="11" t="s">
        <v>1262</v>
      </c>
      <c r="BL9" s="11" t="s">
        <v>1383</v>
      </c>
      <c r="BM9" s="11" t="s">
        <v>1378</v>
      </c>
      <c r="BN9" s="11" t="s">
        <v>1379</v>
      </c>
      <c r="BO9" s="11" t="s">
        <v>1381</v>
      </c>
      <c r="BP9" s="11" t="s">
        <v>1256</v>
      </c>
      <c r="BQ9" s="11" t="s">
        <v>1257</v>
      </c>
      <c r="BR9" s="11" t="s">
        <v>1258</v>
      </c>
      <c r="BS9" s="11" t="s">
        <v>1259</v>
      </c>
      <c r="BT9" s="11" t="s">
        <v>1260</v>
      </c>
      <c r="BU9" s="11" t="s">
        <v>1261</v>
      </c>
      <c r="BV9" s="11" t="s">
        <v>1262</v>
      </c>
      <c r="BW9" s="11" t="s">
        <v>1383</v>
      </c>
      <c r="BX9" s="11" t="s">
        <v>1378</v>
      </c>
      <c r="BY9" s="11" t="s">
        <v>1379</v>
      </c>
    </row>
    <row r="10" spans="1:77">
      <c r="A10" t="s">
        <v>90</v>
      </c>
      <c r="B10" t="s">
        <v>3</v>
      </c>
      <c r="C10" t="s">
        <v>4</v>
      </c>
      <c r="I10" s="15" t="s">
        <v>1384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5" t="s">
        <v>1402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1385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5" t="s">
        <v>1403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1386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5" t="s">
        <v>1404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1387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5" t="s">
        <v>1405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1388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5" t="s">
        <v>1406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1389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>
      <c r="A11" t="s">
        <v>93</v>
      </c>
      <c r="B11" t="s">
        <v>5</v>
      </c>
      <c r="C11" t="s">
        <v>6</v>
      </c>
      <c r="I11" s="15"/>
      <c r="J11" t="s">
        <v>72</v>
      </c>
      <c r="K11">
        <v>1</v>
      </c>
      <c r="L11" s="10">
        <v>41177</v>
      </c>
      <c r="M11">
        <v>39</v>
      </c>
      <c r="N11">
        <v>2016</v>
      </c>
      <c r="O11" t="s">
        <v>73</v>
      </c>
      <c r="P11" t="s">
        <v>74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min_hour(-360)</f>
        <v>-06:00</v>
      </c>
      <c r="W11" s="15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1386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5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1387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5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1388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5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1389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5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1390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>
      <c r="A12" t="s">
        <v>94</v>
      </c>
      <c r="B12" t="s">
        <v>7</v>
      </c>
      <c r="C12" t="s">
        <v>8</v>
      </c>
      <c r="I12" s="15"/>
      <c r="J12" t="s">
        <v>72</v>
      </c>
      <c r="K12">
        <v>6</v>
      </c>
      <c r="L12" s="10">
        <v>41177</v>
      </c>
      <c r="M12">
        <v>39</v>
      </c>
      <c r="N12">
        <v>2016</v>
      </c>
      <c r="O12" t="s">
        <v>77</v>
      </c>
      <c r="P12" t="s">
        <v>73</v>
      </c>
      <c r="Q12" t="s">
        <v>74</v>
      </c>
      <c r="R12" t="s">
        <v>75</v>
      </c>
      <c r="S12" t="s">
        <v>75</v>
      </c>
      <c r="T12" t="s">
        <v>75</v>
      </c>
      <c r="U12" t="s">
        <v>74</v>
      </c>
      <c r="V12" t="str">
        <f>min_hour(-360)</f>
        <v>-06:00</v>
      </c>
      <c r="W12" s="15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1391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5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1392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5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1393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5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1394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5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1395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>
      <c r="A13" t="s">
        <v>96</v>
      </c>
      <c r="B13" t="s">
        <v>9</v>
      </c>
      <c r="C13" t="s">
        <v>10</v>
      </c>
      <c r="I13" s="15"/>
      <c r="J13" t="s">
        <v>72</v>
      </c>
      <c r="K13">
        <v>7</v>
      </c>
      <c r="L13" s="10">
        <v>41177</v>
      </c>
      <c r="M13">
        <v>39</v>
      </c>
      <c r="N13">
        <v>2016</v>
      </c>
      <c r="O13" t="s">
        <v>73</v>
      </c>
      <c r="P13" t="s">
        <v>74</v>
      </c>
      <c r="Q13" t="s">
        <v>75</v>
      </c>
      <c r="R13" t="s">
        <v>74</v>
      </c>
      <c r="S13" t="s">
        <v>75</v>
      </c>
      <c r="T13" t="s">
        <v>75</v>
      </c>
      <c r="U13" t="s">
        <v>73</v>
      </c>
      <c r="V13" t="str">
        <f>min_hour(120)</f>
        <v>02:00</v>
      </c>
      <c r="W13" s="15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1392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5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1393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5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1394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5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1395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5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1385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>
      <c r="A14" t="s">
        <v>97</v>
      </c>
      <c r="B14" t="s">
        <v>11</v>
      </c>
      <c r="C14" t="s">
        <v>12</v>
      </c>
      <c r="I14" s="15"/>
      <c r="J14" t="s">
        <v>72</v>
      </c>
      <c r="K14">
        <v>8</v>
      </c>
      <c r="L14" s="10">
        <v>41177</v>
      </c>
      <c r="M14">
        <v>39</v>
      </c>
      <c r="N14">
        <v>2016</v>
      </c>
      <c r="O14" t="s">
        <v>74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>min_hour(120)</f>
        <v>02:00</v>
      </c>
      <c r="W14" s="15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1393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5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1394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5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1395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5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1385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5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1386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>
      <c r="A15" t="s">
        <v>120</v>
      </c>
      <c r="B15" t="s">
        <v>13</v>
      </c>
      <c r="C15" t="s">
        <v>14</v>
      </c>
      <c r="I15" s="15"/>
      <c r="J15" t="s">
        <v>78</v>
      </c>
      <c r="K15">
        <v>5</v>
      </c>
      <c r="L15" s="10">
        <v>41177</v>
      </c>
      <c r="M15">
        <v>39</v>
      </c>
      <c r="N15">
        <v>2016</v>
      </c>
      <c r="O15" t="s">
        <v>73</v>
      </c>
      <c r="P15" t="s">
        <v>125</v>
      </c>
      <c r="Q15" t="s">
        <v>75</v>
      </c>
      <c r="R15" t="s">
        <v>125</v>
      </c>
      <c r="S15" t="s">
        <v>75</v>
      </c>
      <c r="T15" t="s">
        <v>75</v>
      </c>
      <c r="U15" t="s">
        <v>73</v>
      </c>
      <c r="V15" t="str">
        <f>min_hour(-1840)</f>
        <v>-30:40</v>
      </c>
      <c r="W15" s="15"/>
      <c r="X15" t="s">
        <v>126</v>
      </c>
      <c r="Y15" t="s">
        <v>126</v>
      </c>
      <c r="Z15" t="s">
        <v>126</v>
      </c>
      <c r="AA15" t="s">
        <v>126</v>
      </c>
      <c r="AB15" t="s">
        <v>126</v>
      </c>
      <c r="AC15" t="s">
        <v>126</v>
      </c>
      <c r="AD15" t="s">
        <v>126</v>
      </c>
      <c r="AE15" t="s">
        <v>1396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5"/>
      <c r="AI15" t="s">
        <v>126</v>
      </c>
      <c r="AJ15" t="s">
        <v>126</v>
      </c>
      <c r="AK15" t="s">
        <v>126</v>
      </c>
      <c r="AL15" t="s">
        <v>126</v>
      </c>
      <c r="AM15" t="s">
        <v>126</v>
      </c>
      <c r="AN15" t="s">
        <v>126</v>
      </c>
      <c r="AO15" t="s">
        <v>126</v>
      </c>
      <c r="AP15" t="s">
        <v>1397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5"/>
      <c r="AT15" t="s">
        <v>126</v>
      </c>
      <c r="AU15" t="s">
        <v>126</v>
      </c>
      <c r="AV15" t="s">
        <v>126</v>
      </c>
      <c r="AW15" t="s">
        <v>126</v>
      </c>
      <c r="AX15" t="s">
        <v>126</v>
      </c>
      <c r="AY15" t="s">
        <v>126</v>
      </c>
      <c r="AZ15" t="s">
        <v>126</v>
      </c>
      <c r="BA15" t="s">
        <v>1398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5"/>
      <c r="BE15" t="s">
        <v>126</v>
      </c>
      <c r="BF15" t="s">
        <v>126</v>
      </c>
      <c r="BG15" t="s">
        <v>126</v>
      </c>
      <c r="BH15" t="s">
        <v>126</v>
      </c>
      <c r="BI15" t="s">
        <v>126</v>
      </c>
      <c r="BJ15" t="s">
        <v>126</v>
      </c>
      <c r="BK15" t="s">
        <v>126</v>
      </c>
      <c r="BL15" t="s">
        <v>1399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5"/>
      <c r="BP15" t="s">
        <v>126</v>
      </c>
      <c r="BQ15" t="s">
        <v>126</v>
      </c>
      <c r="BR15" t="s">
        <v>126</v>
      </c>
      <c r="BS15" t="s">
        <v>126</v>
      </c>
      <c r="BT15" t="s">
        <v>126</v>
      </c>
      <c r="BU15" t="s">
        <v>126</v>
      </c>
      <c r="BV15" t="s">
        <v>126</v>
      </c>
      <c r="BW15" t="s">
        <v>1400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>
      <c r="A16" t="s">
        <v>98</v>
      </c>
      <c r="B16" t="s">
        <v>13</v>
      </c>
      <c r="C16" t="s">
        <v>15</v>
      </c>
      <c r="I16" s="15"/>
      <c r="J16" t="s">
        <v>78</v>
      </c>
      <c r="K16">
        <v>4</v>
      </c>
      <c r="L16" s="10">
        <v>41177</v>
      </c>
      <c r="M16">
        <v>39</v>
      </c>
      <c r="N16">
        <v>2016</v>
      </c>
      <c r="O16" t="s">
        <v>75</v>
      </c>
      <c r="P16" t="s">
        <v>73</v>
      </c>
      <c r="Q16" t="s">
        <v>75</v>
      </c>
      <c r="R16" t="s">
        <v>75</v>
      </c>
      <c r="S16" t="s">
        <v>75</v>
      </c>
      <c r="T16" t="s">
        <v>74</v>
      </c>
      <c r="U16" t="s">
        <v>75</v>
      </c>
      <c r="V16" t="str">
        <f>min_hour(780)</f>
        <v>13:00</v>
      </c>
      <c r="W16" s="15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1401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5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1396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5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1397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1398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5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1399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>
      <c r="A17" t="s">
        <v>99</v>
      </c>
      <c r="B17" t="s">
        <v>16</v>
      </c>
      <c r="C17" t="s">
        <v>17</v>
      </c>
      <c r="I17" s="15"/>
      <c r="J17" t="s">
        <v>72</v>
      </c>
      <c r="K17">
        <v>2</v>
      </c>
      <c r="L17" s="10">
        <v>41177</v>
      </c>
      <c r="M17">
        <v>39</v>
      </c>
      <c r="N17">
        <v>2016</v>
      </c>
      <c r="O17" t="s">
        <v>74</v>
      </c>
      <c r="P17" t="s">
        <v>75</v>
      </c>
      <c r="Q17" t="s">
        <v>74</v>
      </c>
      <c r="R17" t="s">
        <v>75</v>
      </c>
      <c r="S17" t="s">
        <v>75</v>
      </c>
      <c r="T17" t="s">
        <v>73</v>
      </c>
      <c r="U17" t="s">
        <v>74</v>
      </c>
      <c r="V17" t="str">
        <f>min_hour(-540)</f>
        <v>-09:00</v>
      </c>
      <c r="W17" s="15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1387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5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1388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5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1389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5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1390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5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1391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>
      <c r="A18" t="s">
        <v>100</v>
      </c>
      <c r="B18" t="s">
        <v>18</v>
      </c>
      <c r="C18" t="s">
        <v>19</v>
      </c>
      <c r="I18" s="15"/>
      <c r="J18" t="s">
        <v>72</v>
      </c>
      <c r="K18">
        <v>4</v>
      </c>
      <c r="L18" s="10">
        <v>41177</v>
      </c>
      <c r="M18">
        <v>39</v>
      </c>
      <c r="N18">
        <v>2016</v>
      </c>
      <c r="O18" t="s">
        <v>74</v>
      </c>
      <c r="P18" t="s">
        <v>75</v>
      </c>
      <c r="Q18" t="s">
        <v>75</v>
      </c>
      <c r="R18" t="s">
        <v>73</v>
      </c>
      <c r="S18" t="s">
        <v>74</v>
      </c>
      <c r="T18" t="s">
        <v>75</v>
      </c>
      <c r="U18" t="s">
        <v>75</v>
      </c>
      <c r="V18" t="str">
        <f>min_hour(60)</f>
        <v>01:00</v>
      </c>
      <c r="W18" s="15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1389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5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1390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5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1391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1392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1393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>
      <c r="A19" t="s">
        <v>101</v>
      </c>
      <c r="B19" t="s">
        <v>20</v>
      </c>
      <c r="C19" t="s">
        <v>21</v>
      </c>
      <c r="I19" s="15"/>
      <c r="J19" t="s">
        <v>72</v>
      </c>
      <c r="K19">
        <v>3</v>
      </c>
      <c r="L19" s="10">
        <v>41177</v>
      </c>
      <c r="M19">
        <v>39</v>
      </c>
      <c r="N19">
        <v>2016</v>
      </c>
      <c r="O19" t="s">
        <v>75</v>
      </c>
      <c r="P19" t="s">
        <v>75</v>
      </c>
      <c r="Q19" t="s">
        <v>76</v>
      </c>
      <c r="R19" t="s">
        <v>77</v>
      </c>
      <c r="S19" t="s">
        <v>73</v>
      </c>
      <c r="T19" t="s">
        <v>74</v>
      </c>
      <c r="U19" t="s">
        <v>75</v>
      </c>
      <c r="V19" t="str">
        <f>min_hour(-360)</f>
        <v>-06:00</v>
      </c>
      <c r="W19" s="15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1388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5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1389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5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1390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5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1391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5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1392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>
      <c r="A20" t="s">
        <v>102</v>
      </c>
      <c r="B20" t="s">
        <v>22</v>
      </c>
      <c r="C20" t="s">
        <v>17</v>
      </c>
      <c r="I20" s="15"/>
      <c r="J20" t="s">
        <v>78</v>
      </c>
      <c r="K20">
        <v>1</v>
      </c>
      <c r="L20" s="10">
        <v>41177</v>
      </c>
      <c r="M20">
        <v>39</v>
      </c>
      <c r="N20">
        <v>2016</v>
      </c>
      <c r="O20" t="s">
        <v>75</v>
      </c>
      <c r="P20" t="s">
        <v>74</v>
      </c>
      <c r="Q20" t="s">
        <v>74</v>
      </c>
      <c r="R20" t="s">
        <v>75</v>
      </c>
      <c r="S20" t="s">
        <v>73</v>
      </c>
      <c r="T20" t="s">
        <v>74</v>
      </c>
      <c r="U20" t="s">
        <v>75</v>
      </c>
      <c r="V20" t="str">
        <f>min_hour(540)</f>
        <v>09:00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1398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5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1399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5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1400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5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1401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5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1396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>
      <c r="A21" t="s">
        <v>103</v>
      </c>
      <c r="B21" t="s">
        <v>23</v>
      </c>
      <c r="C21" t="s">
        <v>24</v>
      </c>
      <c r="I21" s="15"/>
      <c r="J21" t="s">
        <v>78</v>
      </c>
      <c r="K21">
        <v>2</v>
      </c>
      <c r="L21" s="10">
        <v>41177</v>
      </c>
      <c r="M21">
        <v>39</v>
      </c>
      <c r="N21">
        <v>2016</v>
      </c>
      <c r="O21" t="s">
        <v>74</v>
      </c>
      <c r="P21" t="s">
        <v>74</v>
      </c>
      <c r="Q21" t="s">
        <v>134</v>
      </c>
      <c r="R21" t="s">
        <v>73</v>
      </c>
      <c r="S21" t="s">
        <v>74</v>
      </c>
      <c r="T21" t="s">
        <v>74</v>
      </c>
      <c r="U21" t="s">
        <v>74</v>
      </c>
      <c r="V21" t="str">
        <f>min_hour(-1740)</f>
        <v>-29:00</v>
      </c>
      <c r="W21" s="15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1399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5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1400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5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1401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5"/>
      <c r="BE21" t="s">
        <v>75</v>
      </c>
      <c r="BF21" t="s">
        <v>74</v>
      </c>
      <c r="BG21" t="s">
        <v>75</v>
      </c>
      <c r="BH21" t="s">
        <v>74</v>
      </c>
      <c r="BI21" t="s">
        <v>134</v>
      </c>
      <c r="BJ21" t="s">
        <v>73</v>
      </c>
      <c r="BK21" t="s">
        <v>75</v>
      </c>
      <c r="BL21" t="s">
        <v>1396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5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1397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>
      <c r="A22" t="s">
        <v>127</v>
      </c>
      <c r="B22" t="s">
        <v>23</v>
      </c>
      <c r="C22" t="s">
        <v>55</v>
      </c>
      <c r="I22" s="15"/>
      <c r="J22" t="s">
        <v>72</v>
      </c>
      <c r="K22">
        <v>2</v>
      </c>
      <c r="L22" s="10">
        <v>41177</v>
      </c>
      <c r="M22">
        <v>39</v>
      </c>
      <c r="N22">
        <v>2016</v>
      </c>
      <c r="O22" t="s">
        <v>74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134</v>
      </c>
      <c r="V22" t="str">
        <f>min_hour(180)</f>
        <v>03:00</v>
      </c>
      <c r="W22" s="15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1387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5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1388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5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1389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5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1390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5"/>
      <c r="BP22" t="s">
        <v>73</v>
      </c>
      <c r="BQ22" t="s">
        <v>74</v>
      </c>
      <c r="BR22" t="s">
        <v>75</v>
      </c>
      <c r="BS22" t="s">
        <v>134</v>
      </c>
      <c r="BT22" t="s">
        <v>74</v>
      </c>
      <c r="BU22" t="s">
        <v>75</v>
      </c>
      <c r="BV22" t="s">
        <v>73</v>
      </c>
      <c r="BW22" t="s">
        <v>1391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>
      <c r="A23" t="s">
        <v>104</v>
      </c>
      <c r="B23" t="s">
        <v>25</v>
      </c>
      <c r="C23" t="s">
        <v>132</v>
      </c>
      <c r="I23" s="15"/>
      <c r="J23" t="s">
        <v>72</v>
      </c>
      <c r="K23">
        <v>5</v>
      </c>
      <c r="L23" s="10">
        <v>41177</v>
      </c>
      <c r="M23">
        <v>39</v>
      </c>
      <c r="N23">
        <v>2016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134</v>
      </c>
      <c r="U23" t="s">
        <v>76</v>
      </c>
      <c r="V23" t="str">
        <f>min_hour(720)</f>
        <v>12:00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1390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5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1391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5"/>
      <c r="AT23" t="s">
        <v>75</v>
      </c>
      <c r="AU23" t="s">
        <v>134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1392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5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1393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1394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>
      <c r="A24" t="s">
        <v>129</v>
      </c>
      <c r="B24" t="s">
        <v>56</v>
      </c>
      <c r="C24" t="s">
        <v>57</v>
      </c>
      <c r="I24" s="15"/>
      <c r="J24" t="s">
        <v>72</v>
      </c>
      <c r="K24">
        <v>8</v>
      </c>
      <c r="L24" s="10">
        <v>41177</v>
      </c>
      <c r="M24">
        <v>39</v>
      </c>
      <c r="N24">
        <v>2016</v>
      </c>
      <c r="O24" t="s">
        <v>74</v>
      </c>
      <c r="P24" t="s">
        <v>75</v>
      </c>
      <c r="Q24" t="s">
        <v>75</v>
      </c>
      <c r="R24" t="s">
        <v>76</v>
      </c>
      <c r="S24" t="s">
        <v>77</v>
      </c>
      <c r="T24" t="s">
        <v>73</v>
      </c>
      <c r="U24" t="s">
        <v>74</v>
      </c>
      <c r="V24" t="str">
        <f>min_hour(-360)</f>
        <v>-06:00</v>
      </c>
      <c r="W24" s="15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1393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5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1394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5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1395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5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1385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5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1386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>
      <c r="A25" t="s">
        <v>105</v>
      </c>
      <c r="B25" t="s">
        <v>26</v>
      </c>
      <c r="C25" t="s">
        <v>27</v>
      </c>
      <c r="I25" s="15"/>
      <c r="J25" t="s">
        <v>72</v>
      </c>
      <c r="K25">
        <v>9</v>
      </c>
      <c r="L25" s="10">
        <v>41177</v>
      </c>
      <c r="M25">
        <v>39</v>
      </c>
      <c r="N25">
        <v>2016</v>
      </c>
      <c r="O25" t="s">
        <v>75</v>
      </c>
      <c r="P25" t="s">
        <v>75</v>
      </c>
      <c r="Q25" t="s">
        <v>74</v>
      </c>
      <c r="R25" t="s">
        <v>75</v>
      </c>
      <c r="S25" t="s">
        <v>73</v>
      </c>
      <c r="T25" t="s">
        <v>92</v>
      </c>
      <c r="U25" t="s">
        <v>92</v>
      </c>
      <c r="V25" t="str">
        <f>min_hour(540)</f>
        <v>09:00</v>
      </c>
      <c r="W25" s="15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1394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1395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5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1385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5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1386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5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1387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>
      <c r="A26" t="s">
        <v>106</v>
      </c>
      <c r="B26" t="s">
        <v>28</v>
      </c>
      <c r="C26" t="s">
        <v>29</v>
      </c>
      <c r="I26" s="15"/>
      <c r="J26" t="s">
        <v>72</v>
      </c>
      <c r="K26">
        <v>4</v>
      </c>
      <c r="L26" s="10">
        <v>41177</v>
      </c>
      <c r="M26">
        <v>39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134</v>
      </c>
      <c r="T26" t="s">
        <v>75</v>
      </c>
      <c r="U26" t="s">
        <v>75</v>
      </c>
      <c r="V26" t="str">
        <f>min_hour(780)</f>
        <v>13:00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1389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5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1390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5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1391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134</v>
      </c>
      <c r="BL26" t="s">
        <v>1392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5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1393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>
      <c r="A27" t="s">
        <v>107</v>
      </c>
      <c r="B27" t="s">
        <v>30</v>
      </c>
      <c r="C27" t="s">
        <v>8</v>
      </c>
      <c r="I27" s="15"/>
      <c r="J27" t="s">
        <v>78</v>
      </c>
      <c r="K27">
        <v>4</v>
      </c>
      <c r="L27" s="10">
        <v>41177</v>
      </c>
      <c r="M27">
        <v>39</v>
      </c>
      <c r="N27">
        <v>2016</v>
      </c>
      <c r="O27" t="s">
        <v>134</v>
      </c>
      <c r="P27" t="s">
        <v>73</v>
      </c>
      <c r="Q27" t="s">
        <v>125</v>
      </c>
      <c r="R27" t="s">
        <v>125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5"/>
      <c r="X27" t="s">
        <v>73</v>
      </c>
      <c r="Y27" t="s">
        <v>92</v>
      </c>
      <c r="Z27" t="s">
        <v>92</v>
      </c>
      <c r="AA27" t="s">
        <v>92</v>
      </c>
      <c r="AB27" t="s">
        <v>1298</v>
      </c>
      <c r="AC27" t="s">
        <v>75</v>
      </c>
      <c r="AD27" t="s">
        <v>73</v>
      </c>
      <c r="AE27" t="s">
        <v>1401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5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1396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5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1298</v>
      </c>
      <c r="AZ27" t="s">
        <v>75</v>
      </c>
      <c r="BA27" t="s">
        <v>1397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5"/>
      <c r="BE27" t="s">
        <v>74</v>
      </c>
      <c r="BF27" t="s">
        <v>75</v>
      </c>
      <c r="BG27" t="s">
        <v>134</v>
      </c>
      <c r="BH27" t="s">
        <v>73</v>
      </c>
      <c r="BI27" t="s">
        <v>75</v>
      </c>
      <c r="BJ27" t="s">
        <v>1298</v>
      </c>
      <c r="BK27" t="s">
        <v>75</v>
      </c>
      <c r="BL27" t="s">
        <v>1398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5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1399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>
      <c r="A28" t="s">
        <v>108</v>
      </c>
      <c r="B28" t="s">
        <v>30</v>
      </c>
      <c r="C28" t="s">
        <v>31</v>
      </c>
      <c r="I28" s="15"/>
      <c r="J28" t="s">
        <v>72</v>
      </c>
      <c r="K28">
        <v>1</v>
      </c>
      <c r="L28" s="10">
        <v>41177</v>
      </c>
      <c r="M28">
        <v>39</v>
      </c>
      <c r="N28">
        <v>2016</v>
      </c>
      <c r="O28" t="s">
        <v>73</v>
      </c>
      <c r="P28" t="s">
        <v>75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min_hour(-120)</f>
        <v>-02:00</v>
      </c>
      <c r="W28" s="15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1386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5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1387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5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1388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5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1389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5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1390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>
      <c r="A29" t="s">
        <v>109</v>
      </c>
      <c r="B29" t="s">
        <v>32</v>
      </c>
      <c r="C29" t="s">
        <v>33</v>
      </c>
      <c r="I29" s="15"/>
      <c r="J29" t="s">
        <v>78</v>
      </c>
      <c r="K29">
        <v>6</v>
      </c>
      <c r="L29" s="10">
        <v>41177</v>
      </c>
      <c r="M29">
        <v>39</v>
      </c>
      <c r="N29">
        <v>2016</v>
      </c>
      <c r="O29" t="s">
        <v>74</v>
      </c>
      <c r="P29" t="s">
        <v>75</v>
      </c>
      <c r="Q29" t="s">
        <v>74</v>
      </c>
      <c r="R29" t="s">
        <v>75</v>
      </c>
      <c r="S29" t="s">
        <v>75</v>
      </c>
      <c r="T29" t="s">
        <v>73</v>
      </c>
      <c r="U29" t="s">
        <v>74</v>
      </c>
      <c r="V29" t="str">
        <f>min_hour(-2220)</f>
        <v>-37:00</v>
      </c>
      <c r="W29" s="15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1397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5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1398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5"/>
      <c r="AT29" t="s">
        <v>92</v>
      </c>
      <c r="AU29" t="s">
        <v>134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1399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5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1400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5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1401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>
      <c r="A30" t="s">
        <v>122</v>
      </c>
      <c r="B30" t="s">
        <v>32</v>
      </c>
      <c r="C30" t="s">
        <v>34</v>
      </c>
      <c r="I30" s="15"/>
      <c r="J30" t="s">
        <v>78</v>
      </c>
      <c r="K30">
        <v>5</v>
      </c>
      <c r="L30" s="10">
        <v>41177</v>
      </c>
      <c r="M30">
        <v>39</v>
      </c>
      <c r="N30">
        <v>2016</v>
      </c>
      <c r="O30" t="s">
        <v>73</v>
      </c>
      <c r="P30" t="s">
        <v>75</v>
      </c>
      <c r="Q30" t="s">
        <v>75</v>
      </c>
      <c r="R30" t="s">
        <v>75</v>
      </c>
      <c r="S30" t="s">
        <v>75</v>
      </c>
      <c r="T30" t="s">
        <v>75</v>
      </c>
      <c r="U30" t="s">
        <v>73</v>
      </c>
      <c r="V30" t="str">
        <f>min_hour(600)</f>
        <v>10:00</v>
      </c>
      <c r="W30" s="15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1396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5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1397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5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1398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5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1399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5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1400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>
      <c r="A31" t="s">
        <v>110</v>
      </c>
      <c r="B31" t="s">
        <v>35</v>
      </c>
      <c r="C31" t="s">
        <v>36</v>
      </c>
      <c r="I31" s="15"/>
      <c r="J31" t="s">
        <v>72</v>
      </c>
      <c r="K31">
        <v>6</v>
      </c>
      <c r="L31" s="10">
        <v>41177</v>
      </c>
      <c r="M31">
        <v>39</v>
      </c>
      <c r="N31">
        <v>2016</v>
      </c>
      <c r="O31" t="s">
        <v>77</v>
      </c>
      <c r="P31" t="s">
        <v>73</v>
      </c>
      <c r="Q31" t="s">
        <v>74</v>
      </c>
      <c r="R31" t="s">
        <v>74</v>
      </c>
      <c r="S31" t="s">
        <v>75</v>
      </c>
      <c r="T31" t="s">
        <v>75</v>
      </c>
      <c r="U31" t="s">
        <v>74</v>
      </c>
      <c r="V31" t="str">
        <f>min_hour(220)</f>
        <v>03:40</v>
      </c>
      <c r="W31" s="15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1391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5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1392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5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1393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5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1394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5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1395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>
      <c r="A32" t="s">
        <v>130</v>
      </c>
      <c r="B32" t="s">
        <v>58</v>
      </c>
      <c r="C32" t="s">
        <v>59</v>
      </c>
      <c r="I32" s="15"/>
      <c r="J32" t="s">
        <v>78</v>
      </c>
      <c r="K32">
        <v>4</v>
      </c>
      <c r="L32" s="10">
        <v>41177</v>
      </c>
      <c r="M32">
        <v>39</v>
      </c>
      <c r="N32">
        <v>2016</v>
      </c>
      <c r="O32" t="s">
        <v>75</v>
      </c>
      <c r="P32" t="s">
        <v>73</v>
      </c>
      <c r="Q32" t="s">
        <v>134</v>
      </c>
      <c r="R32" t="s">
        <v>75</v>
      </c>
      <c r="S32" t="s">
        <v>75</v>
      </c>
      <c r="T32" t="s">
        <v>74</v>
      </c>
      <c r="U32" t="s">
        <v>75</v>
      </c>
      <c r="V32" t="str">
        <f>min_hour(1020)</f>
        <v>17:00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1401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5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1396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1397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5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1398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5"/>
      <c r="BP32" t="s">
        <v>74</v>
      </c>
      <c r="BQ32" t="s">
        <v>75</v>
      </c>
      <c r="BR32" t="s">
        <v>73</v>
      </c>
      <c r="BS32" t="s">
        <v>134</v>
      </c>
      <c r="BT32" t="s">
        <v>75</v>
      </c>
      <c r="BU32" t="s">
        <v>75</v>
      </c>
      <c r="BV32" t="s">
        <v>75</v>
      </c>
      <c r="BW32" t="s">
        <v>1399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>
      <c r="A33" t="s">
        <v>111</v>
      </c>
      <c r="B33" t="s">
        <v>37</v>
      </c>
      <c r="C33" t="s">
        <v>38</v>
      </c>
      <c r="I33" s="15"/>
      <c r="J33" t="s">
        <v>72</v>
      </c>
      <c r="K33">
        <v>7</v>
      </c>
      <c r="L33" s="10">
        <v>41177</v>
      </c>
      <c r="M33">
        <v>39</v>
      </c>
      <c r="N33">
        <v>2016</v>
      </c>
      <c r="O33" t="s">
        <v>73</v>
      </c>
      <c r="P33" t="s">
        <v>74</v>
      </c>
      <c r="Q33" t="s">
        <v>75</v>
      </c>
      <c r="R33" t="s">
        <v>75</v>
      </c>
      <c r="S33" t="s">
        <v>74</v>
      </c>
      <c r="T33" t="s">
        <v>75</v>
      </c>
      <c r="U33" t="s">
        <v>73</v>
      </c>
      <c r="V33" t="str">
        <f>min_hour(360)</f>
        <v>06:00</v>
      </c>
      <c r="W33" s="15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1392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5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1393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5"/>
      <c r="AT33" t="s">
        <v>134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1394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5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1395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5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1385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>
      <c r="A34" t="s">
        <v>112</v>
      </c>
      <c r="B34" t="s">
        <v>39</v>
      </c>
      <c r="C34" t="s">
        <v>40</v>
      </c>
      <c r="I34" s="15"/>
      <c r="J34" t="s">
        <v>72</v>
      </c>
      <c r="K34">
        <v>10</v>
      </c>
      <c r="L34" s="10">
        <v>41177</v>
      </c>
      <c r="M34">
        <v>39</v>
      </c>
      <c r="N34">
        <v>2016</v>
      </c>
      <c r="O34" t="s">
        <v>75</v>
      </c>
      <c r="P34" t="s">
        <v>76</v>
      </c>
      <c r="Q34" t="s">
        <v>77</v>
      </c>
      <c r="R34" t="s">
        <v>73</v>
      </c>
      <c r="S34" t="s">
        <v>74</v>
      </c>
      <c r="T34" t="s">
        <v>75</v>
      </c>
      <c r="U34" t="s">
        <v>75</v>
      </c>
      <c r="V34" t="str">
        <f>min_hour(820)</f>
        <v>13:40</v>
      </c>
      <c r="W34" s="15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1395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5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1385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5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1386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5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1387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1388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>
      <c r="A35" t="s">
        <v>113</v>
      </c>
      <c r="B35" t="s">
        <v>41</v>
      </c>
      <c r="C35" t="s">
        <v>42</v>
      </c>
      <c r="I35" s="15"/>
      <c r="J35" t="s">
        <v>72</v>
      </c>
      <c r="K35">
        <v>11</v>
      </c>
      <c r="L35" s="10">
        <v>41177</v>
      </c>
      <c r="M35">
        <v>39</v>
      </c>
      <c r="N35">
        <v>2016</v>
      </c>
      <c r="O35" t="s">
        <v>74</v>
      </c>
      <c r="P35" t="s">
        <v>75</v>
      </c>
      <c r="Q35" t="s">
        <v>73</v>
      </c>
      <c r="R35" t="s">
        <v>74</v>
      </c>
      <c r="S35" t="s">
        <v>134</v>
      </c>
      <c r="T35" t="s">
        <v>76</v>
      </c>
      <c r="U35" t="s">
        <v>77</v>
      </c>
      <c r="V35" t="str">
        <f>min_hour(780)</f>
        <v>13:00</v>
      </c>
      <c r="W35" s="15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1385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5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1386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5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1387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5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1388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5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1389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>
      <c r="A36" t="s">
        <v>114</v>
      </c>
      <c r="B36" t="s">
        <v>43</v>
      </c>
      <c r="C36" t="s">
        <v>44</v>
      </c>
      <c r="I36" s="15"/>
      <c r="J36" t="s">
        <v>72</v>
      </c>
      <c r="K36">
        <v>3</v>
      </c>
      <c r="L36" s="10">
        <v>41177</v>
      </c>
      <c r="M36">
        <v>39</v>
      </c>
      <c r="N36">
        <v>2016</v>
      </c>
      <c r="O36" t="s">
        <v>75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min_hour(-540)</f>
        <v>-09:00</v>
      </c>
      <c r="W36" s="15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1388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5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1389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5"/>
      <c r="AT36" t="s">
        <v>77</v>
      </c>
      <c r="AU36" t="s">
        <v>73</v>
      </c>
      <c r="AV36" t="s">
        <v>134</v>
      </c>
      <c r="AW36" t="s">
        <v>74</v>
      </c>
      <c r="AX36" t="s">
        <v>75</v>
      </c>
      <c r="AY36" t="s">
        <v>75</v>
      </c>
      <c r="AZ36" t="s">
        <v>75</v>
      </c>
      <c r="BA36" t="s">
        <v>1390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5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1391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5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1392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>
      <c r="A37" t="s">
        <v>115</v>
      </c>
      <c r="B37" t="s">
        <v>45</v>
      </c>
      <c r="C37" t="s">
        <v>46</v>
      </c>
      <c r="I37" s="15"/>
      <c r="J37" t="s">
        <v>72</v>
      </c>
      <c r="K37">
        <v>10</v>
      </c>
      <c r="L37" s="10">
        <v>41177</v>
      </c>
      <c r="M37">
        <v>39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min_hour(300)</f>
        <v>05:00</v>
      </c>
      <c r="W37" s="15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1395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5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1385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5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1386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5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1387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5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1388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>
      <c r="A38" t="s">
        <v>116</v>
      </c>
      <c r="B38" t="s">
        <v>47</v>
      </c>
      <c r="C38" t="s">
        <v>48</v>
      </c>
      <c r="I38" s="15"/>
      <c r="J38" t="s">
        <v>78</v>
      </c>
      <c r="K38">
        <v>3</v>
      </c>
      <c r="L38" s="10">
        <v>41177</v>
      </c>
      <c r="M38">
        <v>39</v>
      </c>
      <c r="N38">
        <v>2016</v>
      </c>
      <c r="O38" t="s">
        <v>75</v>
      </c>
      <c r="P38" t="s">
        <v>75</v>
      </c>
      <c r="Q38" t="s">
        <v>73</v>
      </c>
      <c r="R38" t="s">
        <v>134</v>
      </c>
      <c r="S38" t="s">
        <v>75</v>
      </c>
      <c r="T38" t="s">
        <v>74</v>
      </c>
      <c r="U38" t="s">
        <v>75</v>
      </c>
      <c r="V38" t="str">
        <f>min_hour(780)</f>
        <v>13:00</v>
      </c>
      <c r="W38" s="15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1400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5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1401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5"/>
      <c r="AT38" t="s">
        <v>74</v>
      </c>
      <c r="AU38" t="s">
        <v>74</v>
      </c>
      <c r="AV38" t="s">
        <v>75</v>
      </c>
      <c r="AW38" t="s">
        <v>134</v>
      </c>
      <c r="AX38" t="s">
        <v>75</v>
      </c>
      <c r="AY38" t="s">
        <v>73</v>
      </c>
      <c r="AZ38" t="s">
        <v>74</v>
      </c>
      <c r="BA38" t="s">
        <v>1396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5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1397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5"/>
      <c r="BP38" t="s">
        <v>134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1398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>
      <c r="A39" t="s">
        <v>117</v>
      </c>
      <c r="B39" t="s">
        <v>49</v>
      </c>
      <c r="C39" t="s">
        <v>50</v>
      </c>
      <c r="I39" s="15"/>
      <c r="J39" t="s">
        <v>72</v>
      </c>
      <c r="K39">
        <v>9</v>
      </c>
      <c r="L39" s="10">
        <v>41177</v>
      </c>
      <c r="M39">
        <v>39</v>
      </c>
      <c r="N39">
        <v>2016</v>
      </c>
      <c r="O39" t="s">
        <v>75</v>
      </c>
      <c r="P39" t="s">
        <v>75</v>
      </c>
      <c r="Q39" t="s">
        <v>75</v>
      </c>
      <c r="R39" t="s">
        <v>73</v>
      </c>
      <c r="S39" t="s">
        <v>134</v>
      </c>
      <c r="T39" t="s">
        <v>74</v>
      </c>
      <c r="U39" t="s">
        <v>75</v>
      </c>
      <c r="V39" t="str">
        <f>min_hour(1020)</f>
        <v>17:00</v>
      </c>
      <c r="W39" s="15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1394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5"/>
      <c r="AI39" t="s">
        <v>150</v>
      </c>
      <c r="AJ39" t="s">
        <v>150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1395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1385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5"/>
      <c r="BE39" t="s">
        <v>74</v>
      </c>
      <c r="BF39" t="s">
        <v>134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1386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5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1387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>
      <c r="A40" t="s">
        <v>118</v>
      </c>
      <c r="B40" t="s">
        <v>51</v>
      </c>
      <c r="C40" t="s">
        <v>52</v>
      </c>
      <c r="I40" s="15"/>
      <c r="J40" t="s">
        <v>72</v>
      </c>
      <c r="K40">
        <v>5</v>
      </c>
      <c r="L40" s="10">
        <v>41177</v>
      </c>
      <c r="M40">
        <v>39</v>
      </c>
      <c r="N40">
        <v>2016</v>
      </c>
      <c r="O40" t="s">
        <v>76</v>
      </c>
      <c r="P40" t="s">
        <v>77</v>
      </c>
      <c r="Q40" t="s">
        <v>73</v>
      </c>
      <c r="R40" t="s">
        <v>74</v>
      </c>
      <c r="S40" t="s">
        <v>75</v>
      </c>
      <c r="T40" t="s">
        <v>134</v>
      </c>
      <c r="U40" t="s">
        <v>76</v>
      </c>
      <c r="V40" t="str">
        <f>min_hour(480)</f>
        <v>08:00</v>
      </c>
      <c r="W40" s="15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1390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5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1391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5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1392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5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1393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5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1394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>
      <c r="A41" t="s">
        <v>119</v>
      </c>
      <c r="B41" t="s">
        <v>53</v>
      </c>
      <c r="C41" t="s">
        <v>54</v>
      </c>
      <c r="I41" s="15"/>
      <c r="J41" t="s">
        <v>78</v>
      </c>
      <c r="K41">
        <v>2</v>
      </c>
      <c r="L41" s="10">
        <v>41177</v>
      </c>
      <c r="M41">
        <v>39</v>
      </c>
      <c r="N41">
        <v>2016</v>
      </c>
      <c r="O41" t="s">
        <v>75</v>
      </c>
      <c r="P41" t="s">
        <v>74</v>
      </c>
      <c r="Q41" t="s">
        <v>75</v>
      </c>
      <c r="R41" t="s">
        <v>73</v>
      </c>
      <c r="S41" t="s">
        <v>74</v>
      </c>
      <c r="T41" t="s">
        <v>75</v>
      </c>
      <c r="U41" t="s">
        <v>74</v>
      </c>
      <c r="V41" t="str">
        <f>min_hour(-120)</f>
        <v>-02:00</v>
      </c>
      <c r="W41" s="15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1399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5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1400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5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1401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5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1396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5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1397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7" priority="1" operator="equal">
      <formula>"RC"</formula>
    </cfRule>
    <cfRule type="cellIs" dxfId="16" priority="2" operator="equal">
      <formula>"R"</formula>
    </cfRule>
    <cfRule type="cellIs" dxfId="15" priority="3" operator="equal">
      <formula>"S"</formula>
    </cfRule>
    <cfRule type="cellIs" dxfId="14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5">
    <outlinePr summaryRight="0"/>
  </sheetPr>
  <dimension ref="A1:DF54"/>
  <sheetViews>
    <sheetView tabSelected="1" zoomScaleNormal="100" workbookViewId="0">
      <selection activeCell="A7" sqref="A7"/>
    </sheetView>
  </sheetViews>
  <sheetFormatPr defaultRowHeight="15" outlineLevelCol="2"/>
  <cols>
    <col min="1" max="2" width="11.7109375" customWidth="1"/>
    <col min="3" max="3" width="14" bestFit="1" customWidth="1"/>
    <col min="5" max="8" width="0" hidden="1" customWidth="1"/>
    <col min="9" max="9" width="5.570312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2"/>
    <col min="31" max="31" width="7.5703125" hidden="1" customWidth="1" outlineLevel="2"/>
    <col min="32" max="32" width="5.5703125" hidden="1" customWidth="1" outlineLevel="2"/>
    <col min="33" max="33" width="12.28515625" hidden="1" customWidth="1" outlineLevel="2"/>
    <col min="34" max="34" width="6.140625" bestFit="1" customWidth="1" collapsed="1"/>
    <col min="35" max="41" width="10.7109375" hidden="1" customWidth="1" outlineLevel="2"/>
    <col min="42" max="42" width="7.5703125" hidden="1" customWidth="1" outlineLevel="2"/>
    <col min="43" max="43" width="5.5703125" hidden="1" customWidth="1" outlineLevel="2"/>
    <col min="44" max="44" width="12.28515625" hidden="1" customWidth="1" outlineLevel="2"/>
    <col min="45" max="45" width="6.140625" bestFit="1" customWidth="1" collapsed="1"/>
    <col min="46" max="52" width="10.7109375" hidden="1" customWidth="1" outlineLevel="2"/>
    <col min="53" max="53" width="7.5703125" hidden="1" customWidth="1" outlineLevel="2"/>
    <col min="54" max="54" width="5.5703125" hidden="1" customWidth="1" outlineLevel="2"/>
    <col min="55" max="55" width="12.28515625" hidden="1" customWidth="1" outlineLevel="2"/>
    <col min="56" max="56" width="6.140625" bestFit="1" customWidth="1" collapsed="1"/>
    <col min="57" max="63" width="10.7109375" hidden="1" customWidth="1" outlineLevel="2"/>
    <col min="64" max="64" width="7.5703125" hidden="1" customWidth="1" outlineLevel="2"/>
    <col min="65" max="65" width="5.5703125" hidden="1" customWidth="1" outlineLevel="2"/>
    <col min="66" max="66" width="12.28515625" hidden="1" customWidth="1" outlineLevel="2"/>
    <col min="67" max="67" width="6.140625" bestFit="1" customWidth="1"/>
    <col min="68" max="74" width="10.7109375" customWidth="1" outlineLevel="2"/>
    <col min="75" max="75" width="7.5703125" customWidth="1" outlineLevel="2"/>
    <col min="76" max="76" width="5.5703125" customWidth="1" outlineLevel="2"/>
    <col min="77" max="77" width="12.28515625" customWidth="1" outlineLevel="2"/>
    <col min="78" max="78" width="6.140625" bestFit="1" customWidth="1"/>
    <col min="79" max="85" width="10.7109375" customWidth="1" outlineLevel="2"/>
    <col min="86" max="86" width="7.5703125" customWidth="1" outlineLevel="2"/>
    <col min="87" max="87" width="5.5703125" customWidth="1" outlineLevel="2"/>
    <col min="88" max="88" width="12.28515625" customWidth="1" outlineLevel="2"/>
    <col min="89" max="89" width="6.140625" bestFit="1" customWidth="1"/>
    <col min="90" max="96" width="10.7109375" customWidth="1" outlineLevel="2"/>
    <col min="97" max="97" width="7.5703125" customWidth="1" outlineLevel="2"/>
    <col min="98" max="98" width="5.5703125" customWidth="1" outlineLevel="2"/>
    <col min="99" max="99" width="12.28515625" customWidth="1" outlineLevel="2"/>
    <col min="100" max="100" width="6.140625" bestFit="1" customWidth="1"/>
    <col min="101" max="107" width="10.7109375" customWidth="1" outlineLevel="2"/>
    <col min="108" max="108" width="7.5703125" customWidth="1" outlineLevel="2"/>
    <col min="109" max="109" width="5.5703125" customWidth="1" outlineLevel="2"/>
    <col min="110" max="110" width="12.28515625" customWidth="1" outlineLevel="2"/>
  </cols>
  <sheetData>
    <row r="1" spans="1:110">
      <c r="A1">
        <v>45</v>
      </c>
    </row>
    <row r="2" spans="1:110">
      <c r="A2">
        <v>52</v>
      </c>
    </row>
    <row r="8" spans="1:110" s="11" customFormat="1">
      <c r="L8" s="12"/>
      <c r="X8" s="12">
        <v>41219</v>
      </c>
      <c r="Y8" s="12">
        <v>41220</v>
      </c>
      <c r="Z8" s="12">
        <v>41221</v>
      </c>
      <c r="AA8" s="12">
        <v>41222</v>
      </c>
      <c r="AB8" s="12">
        <v>41223</v>
      </c>
      <c r="AC8" s="12">
        <v>41224</v>
      </c>
      <c r="AD8" s="12">
        <v>41225</v>
      </c>
      <c r="AE8" s="11">
        <v>45</v>
      </c>
      <c r="AI8" s="12">
        <v>41226</v>
      </c>
      <c r="AJ8" s="12">
        <v>41227</v>
      </c>
      <c r="AK8" s="12">
        <v>41228</v>
      </c>
      <c r="AL8" s="12">
        <v>41229</v>
      </c>
      <c r="AM8" s="12">
        <v>41230</v>
      </c>
      <c r="AN8" s="12">
        <v>41231</v>
      </c>
      <c r="AO8" s="12">
        <v>41232</v>
      </c>
      <c r="AP8" s="11">
        <v>46</v>
      </c>
      <c r="AT8" s="12">
        <v>41233</v>
      </c>
      <c r="AU8" s="12">
        <v>41234</v>
      </c>
      <c r="AV8" s="12">
        <v>41235</v>
      </c>
      <c r="AW8" s="12">
        <v>41236</v>
      </c>
      <c r="AX8" s="12">
        <v>41237</v>
      </c>
      <c r="AY8" s="12">
        <v>41238</v>
      </c>
      <c r="AZ8" s="12">
        <v>41239</v>
      </c>
      <c r="BA8" s="11">
        <v>47</v>
      </c>
      <c r="BE8" s="12">
        <v>41240</v>
      </c>
      <c r="BF8" s="12">
        <v>41241</v>
      </c>
      <c r="BG8" s="12">
        <v>41242</v>
      </c>
      <c r="BH8" s="12">
        <v>41243</v>
      </c>
      <c r="BI8" s="12">
        <v>41244</v>
      </c>
      <c r="BJ8" s="12">
        <v>41245</v>
      </c>
      <c r="BK8" s="12">
        <v>41246</v>
      </c>
      <c r="BL8" s="11">
        <v>48</v>
      </c>
      <c r="BP8" s="12">
        <v>41247</v>
      </c>
      <c r="BQ8" s="12">
        <v>41248</v>
      </c>
      <c r="BR8" s="12">
        <v>41249</v>
      </c>
      <c r="BS8" s="12">
        <v>41250</v>
      </c>
      <c r="BT8" s="12">
        <v>41251</v>
      </c>
      <c r="BU8" s="12">
        <v>41252</v>
      </c>
      <c r="BV8" s="12">
        <v>41253</v>
      </c>
      <c r="BW8" s="11">
        <v>49</v>
      </c>
      <c r="CA8" s="12">
        <v>41254</v>
      </c>
      <c r="CB8" s="12">
        <v>41255</v>
      </c>
      <c r="CC8" s="12">
        <v>41256</v>
      </c>
      <c r="CD8" s="12">
        <v>41257</v>
      </c>
      <c r="CE8" s="12">
        <v>41258</v>
      </c>
      <c r="CF8" s="12">
        <v>41259</v>
      </c>
      <c r="CG8" s="12">
        <v>41260</v>
      </c>
      <c r="CH8" s="11">
        <v>50</v>
      </c>
      <c r="CL8" s="12">
        <v>41261</v>
      </c>
      <c r="CM8" s="12">
        <v>41262</v>
      </c>
      <c r="CN8" s="12">
        <v>41263</v>
      </c>
      <c r="CO8" s="12">
        <v>41264</v>
      </c>
      <c r="CP8" s="12">
        <v>41265</v>
      </c>
      <c r="CQ8" s="12">
        <v>41266</v>
      </c>
      <c r="CR8" s="12">
        <v>41267</v>
      </c>
      <c r="CS8" s="11">
        <v>51</v>
      </c>
      <c r="CW8" s="12">
        <v>41268</v>
      </c>
      <c r="CX8" s="12">
        <v>41269</v>
      </c>
      <c r="CY8" s="12">
        <v>41270</v>
      </c>
      <c r="CZ8" s="12">
        <v>41271</v>
      </c>
      <c r="DA8" s="12">
        <v>41272</v>
      </c>
      <c r="DB8" s="12">
        <v>41273</v>
      </c>
      <c r="DC8" s="12">
        <v>41274</v>
      </c>
      <c r="DD8" s="11">
        <v>52</v>
      </c>
    </row>
    <row r="9" spans="1:110" s="11" customFormat="1">
      <c r="A9" s="11" t="s">
        <v>0</v>
      </c>
      <c r="B9" s="11" t="s">
        <v>1</v>
      </c>
      <c r="C9" s="11" t="s">
        <v>2</v>
      </c>
      <c r="J9" s="11" t="s">
        <v>61</v>
      </c>
      <c r="K9" s="11" t="s">
        <v>60</v>
      </c>
      <c r="L9" s="12" t="s">
        <v>82</v>
      </c>
      <c r="M9" s="11" t="s">
        <v>81</v>
      </c>
      <c r="N9" s="11" t="s">
        <v>80</v>
      </c>
      <c r="O9" s="11" t="s">
        <v>85</v>
      </c>
      <c r="P9" s="11" t="s">
        <v>86</v>
      </c>
      <c r="Q9" s="11" t="s">
        <v>87</v>
      </c>
      <c r="R9" s="11" t="s">
        <v>84</v>
      </c>
      <c r="S9" s="11" t="s">
        <v>89</v>
      </c>
      <c r="T9" s="11" t="s">
        <v>88</v>
      </c>
      <c r="U9" s="11" t="s">
        <v>83</v>
      </c>
      <c r="V9" s="11" t="s">
        <v>1380</v>
      </c>
      <c r="W9" s="11" t="s">
        <v>1381</v>
      </c>
      <c r="X9" s="11" t="s">
        <v>1256</v>
      </c>
      <c r="Y9" s="11" t="s">
        <v>1257</v>
      </c>
      <c r="Z9" s="11" t="s">
        <v>1258</v>
      </c>
      <c r="AA9" s="11" t="s">
        <v>1259</v>
      </c>
      <c r="AB9" s="11" t="s">
        <v>1260</v>
      </c>
      <c r="AC9" s="11" t="s">
        <v>1261</v>
      </c>
      <c r="AD9" s="11" t="s">
        <v>1262</v>
      </c>
      <c r="AE9" s="11" t="s">
        <v>1461</v>
      </c>
      <c r="AF9" s="11" t="s">
        <v>1378</v>
      </c>
      <c r="AG9" s="11" t="s">
        <v>1379</v>
      </c>
      <c r="AH9" s="11" t="s">
        <v>1381</v>
      </c>
      <c r="AI9" s="11" t="s">
        <v>1256</v>
      </c>
      <c r="AJ9" s="11" t="s">
        <v>1257</v>
      </c>
      <c r="AK9" s="11" t="s">
        <v>1258</v>
      </c>
      <c r="AL9" s="11" t="s">
        <v>1259</v>
      </c>
      <c r="AM9" s="11" t="s">
        <v>1260</v>
      </c>
      <c r="AN9" s="11" t="s">
        <v>1261</v>
      </c>
      <c r="AO9" s="11" t="s">
        <v>1262</v>
      </c>
      <c r="AP9" s="11" t="s">
        <v>1461</v>
      </c>
      <c r="AQ9" s="11" t="s">
        <v>1378</v>
      </c>
      <c r="AR9" s="11" t="s">
        <v>1379</v>
      </c>
      <c r="AS9" s="11" t="s">
        <v>1381</v>
      </c>
      <c r="AT9" s="11" t="s">
        <v>1256</v>
      </c>
      <c r="AU9" s="11" t="s">
        <v>1257</v>
      </c>
      <c r="AV9" s="11" t="s">
        <v>1258</v>
      </c>
      <c r="AW9" s="11" t="s">
        <v>1259</v>
      </c>
      <c r="AX9" s="11" t="s">
        <v>1260</v>
      </c>
      <c r="AY9" s="11" t="s">
        <v>1261</v>
      </c>
      <c r="AZ9" s="11" t="s">
        <v>1262</v>
      </c>
      <c r="BA9" s="11" t="s">
        <v>1461</v>
      </c>
      <c r="BB9" s="11" t="s">
        <v>1378</v>
      </c>
      <c r="BC9" s="11" t="s">
        <v>1379</v>
      </c>
      <c r="BD9" s="11" t="s">
        <v>1381</v>
      </c>
      <c r="BE9" s="11" t="s">
        <v>1256</v>
      </c>
      <c r="BF9" s="11" t="s">
        <v>1257</v>
      </c>
      <c r="BG9" s="11" t="s">
        <v>1258</v>
      </c>
      <c r="BH9" s="11" t="s">
        <v>1259</v>
      </c>
      <c r="BI9" s="11" t="s">
        <v>1260</v>
      </c>
      <c r="BJ9" s="11" t="s">
        <v>1261</v>
      </c>
      <c r="BK9" s="11" t="s">
        <v>1262</v>
      </c>
      <c r="BL9" s="11" t="s">
        <v>1461</v>
      </c>
      <c r="BM9" s="11" t="s">
        <v>1378</v>
      </c>
      <c r="BN9" s="11" t="s">
        <v>1379</v>
      </c>
      <c r="BO9" s="11" t="s">
        <v>1381</v>
      </c>
      <c r="BP9" s="11" t="s">
        <v>1256</v>
      </c>
      <c r="BQ9" s="11" t="s">
        <v>1257</v>
      </c>
      <c r="BR9" s="11" t="s">
        <v>1258</v>
      </c>
      <c r="BS9" s="11" t="s">
        <v>1259</v>
      </c>
      <c r="BT9" s="11" t="s">
        <v>1260</v>
      </c>
      <c r="BU9" s="11" t="s">
        <v>1261</v>
      </c>
      <c r="BV9" s="11" t="s">
        <v>1262</v>
      </c>
      <c r="BW9" s="11" t="s">
        <v>1461</v>
      </c>
      <c r="BX9" s="11" t="s">
        <v>1378</v>
      </c>
      <c r="BY9" s="11" t="s">
        <v>1379</v>
      </c>
      <c r="BZ9" s="11" t="s">
        <v>1381</v>
      </c>
      <c r="CA9" s="11" t="s">
        <v>1256</v>
      </c>
      <c r="CB9" s="11" t="s">
        <v>1257</v>
      </c>
      <c r="CC9" s="11" t="s">
        <v>1258</v>
      </c>
      <c r="CD9" s="11" t="s">
        <v>1259</v>
      </c>
      <c r="CE9" s="11" t="s">
        <v>1260</v>
      </c>
      <c r="CF9" s="11" t="s">
        <v>1261</v>
      </c>
      <c r="CG9" s="11" t="s">
        <v>1262</v>
      </c>
      <c r="CH9" s="11" t="s">
        <v>1461</v>
      </c>
      <c r="CI9" s="11" t="s">
        <v>1378</v>
      </c>
      <c r="CJ9" s="11" t="s">
        <v>1379</v>
      </c>
      <c r="CK9" s="11" t="s">
        <v>1381</v>
      </c>
      <c r="CL9" s="11" t="s">
        <v>1256</v>
      </c>
      <c r="CM9" s="11" t="s">
        <v>1257</v>
      </c>
      <c r="CN9" s="11" t="s">
        <v>1258</v>
      </c>
      <c r="CO9" s="11" t="s">
        <v>1259</v>
      </c>
      <c r="CP9" s="11" t="s">
        <v>1260</v>
      </c>
      <c r="CQ9" s="11" t="s">
        <v>1261</v>
      </c>
      <c r="CR9" s="11" t="s">
        <v>1262</v>
      </c>
      <c r="CS9" s="11" t="s">
        <v>1461</v>
      </c>
      <c r="CT9" s="11" t="s">
        <v>1378</v>
      </c>
      <c r="CU9" s="11" t="s">
        <v>1379</v>
      </c>
      <c r="CV9" s="11" t="s">
        <v>1381</v>
      </c>
      <c r="CW9" s="11" t="s">
        <v>1256</v>
      </c>
      <c r="CX9" s="11" t="s">
        <v>1257</v>
      </c>
      <c r="CY9" s="11" t="s">
        <v>1258</v>
      </c>
      <c r="CZ9" s="11" t="s">
        <v>1259</v>
      </c>
      <c r="DA9" s="11" t="s">
        <v>1260</v>
      </c>
      <c r="DB9" s="11" t="s">
        <v>1261</v>
      </c>
      <c r="DC9" s="11" t="s">
        <v>1262</v>
      </c>
      <c r="DD9" s="11" t="s">
        <v>1461</v>
      </c>
      <c r="DE9" s="11" t="s">
        <v>1378</v>
      </c>
      <c r="DF9" s="11" t="s">
        <v>1379</v>
      </c>
    </row>
    <row r="10" spans="1:110">
      <c r="A10" s="5" t="s">
        <v>90</v>
      </c>
      <c r="B10" s="5" t="s">
        <v>3</v>
      </c>
      <c r="C10" s="5" t="s">
        <v>4</v>
      </c>
      <c r="I10" s="16" t="s">
        <v>1382</v>
      </c>
      <c r="J10" s="5" t="s">
        <v>1271</v>
      </c>
      <c r="K10" s="5">
        <v>5</v>
      </c>
      <c r="L10" s="14">
        <v>41212</v>
      </c>
      <c r="M10" s="5">
        <v>44</v>
      </c>
      <c r="N10" s="5">
        <v>2016</v>
      </c>
      <c r="O10" s="5" t="s">
        <v>76</v>
      </c>
      <c r="P10" s="5" t="s">
        <v>77</v>
      </c>
      <c r="Q10" s="5" t="s">
        <v>73</v>
      </c>
      <c r="R10" s="5" t="s">
        <v>74</v>
      </c>
      <c r="S10" s="5" t="s">
        <v>74</v>
      </c>
      <c r="T10" s="5" t="s">
        <v>74</v>
      </c>
      <c r="U10" s="5" t="s">
        <v>76</v>
      </c>
      <c r="V10" t="str">
        <f>min_hour(480)</f>
        <v>08:00</v>
      </c>
      <c r="W10" s="16" t="s">
        <v>1421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1282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35:00</v>
      </c>
      <c r="AG10" t="str">
        <f>min_hour( hour_min($AF$10)+480-2280 )</f>
        <v>05:00</v>
      </c>
      <c r="AH10" s="16" t="s">
        <v>1422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1283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35:00</v>
      </c>
      <c r="AR10" t="str">
        <f>min_hour( hour_min($AQ$10)+-2280 + hour_min($AG$10))</f>
        <v>02:00</v>
      </c>
      <c r="AS10" s="16" t="s">
        <v>1423</v>
      </c>
      <c r="AT10" t="s">
        <v>75</v>
      </c>
      <c r="AU10" t="s">
        <v>75</v>
      </c>
      <c r="AV10" t="s">
        <v>75</v>
      </c>
      <c r="AW10" t="s">
        <v>76</v>
      </c>
      <c r="AX10" t="s">
        <v>77</v>
      </c>
      <c r="AY10" t="s">
        <v>73</v>
      </c>
      <c r="AZ10" t="s">
        <v>74</v>
      </c>
      <c r="BA10" t="s">
        <v>1284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6" t="s">
        <v>1424</v>
      </c>
      <c r="BE10" t="s">
        <v>75</v>
      </c>
      <c r="BF10" t="s">
        <v>74</v>
      </c>
      <c r="BG10" t="s">
        <v>74</v>
      </c>
      <c r="BH10" t="s">
        <v>75</v>
      </c>
      <c r="BI10" t="s">
        <v>73</v>
      </c>
      <c r="BJ10" t="s">
        <v>74</v>
      </c>
      <c r="BK10" t="s">
        <v>75</v>
      </c>
      <c r="BL10" t="s">
        <v>1285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6" t="s">
        <v>1462</v>
      </c>
      <c r="BP10" t="s">
        <v>75</v>
      </c>
      <c r="BQ10" t="s">
        <v>76</v>
      </c>
      <c r="BR10" t="s">
        <v>77</v>
      </c>
      <c r="BS10" t="s">
        <v>73</v>
      </c>
      <c r="BT10" t="s">
        <v>74</v>
      </c>
      <c r="BU10" t="s">
        <v>75</v>
      </c>
      <c r="BV10" t="s">
        <v>92</v>
      </c>
      <c r="BW10" t="s">
        <v>1286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38:00</v>
      </c>
      <c r="BY10" t="str">
        <f>min_hour( hour_min($BX$10)+-2280 + hour_min($BN$10))</f>
        <v>06:00</v>
      </c>
      <c r="BZ10" s="16" t="s">
        <v>1463</v>
      </c>
      <c r="CA10" t="s">
        <v>75</v>
      </c>
      <c r="CB10" t="s">
        <v>75</v>
      </c>
      <c r="CC10" t="s">
        <v>73</v>
      </c>
      <c r="CD10" t="s">
        <v>75</v>
      </c>
      <c r="CE10" t="s">
        <v>75</v>
      </c>
      <c r="CF10" t="s">
        <v>76</v>
      </c>
      <c r="CG10" t="s">
        <v>77</v>
      </c>
      <c r="CH10" t="s">
        <v>1287</v>
      </c>
      <c r="CI10" t="str">
        <f>min_hour(+IF($CA$10="M","420","0")+IF($CA$10="P","420","0")+IF($CA$10="F","420","0")+IF($CA$10="N","600","0")+IF($CA$10="M1","380","0")+IF($CA$10="P1","380","0")+IF($CA$10="L104","0","0")+IF($CA$10="MAL","0","0")+IF($CA$10="RC","0","0")+IF($CB$10="M","420","0")+IF($CB$10="P","420","0")+IF($CB$10="F","420","0")+IF($CB$10="N","600","0")+IF($CB$10="M1","380","0")+IF($CB$10="P1","380","0")+IF($CB$10="L104","0","0")+IF($CB$10="MAL","0","0")+IF($CB$10="RC","0","0")+IF($CC$10="M","420","0")+IF($CC$10="P","420","0")+IF($CC$10="F","420","0")+IF($CC$10="N","600","0")+IF($CC$10="M1","380","0")+IF($CC$10="P1","380","0")+IF($CC$10="L104","0","0")+IF($CC$10="MAL","0","0")+IF($CC$10="RC","0","0")+IF($CD$10="M","420","0")+IF($CD$10="P","420","0")+IF($CD$10="F","420","0")+IF($CD$10="N","600","0")+IF($CD$10="M1","380","0")+IF($CD$10="P1","380","0")+IF($CD$10="L104","0","0")+IF($CD$10="MAL","0","0")+IF($CD$10="RC","0","0")+IF($CE$10="M","420","0")+IF($CE$10="P","420","0")+IF($CE$10="F","420","0")+IF($CE$10="N","600","0")+IF($CE$10="M1","380","0")+IF($CE$10="P1","380","0")+IF($CE$10="L104","0","0")+IF($CE$10="MAL","0","0")+IF($CE$10="RC","0","0")+IF($CF$10="M","420","0")+IF($CF$10="P","420","0")+IF($CF$10="F","420","0")+IF($CF$10="N","600","0")+IF($CF$10="M1","380","0")+IF($CF$10="P1","380","0")+IF($CF$10="L104","0","0")+IF($CF$10="MAL","0","0")+IF($CF$10="RC","0","0")+IF($CG$10="M","420","0")+IF($CG$10="P","420","0")+IF($CG$10="F","420","0")+IF($CG$10="N","600","0")+IF($CG$10="M1","380","0")+IF($CG$10="P1","380","0")+IF($CG$10="L104","0","0")+IF($CG$10="MAL","0","0")+IF($CG$10="RC","0","0"))</f>
        <v>38:00</v>
      </c>
      <c r="CJ10" t="str">
        <f>min_hour( hour_min($CI$10)+-2280 + hour_min($BY$10))</f>
        <v>06:00</v>
      </c>
      <c r="CK10" s="16" t="s">
        <v>1464</v>
      </c>
      <c r="CL10" t="s">
        <v>73</v>
      </c>
      <c r="CM10" t="s">
        <v>150</v>
      </c>
      <c r="CN10" t="s">
        <v>150</v>
      </c>
      <c r="CO10" t="s">
        <v>75</v>
      </c>
      <c r="CP10" t="s">
        <v>75</v>
      </c>
      <c r="CQ10" t="s">
        <v>75</v>
      </c>
      <c r="CR10" t="s">
        <v>73</v>
      </c>
      <c r="CS10" t="s">
        <v>1288</v>
      </c>
      <c r="CT10" t="str">
        <f>min_hour(+IF($CL$10="M","420","0")+IF($CL$10="P","420","0")+IF($CL$10="F","420","0")+IF($CL$10="N","600","0")+IF($CL$10="M1","380","0")+IF($CL$10="P1","380","0")+IF($CL$10="L104","0","0")+IF($CL$10="MAL","0","0")+IF($CL$10="RC","0","0")+IF($CM$10="M","420","0")+IF($CM$10="P","420","0")+IF($CM$10="F","420","0")+IF($CM$10="N","600","0")+IF($CM$10="M1","380","0")+IF($CM$10="P1","380","0")+IF($CM$10="L104","0","0")+IF($CM$10="MAL","0","0")+IF($CM$10="RC","0","0")+IF($CN$10="M","420","0")+IF($CN$10="P","420","0")+IF($CN$10="F","420","0")+IF($CN$10="N","600","0")+IF($CN$10="M1","380","0")+IF($CN$10="P1","380","0")+IF($CN$10="L104","0","0")+IF($CN$10="MAL","0","0")+IF($CN$10="RC","0","0")+IF($CO$10="M","420","0")+IF($CO$10="P","420","0")+IF($CO$10="F","420","0")+IF($CO$10="N","600","0")+IF($CO$10="M1","380","0")+IF($CO$10="P1","380","0")+IF($CO$10="L104","0","0")+IF($CO$10="MAL","0","0")+IF($CO$10="RC","0","0")+IF($CP$10="M","420","0")+IF($CP$10="P","420","0")+IF($CP$10="F","420","0")+IF($CP$10="N","600","0")+IF($CP$10="M1","380","0")+IF($CP$10="P1","380","0")+IF($CP$10="L104","0","0")+IF($CP$10="MAL","0","0")+IF($CP$10="RC","0","0")+IF($CQ$10="M","420","0")+IF($CQ$10="P","420","0")+IF($CQ$10="F","420","0")+IF($CQ$10="N","600","0")+IF($CQ$10="M1","380","0")+IF($CQ$10="P1","380","0")+IF($CQ$10="L104","0","0")+IF($CQ$10="MAL","0","0")+IF($CQ$10="RC","0","0")+IF($CR$10="M","420","0")+IF($CR$10="P","420","0")+IF($CR$10="F","420","0")+IF($CR$10="N","600","0")+IF($CR$10="M1","380","0")+IF($CR$10="P1","380","0")+IF($CR$10="L104","0","0")+IF($CR$10="MAL","0","0")+IF($CR$10="RC","0","0"))</f>
        <v>21:00</v>
      </c>
      <c r="CU10" t="str">
        <f>min_hour( hour_min($CT$10)+-2280 + hour_min($CJ$10))</f>
        <v>-11:00</v>
      </c>
      <c r="CV10" s="16" t="s">
        <v>1465</v>
      </c>
      <c r="CW10" t="s">
        <v>75</v>
      </c>
      <c r="CX10" t="s">
        <v>75</v>
      </c>
      <c r="CY10" t="s">
        <v>74</v>
      </c>
      <c r="CZ10" t="s">
        <v>75</v>
      </c>
      <c r="DA10" t="s">
        <v>74</v>
      </c>
      <c r="DB10" t="s">
        <v>73</v>
      </c>
      <c r="DC10" t="s">
        <v>75</v>
      </c>
      <c r="DD10" t="s">
        <v>1278</v>
      </c>
      <c r="DE10" t="str">
        <f>min_hour(+IF($CW$10="M","420","0")+IF($CW$10="P","420","0")+IF($CW$10="F","420","0")+IF($CW$10="N","600","0")+IF($CW$10="M1","380","0")+IF($CW$10="P1","380","0")+IF($CW$10="L104","0","0")+IF($CW$10="MAL","0","0")+IF($CW$10="RC","0","0")+IF($CX$10="M","420","0")+IF($CX$10="P","420","0")+IF($CX$10="F","420","0")+IF($CX$10="N","600","0")+IF($CX$10="M1","380","0")+IF($CX$10="P1","380","0")+IF($CX$10="L104","0","0")+IF($CX$10="MAL","0","0")+IF($CX$10="RC","0","0")+IF($CY$10="M","420","0")+IF($CY$10="P","420","0")+IF($CY$10="F","420","0")+IF($CY$10="N","600","0")+IF($CY$10="M1","380","0")+IF($CY$10="P1","380","0")+IF($CY$10="L104","0","0")+IF($CY$10="MAL","0","0")+IF($CY$10="RC","0","0")+IF($CZ$10="M","420","0")+IF($CZ$10="P","420","0")+IF($CZ$10="F","420","0")+IF($CZ$10="N","600","0")+IF($CZ$10="M1","380","0")+IF($CZ$10="P1","380","0")+IF($CZ$10="L104","0","0")+IF($CZ$10="MAL","0","0")+IF($CZ$10="RC","0","0")+IF($DA$10="M","420","0")+IF($DA$10="P","420","0")+IF($DA$10="F","420","0")+IF($DA$10="N","600","0")+IF($DA$10="M1","380","0")+IF($DA$10="P1","380","0")+IF($DA$10="L104","0","0")+IF($DA$10="MAL","0","0")+IF($DA$10="RC","0","0")+IF($DB$10="M","420","0")+IF($DB$10="P","420","0")+IF($DB$10="F","420","0")+IF($DB$10="N","600","0")+IF($DB$10="M1","380","0")+IF($DB$10="P1","380","0")+IF($DB$10="L104","0","0")+IF($DB$10="MAL","0","0")+IF($DB$10="RC","0","0")+IF($DC$10="M","420","0")+IF($DC$10="P","420","0")+IF($DC$10="F","420","0")+IF($DC$10="N","600","0")+IF($DC$10="M1","380","0")+IF($DC$10="P1","380","0")+IF($DC$10="L104","0","0")+IF($DC$10="MAL","0","0")+IF($DC$10="RC","0","0"))</f>
        <v>42:00</v>
      </c>
      <c r="DF10" t="str">
        <f>min_hour( hour_min($DE$10)+-2280 + hour_min($CU$10))</f>
        <v>-07:00</v>
      </c>
    </row>
    <row r="11" spans="1:110">
      <c r="A11" t="s">
        <v>93</v>
      </c>
      <c r="B11" t="s">
        <v>5</v>
      </c>
      <c r="C11" t="s">
        <v>6</v>
      </c>
      <c r="I11" s="16"/>
      <c r="J11" t="s">
        <v>1271</v>
      </c>
      <c r="K11">
        <v>6</v>
      </c>
      <c r="L11" s="10">
        <v>41212</v>
      </c>
      <c r="M11">
        <v>44</v>
      </c>
      <c r="N11">
        <v>2016</v>
      </c>
      <c r="O11" t="s">
        <v>77</v>
      </c>
      <c r="P11" t="s">
        <v>73</v>
      </c>
      <c r="Q11" t="s">
        <v>74</v>
      </c>
      <c r="R11" t="s">
        <v>74</v>
      </c>
      <c r="S11" t="s">
        <v>75</v>
      </c>
      <c r="T11" t="s">
        <v>75</v>
      </c>
      <c r="U11" t="s">
        <v>74</v>
      </c>
      <c r="V11" t="str">
        <f>min_hour(300)</f>
        <v>05:00</v>
      </c>
      <c r="W11" s="16"/>
      <c r="X11" t="s">
        <v>73</v>
      </c>
      <c r="Y11" t="s">
        <v>74</v>
      </c>
      <c r="Z11" t="s">
        <v>75</v>
      </c>
      <c r="AA11" t="s">
        <v>74</v>
      </c>
      <c r="AB11" t="s">
        <v>75</v>
      </c>
      <c r="AC11" t="s">
        <v>75</v>
      </c>
      <c r="AD11" t="s">
        <v>73</v>
      </c>
      <c r="AE11" t="s">
        <v>1283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35:00</v>
      </c>
      <c r="AG11" t="str">
        <f>min_hour( hour_min($AF$11)+300-2280 )</f>
        <v>02:00</v>
      </c>
      <c r="AH11" s="16"/>
      <c r="AI11" t="s">
        <v>75</v>
      </c>
      <c r="AJ11" t="s">
        <v>75</v>
      </c>
      <c r="AK11" t="s">
        <v>75</v>
      </c>
      <c r="AL11" t="s">
        <v>76</v>
      </c>
      <c r="AM11" t="s">
        <v>77</v>
      </c>
      <c r="AN11" t="s">
        <v>73</v>
      </c>
      <c r="AO11" t="s">
        <v>74</v>
      </c>
      <c r="AP11" t="s">
        <v>1284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02:00</v>
      </c>
      <c r="AS11" s="16"/>
      <c r="AT11" t="s">
        <v>75</v>
      </c>
      <c r="AU11" t="s">
        <v>74</v>
      </c>
      <c r="AV11" t="s">
        <v>74</v>
      </c>
      <c r="AW11" t="s">
        <v>134</v>
      </c>
      <c r="AX11" t="s">
        <v>73</v>
      </c>
      <c r="AY11" t="s">
        <v>74</v>
      </c>
      <c r="AZ11" t="s">
        <v>74</v>
      </c>
      <c r="BA11" t="s">
        <v>1285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-01:00</v>
      </c>
      <c r="BD11" s="16"/>
      <c r="BE11" t="s">
        <v>75</v>
      </c>
      <c r="BF11" t="s">
        <v>76</v>
      </c>
      <c r="BG11" t="s">
        <v>77</v>
      </c>
      <c r="BH11" t="s">
        <v>73</v>
      </c>
      <c r="BI11" t="s">
        <v>74</v>
      </c>
      <c r="BJ11" t="s">
        <v>75</v>
      </c>
      <c r="BK11" t="s">
        <v>75</v>
      </c>
      <c r="BL11" t="s">
        <v>1286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38:00</v>
      </c>
      <c r="BN11" t="str">
        <f>min_hour( hour_min($BM$11)+-2280 + hour_min($BC$11))</f>
        <v>-01:00</v>
      </c>
      <c r="BO11" s="16"/>
      <c r="BP11" t="s">
        <v>75</v>
      </c>
      <c r="BQ11" t="s">
        <v>75</v>
      </c>
      <c r="BR11" t="s">
        <v>73</v>
      </c>
      <c r="BS11" t="s">
        <v>75</v>
      </c>
      <c r="BT11" t="s">
        <v>75</v>
      </c>
      <c r="BU11" t="s">
        <v>76</v>
      </c>
      <c r="BV11" t="s">
        <v>77</v>
      </c>
      <c r="BW11" t="s">
        <v>1287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38:00</v>
      </c>
      <c r="BY11" t="str">
        <f>min_hour( hour_min($BX$11)+-2280 + hour_min($BN$11))</f>
        <v>-01:00</v>
      </c>
      <c r="BZ11" s="16"/>
      <c r="CA11" t="s">
        <v>73</v>
      </c>
      <c r="CB11" t="s">
        <v>74</v>
      </c>
      <c r="CC11" t="s">
        <v>74</v>
      </c>
      <c r="CD11" t="s">
        <v>75</v>
      </c>
      <c r="CE11" t="s">
        <v>76</v>
      </c>
      <c r="CF11" t="s">
        <v>77</v>
      </c>
      <c r="CG11" t="s">
        <v>73</v>
      </c>
      <c r="CH11" t="s">
        <v>1288</v>
      </c>
      <c r="CI11" t="str">
        <f>min_hour(+IF($CA$11="M","420","0")+IF($CA$11="P","420","0")+IF($CA$11="F","420","0")+IF($CA$11="N","600","0")+IF($CA$11="M1","380","0")+IF($CA$11="P1","380","0")+IF($CA$11="L104","0","0")+IF($CA$11="MAL","0","0")+IF($CA$11="RC","0","0")+IF($CB$11="M","420","0")+IF($CB$11="P","420","0")+IF($CB$11="F","420","0")+IF($CB$11="N","600","0")+IF($CB$11="M1","380","0")+IF($CB$11="P1","380","0")+IF($CB$11="L104","0","0")+IF($CB$11="MAL","0","0")+IF($CB$11="RC","0","0")+IF($CC$11="M","420","0")+IF($CC$11="P","420","0")+IF($CC$11="F","420","0")+IF($CC$11="N","600","0")+IF($CC$11="M1","380","0")+IF($CC$11="P1","380","0")+IF($CC$11="L104","0","0")+IF($CC$11="MAL","0","0")+IF($CC$11="RC","0","0")+IF($CD$11="M","420","0")+IF($CD$11="P","420","0")+IF($CD$11="F","420","0")+IF($CD$11="N","600","0")+IF($CD$11="M1","380","0")+IF($CD$11="P1","380","0")+IF($CD$11="L104","0","0")+IF($CD$11="MAL","0","0")+IF($CD$11="RC","0","0")+IF($CE$11="M","420","0")+IF($CE$11="P","420","0")+IF($CE$11="F","420","0")+IF($CE$11="N","600","0")+IF($CE$11="M1","380","0")+IF($CE$11="P1","380","0")+IF($CE$11="L104","0","0")+IF($CE$11="MAL","0","0")+IF($CE$11="RC","0","0")+IF($CF$11="M","420","0")+IF($CF$11="P","420","0")+IF($CF$11="F","420","0")+IF($CF$11="N","600","0")+IF($CF$11="M1","380","0")+IF($CF$11="P1","380","0")+IF($CF$11="L104","0","0")+IF($CF$11="MAL","0","0")+IF($CF$11="RC","0","0")+IF($CG$11="M","420","0")+IF($CG$11="P","420","0")+IF($CG$11="F","420","0")+IF($CG$11="N","600","0")+IF($CG$11="M1","380","0")+IF($CG$11="P1","380","0")+IF($CG$11="L104","0","0")+IF($CG$11="MAL","0","0")+IF($CG$11="RC","0","0"))</f>
        <v>31:00</v>
      </c>
      <c r="CJ11" t="str">
        <f>min_hour( hour_min($CI$11)+-2280 + hour_min($BY$11))</f>
        <v>-08:00</v>
      </c>
      <c r="CK11" s="16"/>
      <c r="CL11" t="s">
        <v>74</v>
      </c>
      <c r="CM11" t="s">
        <v>75</v>
      </c>
      <c r="CN11" t="s">
        <v>75</v>
      </c>
      <c r="CO11" t="s">
        <v>75</v>
      </c>
      <c r="CP11" t="s">
        <v>74</v>
      </c>
      <c r="CQ11" t="s">
        <v>73</v>
      </c>
      <c r="CR11" t="s">
        <v>73</v>
      </c>
      <c r="CS11" t="s">
        <v>1278</v>
      </c>
      <c r="CT11" t="str">
        <f>min_hour(+IF($CL$11="M","420","0")+IF($CL$11="P","420","0")+IF($CL$11="F","420","0")+IF($CL$11="N","600","0")+IF($CL$11="M1","380","0")+IF($CL$11="P1","380","0")+IF($CL$11="L104","0","0")+IF($CL$11="MAL","0","0")+IF($CL$11="RC","0","0")+IF($CM$11="M","420","0")+IF($CM$11="P","420","0")+IF($CM$11="F","420","0")+IF($CM$11="N","600","0")+IF($CM$11="M1","380","0")+IF($CM$11="P1","380","0")+IF($CM$11="L104","0","0")+IF($CM$11="MAL","0","0")+IF($CM$11="RC","0","0")+IF($CN$11="M","420","0")+IF($CN$11="P","420","0")+IF($CN$11="F","420","0")+IF($CN$11="N","600","0")+IF($CN$11="M1","380","0")+IF($CN$11="P1","380","0")+IF($CN$11="L104","0","0")+IF($CN$11="MAL","0","0")+IF($CN$11="RC","0","0")+IF($CO$11="M","420","0")+IF($CO$11="P","420","0")+IF($CO$11="F","420","0")+IF($CO$11="N","600","0")+IF($CO$11="M1","380","0")+IF($CO$11="P1","380","0")+IF($CO$11="L104","0","0")+IF($CO$11="MAL","0","0")+IF($CO$11="RC","0","0")+IF($CP$11="M","420","0")+IF($CP$11="P","420","0")+IF($CP$11="F","420","0")+IF($CP$11="N","600","0")+IF($CP$11="M1","380","0")+IF($CP$11="P1","380","0")+IF($CP$11="L104","0","0")+IF($CP$11="MAL","0","0")+IF($CP$11="RC","0","0")+IF($CQ$11="M","420","0")+IF($CQ$11="P","420","0")+IF($CQ$11="F","420","0")+IF($CQ$11="N","600","0")+IF($CQ$11="M1","380","0")+IF($CQ$11="P1","380","0")+IF($CQ$11="L104","0","0")+IF($CQ$11="MAL","0","0")+IF($CQ$11="RC","0","0")+IF($CR$11="M","420","0")+IF($CR$11="P","420","0")+IF($CR$11="F","420","0")+IF($CR$11="N","600","0")+IF($CR$11="M1","380","0")+IF($CR$11="P1","380","0")+IF($CR$11="L104","0","0")+IF($CR$11="MAL","0","0")+IF($CR$11="RC","0","0"))</f>
        <v>35:00</v>
      </c>
      <c r="CU11" t="str">
        <f>min_hour( hour_min($CT$11)+-2280 + hour_min($CJ$11))</f>
        <v>-11:00</v>
      </c>
      <c r="CV11" s="16"/>
      <c r="CW11" t="s">
        <v>73</v>
      </c>
      <c r="CX11" t="s">
        <v>75</v>
      </c>
      <c r="CY11" t="s">
        <v>76</v>
      </c>
      <c r="CZ11" t="s">
        <v>77</v>
      </c>
      <c r="DA11" t="s">
        <v>73</v>
      </c>
      <c r="DB11" t="s">
        <v>74</v>
      </c>
      <c r="DC11" t="s">
        <v>75</v>
      </c>
      <c r="DD11" t="s">
        <v>1279</v>
      </c>
      <c r="DE11" t="str">
        <f>min_hour(+IF($CW$11="M","420","0")+IF($CW$11="P","420","0")+IF($CW$11="F","420","0")+IF($CW$11="N","600","0")+IF($CW$11="M1","380","0")+IF($CW$11="P1","380","0")+IF($CW$11="L104","0","0")+IF($CW$11="MAL","0","0")+IF($CW$11="RC","0","0")+IF($CX$11="M","420","0")+IF($CX$11="P","420","0")+IF($CX$11="F","420","0")+IF($CX$11="N","600","0")+IF($CX$11="M1","380","0")+IF($CX$11="P1","380","0")+IF($CX$11="L104","0","0")+IF($CX$11="MAL","0","0")+IF($CX$11="RC","0","0")+IF($CY$11="M","420","0")+IF($CY$11="P","420","0")+IF($CY$11="F","420","0")+IF($CY$11="N","600","0")+IF($CY$11="M1","380","0")+IF($CY$11="P1","380","0")+IF($CY$11="L104","0","0")+IF($CY$11="MAL","0","0")+IF($CY$11="RC","0","0")+IF($CZ$11="M","420","0")+IF($CZ$11="P","420","0")+IF($CZ$11="F","420","0")+IF($CZ$11="N","600","0")+IF($CZ$11="M1","380","0")+IF($CZ$11="P1","380","0")+IF($CZ$11="L104","0","0")+IF($CZ$11="MAL","0","0")+IF($CZ$11="RC","0","0")+IF($DA$11="M","420","0")+IF($DA$11="P","420","0")+IF($DA$11="F","420","0")+IF($DA$11="N","600","0")+IF($DA$11="M1","380","0")+IF($DA$11="P1","380","0")+IF($DA$11="L104","0","0")+IF($DA$11="MAL","0","0")+IF($DA$11="RC","0","0")+IF($DB$11="M","420","0")+IF($DB$11="P","420","0")+IF($DB$11="F","420","0")+IF($DB$11="N","600","0")+IF($DB$11="M1","380","0")+IF($DB$11="P1","380","0")+IF($DB$11="L104","0","0")+IF($DB$11="MAL","0","0")+IF($DB$11="RC","0","0")+IF($DC$11="M","420","0")+IF($DC$11="P","420","0")+IF($DC$11="F","420","0")+IF($DC$11="N","600","0")+IF($DC$11="M1","380","0")+IF($DC$11="P1","380","0")+IF($DC$11="L104","0","0")+IF($DC$11="MAL","0","0")+IF($DC$11="RC","0","0"))</f>
        <v>31:00</v>
      </c>
      <c r="DF11" t="str">
        <f>min_hour( hour_min($DE$11)+-2280 + hour_min($CU$11))</f>
        <v>-18:00</v>
      </c>
    </row>
    <row r="12" spans="1:110">
      <c r="A12" t="s">
        <v>94</v>
      </c>
      <c r="B12" t="s">
        <v>7</v>
      </c>
      <c r="C12" t="s">
        <v>8</v>
      </c>
      <c r="I12" s="16"/>
      <c r="J12" t="s">
        <v>1271</v>
      </c>
      <c r="K12">
        <v>11</v>
      </c>
      <c r="L12" s="10">
        <v>41212</v>
      </c>
      <c r="M12">
        <v>44</v>
      </c>
      <c r="N12">
        <v>2016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min_hour(540)</f>
        <v>09:00</v>
      </c>
      <c r="W12" s="16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1288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hour_min($AF$12)+540-2280 )</f>
        <v>02:00</v>
      </c>
      <c r="AH12" s="16"/>
      <c r="AI12" t="s">
        <v>75</v>
      </c>
      <c r="AJ12" t="s">
        <v>75</v>
      </c>
      <c r="AK12" t="s">
        <v>75</v>
      </c>
      <c r="AL12" t="s">
        <v>75</v>
      </c>
      <c r="AM12" t="s">
        <v>75</v>
      </c>
      <c r="AN12" t="s">
        <v>73</v>
      </c>
      <c r="AO12" t="s">
        <v>75</v>
      </c>
      <c r="AP12" t="s">
        <v>1278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06:00</v>
      </c>
      <c r="AS12" s="16"/>
      <c r="AT12" t="s">
        <v>74</v>
      </c>
      <c r="AU12" t="s">
        <v>75</v>
      </c>
      <c r="AV12" t="s">
        <v>76</v>
      </c>
      <c r="AW12" t="s">
        <v>77</v>
      </c>
      <c r="AX12" t="s">
        <v>73</v>
      </c>
      <c r="AY12" t="s">
        <v>74</v>
      </c>
      <c r="AZ12" t="s">
        <v>74</v>
      </c>
      <c r="BA12" t="s">
        <v>1279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06:00</v>
      </c>
      <c r="BD12" s="16"/>
      <c r="BE12" t="s">
        <v>74</v>
      </c>
      <c r="BF12" t="s">
        <v>75</v>
      </c>
      <c r="BG12" t="s">
        <v>74</v>
      </c>
      <c r="BH12" t="s">
        <v>73</v>
      </c>
      <c r="BI12" t="s">
        <v>134</v>
      </c>
      <c r="BJ12" t="s">
        <v>74</v>
      </c>
      <c r="BK12" t="s">
        <v>75</v>
      </c>
      <c r="BL12" t="s">
        <v>1280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03:00</v>
      </c>
      <c r="BO12" s="16"/>
      <c r="BP12" t="s">
        <v>76</v>
      </c>
      <c r="BQ12" t="s">
        <v>77</v>
      </c>
      <c r="BR12" t="s">
        <v>73</v>
      </c>
      <c r="BS12" t="s">
        <v>74</v>
      </c>
      <c r="BT12" t="s">
        <v>92</v>
      </c>
      <c r="BU12" t="s">
        <v>75</v>
      </c>
      <c r="BV12" t="s">
        <v>76</v>
      </c>
      <c r="BW12" t="s">
        <v>1281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41:00</v>
      </c>
      <c r="BY12" t="str">
        <f>min_hour( hour_min($BX$12)+-2280 + hour_min($BN$12))</f>
        <v>06:00</v>
      </c>
      <c r="BZ12" s="16"/>
      <c r="CA12" t="s">
        <v>77</v>
      </c>
      <c r="CB12" t="s">
        <v>73</v>
      </c>
      <c r="CC12" t="s">
        <v>74</v>
      </c>
      <c r="CD12" t="s">
        <v>74</v>
      </c>
      <c r="CE12" t="s">
        <v>74</v>
      </c>
      <c r="CF12" t="s">
        <v>75</v>
      </c>
      <c r="CG12" t="s">
        <v>92</v>
      </c>
      <c r="CH12" t="s">
        <v>1282</v>
      </c>
      <c r="CI12" t="str">
        <f>min_hour(+IF($CA$12="M","420","0")+IF($CA$12="P","420","0")+IF($CA$12="F","420","0")+IF($CA$12="N","600","0")+IF($CA$12="M1","380","0")+IF($CA$12="P1","380","0")+IF($CA$12="L104","0","0")+IF($CA$12="MAL","0","0")+IF($CA$12="RC","0","0")+IF($CB$12="M","420","0")+IF($CB$12="P","420","0")+IF($CB$12="F","420","0")+IF($CB$12="N","600","0")+IF($CB$12="M1","380","0")+IF($CB$12="P1","380","0")+IF($CB$12="L104","0","0")+IF($CB$12="MAL","0","0")+IF($CB$12="RC","0","0")+IF($CC$12="M","420","0")+IF($CC$12="P","420","0")+IF($CC$12="F","420","0")+IF($CC$12="N","600","0")+IF($CC$12="M1","380","0")+IF($CC$12="P1","380","0")+IF($CC$12="L104","0","0")+IF($CC$12="MAL","0","0")+IF($CC$12="RC","0","0")+IF($CD$12="M","420","0")+IF($CD$12="P","420","0")+IF($CD$12="F","420","0")+IF($CD$12="N","600","0")+IF($CD$12="M1","380","0")+IF($CD$12="P1","380","0")+IF($CD$12="L104","0","0")+IF($CD$12="MAL","0","0")+IF($CD$12="RC","0","0")+IF($CE$12="M","420","0")+IF($CE$12="P","420","0")+IF($CE$12="F","420","0")+IF($CE$12="N","600","0")+IF($CE$12="M1","380","0")+IF($CE$12="P1","380","0")+IF($CE$12="L104","0","0")+IF($CE$12="MAL","0","0")+IF($CE$12="RC","0","0")+IF($CF$12="M","420","0")+IF($CF$12="P","420","0")+IF($CF$12="F","420","0")+IF($CF$12="N","600","0")+IF($CF$12="M1","380","0")+IF($CF$12="P1","380","0")+IF($CF$12="L104","0","0")+IF($CF$12="MAL","0","0")+IF($CF$12="RC","0","0")+IF($CG$12="M","420","0")+IF($CG$12="P","420","0")+IF($CG$12="F","420","0")+IF($CG$12="N","600","0")+IF($CG$12="M1","380","0")+IF($CG$12="P1","380","0")+IF($CG$12="L104","0","0")+IF($CG$12="MAL","0","0")+IF($CG$12="RC","0","0"))</f>
        <v>35:00</v>
      </c>
      <c r="CJ12" t="str">
        <f>min_hour( hour_min($CI$12)+-2280 + hour_min($BY$12))</f>
        <v>03:00</v>
      </c>
      <c r="CK12" s="16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75</v>
      </c>
      <c r="CR12" t="s">
        <v>73</v>
      </c>
      <c r="CS12" t="s">
        <v>1283</v>
      </c>
      <c r="CT12" t="str">
        <f>min_hour(+IF($CL$12="M","420","0")+IF($CL$12="P","420","0")+IF($CL$12="F","420","0")+IF($CL$12="N","600","0")+IF($CL$12="M1","380","0")+IF($CL$12="P1","380","0")+IF($CL$12="L104","0","0")+IF($CL$12="MAL","0","0")+IF($CL$12="RC","0","0")+IF($CM$12="M","420","0")+IF($CM$12="P","420","0")+IF($CM$12="F","420","0")+IF($CM$12="N","600","0")+IF($CM$12="M1","380","0")+IF($CM$12="P1","380","0")+IF($CM$12="L104","0","0")+IF($CM$12="MAL","0","0")+IF($CM$12="RC","0","0")+IF($CN$12="M","420","0")+IF($CN$12="P","420","0")+IF($CN$12="F","420","0")+IF($CN$12="N","600","0")+IF($CN$12="M1","380","0")+IF($CN$12="P1","380","0")+IF($CN$12="L104","0","0")+IF($CN$12="MAL","0","0")+IF($CN$12="RC","0","0")+IF($CO$12="M","420","0")+IF($CO$12="P","420","0")+IF($CO$12="F","420","0")+IF($CO$12="N","600","0")+IF($CO$12="M1","380","0")+IF($CO$12="P1","380","0")+IF($CO$12="L104","0","0")+IF($CO$12="MAL","0","0")+IF($CO$12="RC","0","0")+IF($CP$12="M","420","0")+IF($CP$12="P","420","0")+IF($CP$12="F","420","0")+IF($CP$12="N","600","0")+IF($CP$12="M1","380","0")+IF($CP$12="P1","380","0")+IF($CP$12="L104","0","0")+IF($CP$12="MAL","0","0")+IF($CP$12="RC","0","0")+IF($CQ$12="M","420","0")+IF($CQ$12="P","420","0")+IF($CQ$12="F","420","0")+IF($CQ$12="N","600","0")+IF($CQ$12="M1","380","0")+IF($CQ$12="P1","380","0")+IF($CQ$12="L104","0","0")+IF($CQ$12="MAL","0","0")+IF($CQ$12="RC","0","0")+IF($CR$12="M","420","0")+IF($CR$12="P","420","0")+IF($CR$12="F","420","0")+IF($CR$12="N","600","0")+IF($CR$12="M1","380","0")+IF($CR$12="P1","380","0")+IF($CR$12="L104","0","0")+IF($CR$12="MAL","0","0")+IF($CR$12="RC","0","0"))</f>
        <v>35:00</v>
      </c>
      <c r="CU12" t="str">
        <f>min_hour( hour_min($CT$12)+-2280 + hour_min($CJ$12))</f>
        <v>00:00</v>
      </c>
      <c r="CV12" s="16"/>
      <c r="CW12" t="s">
        <v>75</v>
      </c>
      <c r="CX12" t="s">
        <v>75</v>
      </c>
      <c r="CY12" t="s">
        <v>75</v>
      </c>
      <c r="CZ12" t="s">
        <v>76</v>
      </c>
      <c r="DA12" t="s">
        <v>77</v>
      </c>
      <c r="DB12" t="s">
        <v>73</v>
      </c>
      <c r="DC12" t="s">
        <v>74</v>
      </c>
      <c r="DD12" t="s">
        <v>1284</v>
      </c>
      <c r="DE12" t="str">
        <f>min_hour(+IF($CW$12="M","420","0")+IF($CW$12="P","420","0")+IF($CW$12="F","420","0")+IF($CW$12="N","600","0")+IF($CW$12="M1","380","0")+IF($CW$12="P1","380","0")+IF($CW$12="L104","0","0")+IF($CW$12="MAL","0","0")+IF($CW$12="RC","0","0")+IF($CX$12="M","420","0")+IF($CX$12="P","420","0")+IF($CX$12="F","420","0")+IF($CX$12="N","600","0")+IF($CX$12="M1","380","0")+IF($CX$12="P1","380","0")+IF($CX$12="L104","0","0")+IF($CX$12="MAL","0","0")+IF($CX$12="RC","0","0")+IF($CY$12="M","420","0")+IF($CY$12="P","420","0")+IF($CY$12="F","420","0")+IF($CY$12="N","600","0")+IF($CY$12="M1","380","0")+IF($CY$12="P1","380","0")+IF($CY$12="L104","0","0")+IF($CY$12="MAL","0","0")+IF($CY$12="RC","0","0")+IF($CZ$12="M","420","0")+IF($CZ$12="P","420","0")+IF($CZ$12="F","420","0")+IF($CZ$12="N","600","0")+IF($CZ$12="M1","380","0")+IF($CZ$12="P1","380","0")+IF($CZ$12="L104","0","0")+IF($CZ$12="MAL","0","0")+IF($CZ$12="RC","0","0")+IF($DA$12="M","420","0")+IF($DA$12="P","420","0")+IF($DA$12="F","420","0")+IF($DA$12="N","600","0")+IF($DA$12="M1","380","0")+IF($DA$12="P1","380","0")+IF($DA$12="L104","0","0")+IF($DA$12="MAL","0","0")+IF($DA$12="RC","0","0")+IF($DB$12="M","420","0")+IF($DB$12="P","420","0")+IF($DB$12="F","420","0")+IF($DB$12="N","600","0")+IF($DB$12="M1","380","0")+IF($DB$12="P1","380","0")+IF($DB$12="L104","0","0")+IF($DB$12="MAL","0","0")+IF($DB$12="RC","0","0")+IF($DC$12="M","420","0")+IF($DC$12="P","420","0")+IF($DC$12="F","420","0")+IF($DC$12="N","600","0")+IF($DC$12="M1","380","0")+IF($DC$12="P1","380","0")+IF($DC$12="L104","0","0")+IF($DC$12="MAL","0","0")+IF($DC$12="RC","0","0"))</f>
        <v>38:00</v>
      </c>
      <c r="DF12" t="str">
        <f>min_hour( hour_min($DE$12)+-2280 + hour_min($CU$12))</f>
        <v>00:00</v>
      </c>
    </row>
    <row r="13" spans="1:110">
      <c r="A13" t="s">
        <v>96</v>
      </c>
      <c r="B13" t="s">
        <v>9</v>
      </c>
      <c r="C13" t="s">
        <v>10</v>
      </c>
      <c r="I13" s="16"/>
      <c r="J13" t="s">
        <v>1271</v>
      </c>
      <c r="K13">
        <v>1</v>
      </c>
      <c r="L13" s="10">
        <v>41212</v>
      </c>
      <c r="M13">
        <v>44</v>
      </c>
      <c r="N13">
        <v>2016</v>
      </c>
      <c r="O13" t="s">
        <v>73</v>
      </c>
      <c r="P13" t="s">
        <v>74</v>
      </c>
      <c r="Q13" t="s">
        <v>75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6"/>
      <c r="X13" t="s">
        <v>74</v>
      </c>
      <c r="Y13" t="s">
        <v>75</v>
      </c>
      <c r="Z13" t="s">
        <v>75</v>
      </c>
      <c r="AA13" t="s">
        <v>75</v>
      </c>
      <c r="AB13" t="s">
        <v>75</v>
      </c>
      <c r="AC13" t="s">
        <v>73</v>
      </c>
      <c r="AD13" t="s">
        <v>75</v>
      </c>
      <c r="AE13" t="s">
        <v>1278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hour_min($AF$13)+-360-2280 )</f>
        <v>-02:00</v>
      </c>
      <c r="AH13" s="16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1279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-02:00</v>
      </c>
      <c r="AS13" s="16"/>
      <c r="AT13" t="s">
        <v>74</v>
      </c>
      <c r="AU13" t="s">
        <v>75</v>
      </c>
      <c r="AV13" t="s">
        <v>74</v>
      </c>
      <c r="AW13" t="s">
        <v>73</v>
      </c>
      <c r="AX13" t="s">
        <v>74</v>
      </c>
      <c r="AY13" t="s">
        <v>74</v>
      </c>
      <c r="AZ13" t="s">
        <v>75</v>
      </c>
      <c r="BA13" t="s">
        <v>1280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42:00</v>
      </c>
      <c r="BC13" t="str">
        <f>min_hour( hour_min($BB$13)+-2280 + hour_min($AR$13))</f>
        <v>02:00</v>
      </c>
      <c r="BD13" s="16"/>
      <c r="BE13" t="s">
        <v>76</v>
      </c>
      <c r="BF13" t="s">
        <v>77</v>
      </c>
      <c r="BG13" t="s">
        <v>73</v>
      </c>
      <c r="BH13" t="s">
        <v>134</v>
      </c>
      <c r="BI13" t="s">
        <v>74</v>
      </c>
      <c r="BJ13" t="s">
        <v>75</v>
      </c>
      <c r="BK13" t="s">
        <v>76</v>
      </c>
      <c r="BL13" t="s">
        <v>1281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34:00</v>
      </c>
      <c r="BN13" t="str">
        <f>min_hour( hour_min($BM$13)+-2280 + hour_min($BC$13))</f>
        <v>-02:00</v>
      </c>
      <c r="BO13" s="16"/>
      <c r="BP13" t="s">
        <v>77</v>
      </c>
      <c r="BQ13" t="s">
        <v>73</v>
      </c>
      <c r="BR13" t="s">
        <v>74</v>
      </c>
      <c r="BS13" t="s">
        <v>74</v>
      </c>
      <c r="BT13" t="s">
        <v>75</v>
      </c>
      <c r="BU13" t="s">
        <v>75</v>
      </c>
      <c r="BV13" t="s">
        <v>75</v>
      </c>
      <c r="BW13" t="s">
        <v>1282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35:00</v>
      </c>
      <c r="BY13" t="str">
        <f>min_hour( hour_min($BX$13)+-2280 + hour_min($BN$13))</f>
        <v>-05:00</v>
      </c>
      <c r="BZ13" s="16"/>
      <c r="CA13" t="s">
        <v>73</v>
      </c>
      <c r="CB13" t="s">
        <v>92</v>
      </c>
      <c r="CC13" t="s">
        <v>92</v>
      </c>
      <c r="CD13" t="s">
        <v>74</v>
      </c>
      <c r="CE13" t="s">
        <v>74</v>
      </c>
      <c r="CF13" t="s">
        <v>75</v>
      </c>
      <c r="CG13" t="s">
        <v>73</v>
      </c>
      <c r="CH13" t="s">
        <v>1283</v>
      </c>
      <c r="CI13" t="str">
        <f>min_hour(+IF($CA$13="M","420","0")+IF($CA$13="P","420","0")+IF($CA$13="F","420","0")+IF($CA$13="N","600","0")+IF($CA$13="M1","380","0")+IF($CA$13="P1","380","0")+IF($CA$13="L104","0","0")+IF($CA$13="MAL","0","0")+IF($CA$13="RC","0","0")+IF($CB$13="M","420","0")+IF($CB$13="P","420","0")+IF($CB$13="F","420","0")+IF($CB$13="N","600","0")+IF($CB$13="M1","380","0")+IF($CB$13="P1","380","0")+IF($CB$13="L104","0","0")+IF($CB$13="MAL","0","0")+IF($CB$13="RC","0","0")+IF($CC$13="M","420","0")+IF($CC$13="P","420","0")+IF($CC$13="F","420","0")+IF($CC$13="N","600","0")+IF($CC$13="M1","380","0")+IF($CC$13="P1","380","0")+IF($CC$13="L104","0","0")+IF($CC$13="MAL","0","0")+IF($CC$13="RC","0","0")+IF($CD$13="M","420","0")+IF($CD$13="P","420","0")+IF($CD$13="F","420","0")+IF($CD$13="N","600","0")+IF($CD$13="M1","380","0")+IF($CD$13="P1","380","0")+IF($CD$13="L104","0","0")+IF($CD$13="MAL","0","0")+IF($CD$13="RC","0","0")+IF($CE$13="M","420","0")+IF($CE$13="P","420","0")+IF($CE$13="F","420","0")+IF($CE$13="N","600","0")+IF($CE$13="M1","380","0")+IF($CE$13="P1","380","0")+IF($CE$13="L104","0","0")+IF($CE$13="MAL","0","0")+IF($CE$13="RC","0","0")+IF($CF$13="M","420","0")+IF($CF$13="P","420","0")+IF($CF$13="F","420","0")+IF($CF$13="N","600","0")+IF($CF$13="M1","380","0")+IF($CF$13="P1","380","0")+IF($CF$13="L104","0","0")+IF($CF$13="MAL","0","0")+IF($CF$13="RC","0","0")+IF($CG$13="M","420","0")+IF($CG$13="P","420","0")+IF($CG$13="F","420","0")+IF($CG$13="N","600","0")+IF($CG$13="M1","380","0")+IF($CG$13="P1","380","0")+IF($CG$13="L104","0","0")+IF($CG$13="MAL","0","0")+IF($CG$13="RC","0","0"))</f>
        <v>35:00</v>
      </c>
      <c r="CJ13" t="str">
        <f>min_hour( hour_min($CI$13)+-2280 + hour_min($BY$13))</f>
        <v>-08:00</v>
      </c>
      <c r="CK13" s="16"/>
      <c r="CL13" t="s">
        <v>75</v>
      </c>
      <c r="CM13" t="s">
        <v>75</v>
      </c>
      <c r="CN13" t="s">
        <v>75</v>
      </c>
      <c r="CO13" t="s">
        <v>76</v>
      </c>
      <c r="CP13" t="s">
        <v>77</v>
      </c>
      <c r="CQ13" t="s">
        <v>73</v>
      </c>
      <c r="CR13" t="s">
        <v>74</v>
      </c>
      <c r="CS13" t="s">
        <v>1284</v>
      </c>
      <c r="CT13" t="str">
        <f>min_hour(+IF($CL$13="M","420","0")+IF($CL$13="P","420","0")+IF($CL$13="F","420","0")+IF($CL$13="N","600","0")+IF($CL$13="M1","380","0")+IF($CL$13="P1","380","0")+IF($CL$13="L104","0","0")+IF($CL$13="MAL","0","0")+IF($CL$13="RC","0","0")+IF($CM$13="M","420","0")+IF($CM$13="P","420","0")+IF($CM$13="F","420","0")+IF($CM$13="N","600","0")+IF($CM$13="M1","380","0")+IF($CM$13="P1","380","0")+IF($CM$13="L104","0","0")+IF($CM$13="MAL","0","0")+IF($CM$13="RC","0","0")+IF($CN$13="M","420","0")+IF($CN$13="P","420","0")+IF($CN$13="F","420","0")+IF($CN$13="N","600","0")+IF($CN$13="M1","380","0")+IF($CN$13="P1","380","0")+IF($CN$13="L104","0","0")+IF($CN$13="MAL","0","0")+IF($CN$13="RC","0","0")+IF($CO$13="M","420","0")+IF($CO$13="P","420","0")+IF($CO$13="F","420","0")+IF($CO$13="N","600","0")+IF($CO$13="M1","380","0")+IF($CO$13="P1","380","0")+IF($CO$13="L104","0","0")+IF($CO$13="MAL","0","0")+IF($CO$13="RC","0","0")+IF($CP$13="M","420","0")+IF($CP$13="P","420","0")+IF($CP$13="F","420","0")+IF($CP$13="N","600","0")+IF($CP$13="M1","380","0")+IF($CP$13="P1","380","0")+IF($CP$13="L104","0","0")+IF($CP$13="MAL","0","0")+IF($CP$13="RC","0","0")+IF($CQ$13="M","420","0")+IF($CQ$13="P","420","0")+IF($CQ$13="F","420","0")+IF($CQ$13="N","600","0")+IF($CQ$13="M1","380","0")+IF($CQ$13="P1","380","0")+IF($CQ$13="L104","0","0")+IF($CQ$13="MAL","0","0")+IF($CQ$13="RC","0","0")+IF($CR$13="M","420","0")+IF($CR$13="P","420","0")+IF($CR$13="F","420","0")+IF($CR$13="N","600","0")+IF($CR$13="M1","380","0")+IF($CR$13="P1","380","0")+IF($CR$13="L104","0","0")+IF($CR$13="MAL","0","0")+IF($CR$13="RC","0","0"))</f>
        <v>38:00</v>
      </c>
      <c r="CU13" t="str">
        <f>min_hour( hour_min($CT$13)+-2280 + hour_min($CJ$13))</f>
        <v>-08:00</v>
      </c>
      <c r="CV13" s="16"/>
      <c r="CW13" t="s">
        <v>73</v>
      </c>
      <c r="CX13" t="s">
        <v>92</v>
      </c>
      <c r="CY13" t="s">
        <v>74</v>
      </c>
      <c r="CZ13" t="s">
        <v>75</v>
      </c>
      <c r="DA13" t="s">
        <v>73</v>
      </c>
      <c r="DB13" t="s">
        <v>74</v>
      </c>
      <c r="DC13" t="s">
        <v>73</v>
      </c>
      <c r="DD13" t="s">
        <v>1285</v>
      </c>
      <c r="DE13" t="str">
        <f>min_hour(+IF($CW$13="M","420","0")+IF($CW$13="P","420","0")+IF($CW$13="F","420","0")+IF($CW$13="N","600","0")+IF($CW$13="M1","380","0")+IF($CW$13="P1","380","0")+IF($CW$13="L104","0","0")+IF($CW$13="MAL","0","0")+IF($CW$13="RC","0","0")+IF($CX$13="M","420","0")+IF($CX$13="P","420","0")+IF($CX$13="F","420","0")+IF($CX$13="N","600","0")+IF($CX$13="M1","380","0")+IF($CX$13="P1","380","0")+IF($CX$13="L104","0","0")+IF($CX$13="MAL","0","0")+IF($CX$13="RC","0","0")+IF($CY$13="M","420","0")+IF($CY$13="P","420","0")+IF($CY$13="F","420","0")+IF($CY$13="N","600","0")+IF($CY$13="M1","380","0")+IF($CY$13="P1","380","0")+IF($CY$13="L104","0","0")+IF($CY$13="MAL","0","0")+IF($CY$13="RC","0","0")+IF($CZ$13="M","420","0")+IF($CZ$13="P","420","0")+IF($CZ$13="F","420","0")+IF($CZ$13="N","600","0")+IF($CZ$13="M1","380","0")+IF($CZ$13="P1","380","0")+IF($CZ$13="L104","0","0")+IF($CZ$13="MAL","0","0")+IF($CZ$13="RC","0","0")+IF($DA$13="M","420","0")+IF($DA$13="P","420","0")+IF($DA$13="F","420","0")+IF($DA$13="N","600","0")+IF($DA$13="M1","380","0")+IF($DA$13="P1","380","0")+IF($DA$13="L104","0","0")+IF($DA$13="MAL","0","0")+IF($DA$13="RC","0","0")+IF($DB$13="M","420","0")+IF($DB$13="P","420","0")+IF($DB$13="F","420","0")+IF($DB$13="N","600","0")+IF($DB$13="M1","380","0")+IF($DB$13="P1","380","0")+IF($DB$13="L104","0","0")+IF($DB$13="MAL","0","0")+IF($DB$13="RC","0","0")+IF($DC$13="M","420","0")+IF($DC$13="P","420","0")+IF($DC$13="F","420","0")+IF($DC$13="N","600","0")+IF($DC$13="M1","380","0")+IF($DC$13="P1","380","0")+IF($DC$13="L104","0","0")+IF($DC$13="MAL","0","0")+IF($DC$13="RC","0","0"))</f>
        <v>28:00</v>
      </c>
      <c r="DF13" t="str">
        <f>min_hour( hour_min($DE$13)+-2280 + hour_min($CU$13))</f>
        <v>-18:00</v>
      </c>
    </row>
    <row r="14" spans="1:110">
      <c r="A14" t="s">
        <v>97</v>
      </c>
      <c r="B14" t="s">
        <v>11</v>
      </c>
      <c r="C14" t="s">
        <v>12</v>
      </c>
      <c r="I14" s="16"/>
      <c r="J14" t="s">
        <v>1271</v>
      </c>
      <c r="K14">
        <v>2</v>
      </c>
      <c r="L14" s="10">
        <v>41212</v>
      </c>
      <c r="M14">
        <v>44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min_hour(-300)</f>
        <v>-05:00</v>
      </c>
      <c r="W14" s="16"/>
      <c r="X14" t="s">
        <v>74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1279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hour_min($AF$14)+-300-2280 )</f>
        <v>-05:00</v>
      </c>
      <c r="AH14" s="16"/>
      <c r="AI14" t="s">
        <v>74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1280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42:00</v>
      </c>
      <c r="AR14" t="str">
        <f>min_hour( hour_min($AQ$14)+-2280 + hour_min($AG$14))</f>
        <v>-01:00</v>
      </c>
      <c r="AS14" s="16"/>
      <c r="AT14" t="s">
        <v>76</v>
      </c>
      <c r="AU14" t="s">
        <v>77</v>
      </c>
      <c r="AV14" t="s">
        <v>73</v>
      </c>
      <c r="AW14" t="s">
        <v>74</v>
      </c>
      <c r="AX14" t="s">
        <v>74</v>
      </c>
      <c r="AY14" t="s">
        <v>75</v>
      </c>
      <c r="AZ14" t="s">
        <v>76</v>
      </c>
      <c r="BA14" t="s">
        <v>1281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41:00</v>
      </c>
      <c r="BC14" t="str">
        <f>min_hour( hour_min($BB$14)+-2280 + hour_min($AR$14))</f>
        <v>02:00</v>
      </c>
      <c r="BD14" s="16"/>
      <c r="BE14" t="s">
        <v>77</v>
      </c>
      <c r="BF14" t="s">
        <v>73</v>
      </c>
      <c r="BG14" t="s">
        <v>74</v>
      </c>
      <c r="BH14" t="s">
        <v>74</v>
      </c>
      <c r="BI14" t="s">
        <v>74</v>
      </c>
      <c r="BJ14" t="s">
        <v>75</v>
      </c>
      <c r="BK14" t="s">
        <v>74</v>
      </c>
      <c r="BL14" t="s">
        <v>1282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35:00</v>
      </c>
      <c r="BN14" t="str">
        <f>min_hour( hour_min($BM$14)+-2280 + hour_min($BC$14))</f>
        <v>-01:00</v>
      </c>
      <c r="BO14" s="16"/>
      <c r="BP14" t="s">
        <v>73</v>
      </c>
      <c r="BQ14" t="s">
        <v>74</v>
      </c>
      <c r="BR14" t="s">
        <v>75</v>
      </c>
      <c r="BS14" t="s">
        <v>73</v>
      </c>
      <c r="BT14" t="s">
        <v>75</v>
      </c>
      <c r="BU14" t="s">
        <v>75</v>
      </c>
      <c r="BV14" t="s">
        <v>73</v>
      </c>
      <c r="BW14" t="s">
        <v>1283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28:00</v>
      </c>
      <c r="BY14" t="str">
        <f>min_hour( hour_min($BX$14)+-2280 + hour_min($BN$14))</f>
        <v>-11:00</v>
      </c>
      <c r="BZ14" s="16"/>
      <c r="CA14" t="s">
        <v>75</v>
      </c>
      <c r="CB14" t="s">
        <v>75</v>
      </c>
      <c r="CC14" t="s">
        <v>75</v>
      </c>
      <c r="CD14" t="s">
        <v>76</v>
      </c>
      <c r="CE14" t="s">
        <v>77</v>
      </c>
      <c r="CF14" t="s">
        <v>73</v>
      </c>
      <c r="CG14" t="s">
        <v>74</v>
      </c>
      <c r="CH14" t="s">
        <v>1284</v>
      </c>
      <c r="CI14" t="str">
        <f>min_hour(+IF($CA$14="M","420","0")+IF($CA$14="P","420","0")+IF($CA$14="F","420","0")+IF($CA$14="N","600","0")+IF($CA$14="M1","380","0")+IF($CA$14="P1","380","0")+IF($CA$14="L104","0","0")+IF($CA$14="MAL","0","0")+IF($CA$14="RC","0","0")+IF($CB$14="M","420","0")+IF($CB$14="P","420","0")+IF($CB$14="F","420","0")+IF($CB$14="N","600","0")+IF($CB$14="M1","380","0")+IF($CB$14="P1","380","0")+IF($CB$14="L104","0","0")+IF($CB$14="MAL","0","0")+IF($CB$14="RC","0","0")+IF($CC$14="M","420","0")+IF($CC$14="P","420","0")+IF($CC$14="F","420","0")+IF($CC$14="N","600","0")+IF($CC$14="M1","380","0")+IF($CC$14="P1","380","0")+IF($CC$14="L104","0","0")+IF($CC$14="MAL","0","0")+IF($CC$14="RC","0","0")+IF($CD$14="M","420","0")+IF($CD$14="P","420","0")+IF($CD$14="F","420","0")+IF($CD$14="N","600","0")+IF($CD$14="M1","380","0")+IF($CD$14="P1","380","0")+IF($CD$14="L104","0","0")+IF($CD$14="MAL","0","0")+IF($CD$14="RC","0","0")+IF($CE$14="M","420","0")+IF($CE$14="P","420","0")+IF($CE$14="F","420","0")+IF($CE$14="N","600","0")+IF($CE$14="M1","380","0")+IF($CE$14="P1","380","0")+IF($CE$14="L104","0","0")+IF($CE$14="MAL","0","0")+IF($CE$14="RC","0","0")+IF($CF$14="M","420","0")+IF($CF$14="P","420","0")+IF($CF$14="F","420","0")+IF($CF$14="N","600","0")+IF($CF$14="M1","380","0")+IF($CF$14="P1","380","0")+IF($CF$14="L104","0","0")+IF($CF$14="MAL","0","0")+IF($CF$14="RC","0","0")+IF($CG$14="M","420","0")+IF($CG$14="P","420","0")+IF($CG$14="F","420","0")+IF($CG$14="N","600","0")+IF($CG$14="M1","380","0")+IF($CG$14="P1","380","0")+IF($CG$14="L104","0","0")+IF($CG$14="MAL","0","0")+IF($CG$14="RC","0","0"))</f>
        <v>38:00</v>
      </c>
      <c r="CJ14" t="str">
        <f>min_hour( hour_min($CI$14)+-2280 + hour_min($BY$14))</f>
        <v>-11:00</v>
      </c>
      <c r="CK14" s="16"/>
      <c r="CL14" t="s">
        <v>75</v>
      </c>
      <c r="CM14" t="s">
        <v>74</v>
      </c>
      <c r="CN14" t="s">
        <v>75</v>
      </c>
      <c r="CO14" t="s">
        <v>75</v>
      </c>
      <c r="CP14" t="s">
        <v>73</v>
      </c>
      <c r="CQ14" t="s">
        <v>74</v>
      </c>
      <c r="CR14" t="s">
        <v>73</v>
      </c>
      <c r="CS14" t="s">
        <v>1285</v>
      </c>
      <c r="CT14" t="str">
        <f>min_hour(+IF($CL$14="M","420","0")+IF($CL$14="P","420","0")+IF($CL$14="F","420","0")+IF($CL$14="N","600","0")+IF($CL$14="M1","380","0")+IF($CL$14="P1","380","0")+IF($CL$14="L104","0","0")+IF($CL$14="MAL","0","0")+IF($CL$14="RC","0","0")+IF($CM$14="M","420","0")+IF($CM$14="P","420","0")+IF($CM$14="F","420","0")+IF($CM$14="N","600","0")+IF($CM$14="M1","380","0")+IF($CM$14="P1","380","0")+IF($CM$14="L104","0","0")+IF($CM$14="MAL","0","0")+IF($CM$14="RC","0","0")+IF($CN$14="M","420","0")+IF($CN$14="P","420","0")+IF($CN$14="F","420","0")+IF($CN$14="N","600","0")+IF($CN$14="M1","380","0")+IF($CN$14="P1","380","0")+IF($CN$14="L104","0","0")+IF($CN$14="MAL","0","0")+IF($CN$14="RC","0","0")+IF($CO$14="M","420","0")+IF($CO$14="P","420","0")+IF($CO$14="F","420","0")+IF($CO$14="N","600","0")+IF($CO$14="M1","380","0")+IF($CO$14="P1","380","0")+IF($CO$14="L104","0","0")+IF($CO$14="MAL","0","0")+IF($CO$14="RC","0","0")+IF($CP$14="M","420","0")+IF($CP$14="P","420","0")+IF($CP$14="F","420","0")+IF($CP$14="N","600","0")+IF($CP$14="M1","380","0")+IF($CP$14="P1","380","0")+IF($CP$14="L104","0","0")+IF($CP$14="MAL","0","0")+IF($CP$14="RC","0","0")+IF($CQ$14="M","420","0")+IF($CQ$14="P","420","0")+IF($CQ$14="F","420","0")+IF($CQ$14="N","600","0")+IF($CQ$14="M1","380","0")+IF($CQ$14="P1","380","0")+IF($CQ$14="L104","0","0")+IF($CQ$14="MAL","0","0")+IF($CQ$14="RC","0","0")+IF($CR$14="M","420","0")+IF($CR$14="P","420","0")+IF($CR$14="F","420","0")+IF($CR$14="N","600","0")+IF($CR$14="M1","380","0")+IF($CR$14="P1","380","0")+IF($CR$14="L104","0","0")+IF($CR$14="MAL","0","0")+IF($CR$14="RC","0","0"))</f>
        <v>35:00</v>
      </c>
      <c r="CU14" t="str">
        <f>min_hour( hour_min($CT$14)+-2280 + hour_min($CJ$14))</f>
        <v>-14:00</v>
      </c>
      <c r="CV14" s="16"/>
      <c r="CW14" t="s">
        <v>75</v>
      </c>
      <c r="CX14" t="s">
        <v>76</v>
      </c>
      <c r="CY14" t="s">
        <v>77</v>
      </c>
      <c r="CZ14" t="s">
        <v>73</v>
      </c>
      <c r="DA14" t="s">
        <v>74</v>
      </c>
      <c r="DB14" t="s">
        <v>75</v>
      </c>
      <c r="DC14" t="s">
        <v>75</v>
      </c>
      <c r="DD14" t="s">
        <v>1286</v>
      </c>
      <c r="DE14" t="str">
        <f>min_hour(+IF($CW$14="M","420","0")+IF($CW$14="P","420","0")+IF($CW$14="F","420","0")+IF($CW$14="N","600","0")+IF($CW$14="M1","380","0")+IF($CW$14="P1","380","0")+IF($CW$14="L104","0","0")+IF($CW$14="MAL","0","0")+IF($CW$14="RC","0","0")+IF($CX$14="M","420","0")+IF($CX$14="P","420","0")+IF($CX$14="F","420","0")+IF($CX$14="N","600","0")+IF($CX$14="M1","380","0")+IF($CX$14="P1","380","0")+IF($CX$14="L104","0","0")+IF($CX$14="MAL","0","0")+IF($CX$14="RC","0","0")+IF($CY$14="M","420","0")+IF($CY$14="P","420","0")+IF($CY$14="F","420","0")+IF($CY$14="N","600","0")+IF($CY$14="M1","380","0")+IF($CY$14="P1","380","0")+IF($CY$14="L104","0","0")+IF($CY$14="MAL","0","0")+IF($CY$14="RC","0","0")+IF($CZ$14="M","420","0")+IF($CZ$14="P","420","0")+IF($CZ$14="F","420","0")+IF($CZ$14="N","600","0")+IF($CZ$14="M1","380","0")+IF($CZ$14="P1","380","0")+IF($CZ$14="L104","0","0")+IF($CZ$14="MAL","0","0")+IF($CZ$14="RC","0","0")+IF($DA$14="M","420","0")+IF($DA$14="P","420","0")+IF($DA$14="F","420","0")+IF($DA$14="N","600","0")+IF($DA$14="M1","380","0")+IF($DA$14="P1","380","0")+IF($DA$14="L104","0","0")+IF($DA$14="MAL","0","0")+IF($DA$14="RC","0","0")+IF($DB$14="M","420","0")+IF($DB$14="P","420","0")+IF($DB$14="F","420","0")+IF($DB$14="N","600","0")+IF($DB$14="M1","380","0")+IF($DB$14="P1","380","0")+IF($DB$14="L104","0","0")+IF($DB$14="MAL","0","0")+IF($DB$14="RC","0","0")+IF($DC$14="M","420","0")+IF($DC$14="P","420","0")+IF($DC$14="F","420","0")+IF($DC$14="N","600","0")+IF($DC$14="M1","380","0")+IF($DC$14="P1","380","0")+IF($DC$14="L104","0","0")+IF($DC$14="MAL","0","0")+IF($DC$14="RC","0","0"))</f>
        <v>38:00</v>
      </c>
      <c r="DF14" t="str">
        <f>min_hour( hour_min($DE$14)+-2280 + hour_min($CU$14))</f>
        <v>-14:00</v>
      </c>
    </row>
    <row r="15" spans="1:110">
      <c r="A15" t="s">
        <v>120</v>
      </c>
      <c r="B15" t="s">
        <v>13</v>
      </c>
      <c r="C15" t="s">
        <v>14</v>
      </c>
      <c r="I15" s="16"/>
      <c r="J15" t="s">
        <v>1320</v>
      </c>
      <c r="K15">
        <v>1</v>
      </c>
      <c r="L15" s="10">
        <v>41212</v>
      </c>
      <c r="M15">
        <v>44</v>
      </c>
      <c r="N15">
        <v>2016</v>
      </c>
      <c r="O15" t="s">
        <v>126</v>
      </c>
      <c r="P15" t="s">
        <v>126</v>
      </c>
      <c r="Q15" t="s">
        <v>126</v>
      </c>
      <c r="R15" t="s">
        <v>126</v>
      </c>
      <c r="S15" t="s">
        <v>126</v>
      </c>
      <c r="T15" t="s">
        <v>126</v>
      </c>
      <c r="U15" t="s">
        <v>126</v>
      </c>
      <c r="V15" t="str">
        <f>min_hour(-11940)</f>
        <v>-199:00</v>
      </c>
      <c r="W15" s="16"/>
      <c r="X15" t="s">
        <v>126</v>
      </c>
      <c r="Y15" t="s">
        <v>126</v>
      </c>
      <c r="Z15" t="s">
        <v>126</v>
      </c>
      <c r="AA15" t="s">
        <v>126</v>
      </c>
      <c r="AB15" t="s">
        <v>126</v>
      </c>
      <c r="AC15" t="s">
        <v>126</v>
      </c>
      <c r="AD15" t="s">
        <v>126</v>
      </c>
      <c r="AE15" t="s">
        <v>1377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hour_min($AF$15)+-11940-2280 )</f>
        <v>-237:00</v>
      </c>
      <c r="AH15" s="16"/>
      <c r="AI15" t="s">
        <v>126</v>
      </c>
      <c r="AJ15" t="s">
        <v>126</v>
      </c>
      <c r="AK15" t="s">
        <v>126</v>
      </c>
      <c r="AL15" t="s">
        <v>126</v>
      </c>
      <c r="AM15" t="s">
        <v>126</v>
      </c>
      <c r="AN15" t="s">
        <v>126</v>
      </c>
      <c r="AO15" t="s">
        <v>126</v>
      </c>
      <c r="AP15" t="s">
        <v>1377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-275:00</v>
      </c>
      <c r="AS15" s="16"/>
      <c r="AT15" t="s">
        <v>126</v>
      </c>
      <c r="AU15" t="s">
        <v>126</v>
      </c>
      <c r="AV15" t="s">
        <v>126</v>
      </c>
      <c r="AW15" t="s">
        <v>126</v>
      </c>
      <c r="AX15" t="s">
        <v>126</v>
      </c>
      <c r="AY15" t="s">
        <v>126</v>
      </c>
      <c r="AZ15" t="s">
        <v>126</v>
      </c>
      <c r="BA15" t="s">
        <v>1377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-313:00</v>
      </c>
      <c r="BD15" s="16"/>
      <c r="BE15" t="s">
        <v>126</v>
      </c>
      <c r="BF15" t="s">
        <v>126</v>
      </c>
      <c r="BG15" t="s">
        <v>126</v>
      </c>
      <c r="BH15" t="s">
        <v>126</v>
      </c>
      <c r="BI15" t="s">
        <v>126</v>
      </c>
      <c r="BJ15" t="s">
        <v>126</v>
      </c>
      <c r="BK15" t="s">
        <v>126</v>
      </c>
      <c r="BL15" t="s">
        <v>1377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-351:00</v>
      </c>
      <c r="BO15" s="16"/>
      <c r="BP15" t="s">
        <v>126</v>
      </c>
      <c r="BQ15" t="s">
        <v>126</v>
      </c>
      <c r="BR15" t="s">
        <v>126</v>
      </c>
      <c r="BS15" t="s">
        <v>126</v>
      </c>
      <c r="BT15" t="s">
        <v>126</v>
      </c>
      <c r="BU15" t="s">
        <v>126</v>
      </c>
      <c r="BV15" t="s">
        <v>126</v>
      </c>
      <c r="BW15" t="s">
        <v>1377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-389:00</v>
      </c>
      <c r="BZ15" s="16"/>
      <c r="CA15" t="s">
        <v>126</v>
      </c>
      <c r="CB15" t="s">
        <v>126</v>
      </c>
      <c r="CC15" t="s">
        <v>126</v>
      </c>
      <c r="CD15" t="s">
        <v>126</v>
      </c>
      <c r="CE15" t="s">
        <v>126</v>
      </c>
      <c r="CF15" t="s">
        <v>126</v>
      </c>
      <c r="CG15" t="s">
        <v>126</v>
      </c>
      <c r="CH15" t="s">
        <v>1377</v>
      </c>
      <c r="CI15" t="str">
        <f>min_hour(+IF($CA$15="M","420","0")+IF($CA$15="P","420","0")+IF($CA$15="F","420","0")+IF($CA$15="N","600","0")+IF($CA$15="M1","380","0")+IF($CA$15="P1","380","0")+IF($CA$15="L104","0","0")+IF($CA$15="MAL","0","0")+IF($CA$15="RC","0","0")+IF($CB$15="M","420","0")+IF($CB$15="P","420","0")+IF($CB$15="F","420","0")+IF($CB$15="N","600","0")+IF($CB$15="M1","380","0")+IF($CB$15="P1","380","0")+IF($CB$15="L104","0","0")+IF($CB$15="MAL","0","0")+IF($CB$15="RC","0","0")+IF($CC$15="M","420","0")+IF($CC$15="P","420","0")+IF($CC$15="F","420","0")+IF($CC$15="N","600","0")+IF($CC$15="M1","380","0")+IF($CC$15="P1","380","0")+IF($CC$15="L104","0","0")+IF($CC$15="MAL","0","0")+IF($CC$15="RC","0","0")+IF($CD$15="M","420","0")+IF($CD$15="P","420","0")+IF($CD$15="F","420","0")+IF($CD$15="N","600","0")+IF($CD$15="M1","380","0")+IF($CD$15="P1","380","0")+IF($CD$15="L104","0","0")+IF($CD$15="MAL","0","0")+IF($CD$15="RC","0","0")+IF($CE$15="M","420","0")+IF($CE$15="P","420","0")+IF($CE$15="F","420","0")+IF($CE$15="N","600","0")+IF($CE$15="M1","380","0")+IF($CE$15="P1","380","0")+IF($CE$15="L104","0","0")+IF($CE$15="MAL","0","0")+IF($CE$15="RC","0","0")+IF($CF$15="M","420","0")+IF($CF$15="P","420","0")+IF($CF$15="F","420","0")+IF($CF$15="N","600","0")+IF($CF$15="M1","380","0")+IF($CF$15="P1","380","0")+IF($CF$15="L104","0","0")+IF($CF$15="MAL","0","0")+IF($CF$15="RC","0","0")+IF($CG$15="M","420","0")+IF($CG$15="P","420","0")+IF($CG$15="F","420","0")+IF($CG$15="N","600","0")+IF($CG$15="M1","380","0")+IF($CG$15="P1","380","0")+IF($CG$15="L104","0","0")+IF($CG$15="MAL","0","0")+IF($CG$15="RC","0","0"))</f>
        <v>00:00</v>
      </c>
      <c r="CJ15" t="str">
        <f>min_hour( hour_min($CI$15)+-2280 + hour_min($BY$15))</f>
        <v>-427:00</v>
      </c>
      <c r="CK15" s="16"/>
      <c r="CL15" t="s">
        <v>126</v>
      </c>
      <c r="CM15" t="s">
        <v>126</v>
      </c>
      <c r="CN15" t="s">
        <v>126</v>
      </c>
      <c r="CO15" t="s">
        <v>126</v>
      </c>
      <c r="CP15" t="s">
        <v>126</v>
      </c>
      <c r="CQ15" t="s">
        <v>126</v>
      </c>
      <c r="CR15" t="s">
        <v>126</v>
      </c>
      <c r="CS15" t="s">
        <v>1377</v>
      </c>
      <c r="CT15" t="str">
        <f>min_hour(+IF($CL$15="M","420","0")+IF($CL$15="P","420","0")+IF($CL$15="F","420","0")+IF($CL$15="N","600","0")+IF($CL$15="M1","380","0")+IF($CL$15="P1","380","0")+IF($CL$15="L104","0","0")+IF($CL$15="MAL","0","0")+IF($CL$15="RC","0","0")+IF($CM$15="M","420","0")+IF($CM$15="P","420","0")+IF($CM$15="F","420","0")+IF($CM$15="N","600","0")+IF($CM$15="M1","380","0")+IF($CM$15="P1","380","0")+IF($CM$15="L104","0","0")+IF($CM$15="MAL","0","0")+IF($CM$15="RC","0","0")+IF($CN$15="M","420","0")+IF($CN$15="P","420","0")+IF($CN$15="F","420","0")+IF($CN$15="N","600","0")+IF($CN$15="M1","380","0")+IF($CN$15="P1","380","0")+IF($CN$15="L104","0","0")+IF($CN$15="MAL","0","0")+IF($CN$15="RC","0","0")+IF($CO$15="M","420","0")+IF($CO$15="P","420","0")+IF($CO$15="F","420","0")+IF($CO$15="N","600","0")+IF($CO$15="M1","380","0")+IF($CO$15="P1","380","0")+IF($CO$15="L104","0","0")+IF($CO$15="MAL","0","0")+IF($CO$15="RC","0","0")+IF($CP$15="M","420","0")+IF($CP$15="P","420","0")+IF($CP$15="F","420","0")+IF($CP$15="N","600","0")+IF($CP$15="M1","380","0")+IF($CP$15="P1","380","0")+IF($CP$15="L104","0","0")+IF($CP$15="MAL","0","0")+IF($CP$15="RC","0","0")+IF($CQ$15="M","420","0")+IF($CQ$15="P","420","0")+IF($CQ$15="F","420","0")+IF($CQ$15="N","600","0")+IF($CQ$15="M1","380","0")+IF($CQ$15="P1","380","0")+IF($CQ$15="L104","0","0")+IF($CQ$15="MAL","0","0")+IF($CQ$15="RC","0","0")+IF($CR$15="M","420","0")+IF($CR$15="P","420","0")+IF($CR$15="F","420","0")+IF($CR$15="N","600","0")+IF($CR$15="M1","380","0")+IF($CR$15="P1","380","0")+IF($CR$15="L104","0","0")+IF($CR$15="MAL","0","0")+IF($CR$15="RC","0","0"))</f>
        <v>00:00</v>
      </c>
      <c r="CU15" t="str">
        <f>min_hour( hour_min($CT$15)+-2280 + hour_min($CJ$15))</f>
        <v>-465:00</v>
      </c>
      <c r="CV15" s="16"/>
      <c r="CW15" t="s">
        <v>126</v>
      </c>
      <c r="CX15" t="s">
        <v>126</v>
      </c>
      <c r="CY15" t="s">
        <v>126</v>
      </c>
      <c r="CZ15" t="s">
        <v>126</v>
      </c>
      <c r="DA15" t="s">
        <v>126</v>
      </c>
      <c r="DB15" t="s">
        <v>126</v>
      </c>
      <c r="DC15" t="s">
        <v>126</v>
      </c>
      <c r="DD15" t="s">
        <v>1377</v>
      </c>
      <c r="DE15" t="str">
        <f>min_hour(+IF($CW$15="M","420","0")+IF($CW$15="P","420","0")+IF($CW$15="F","420","0")+IF($CW$15="N","600","0")+IF($CW$15="M1","380","0")+IF($CW$15="P1","380","0")+IF($CW$15="L104","0","0")+IF($CW$15="MAL","0","0")+IF($CW$15="RC","0","0")+IF($CX$15="M","420","0")+IF($CX$15="P","420","0")+IF($CX$15="F","420","0")+IF($CX$15="N","600","0")+IF($CX$15="M1","380","0")+IF($CX$15="P1","380","0")+IF($CX$15="L104","0","0")+IF($CX$15="MAL","0","0")+IF($CX$15="RC","0","0")+IF($CY$15="M","420","0")+IF($CY$15="P","420","0")+IF($CY$15="F","420","0")+IF($CY$15="N","600","0")+IF($CY$15="M1","380","0")+IF($CY$15="P1","380","0")+IF($CY$15="L104","0","0")+IF($CY$15="MAL","0","0")+IF($CY$15="RC","0","0")+IF($CZ$15="M","420","0")+IF($CZ$15="P","420","0")+IF($CZ$15="F","420","0")+IF($CZ$15="N","600","0")+IF($CZ$15="M1","380","0")+IF($CZ$15="P1","380","0")+IF($CZ$15="L104","0","0")+IF($CZ$15="MAL","0","0")+IF($CZ$15="RC","0","0")+IF($DA$15="M","420","0")+IF($DA$15="P","420","0")+IF($DA$15="F","420","0")+IF($DA$15="N","600","0")+IF($DA$15="M1","380","0")+IF($DA$15="P1","380","0")+IF($DA$15="L104","0","0")+IF($DA$15="MAL","0","0")+IF($DA$15="RC","0","0")+IF($DB$15="M","420","0")+IF($DB$15="P","420","0")+IF($DB$15="F","420","0")+IF($DB$15="N","600","0")+IF($DB$15="M1","380","0")+IF($DB$15="P1","380","0")+IF($DB$15="L104","0","0")+IF($DB$15="MAL","0","0")+IF($DB$15="RC","0","0")+IF($DC$15="M","420","0")+IF($DC$15="P","420","0")+IF($DC$15="F","420","0")+IF($DC$15="N","600","0")+IF($DC$15="M1","380","0")+IF($DC$15="P1","380","0")+IF($DC$15="L104","0","0")+IF($DC$15="MAL","0","0")+IF($DC$15="RC","0","0"))</f>
        <v>00:00</v>
      </c>
      <c r="DF15" t="str">
        <f>min_hour( hour_min($DE$15)+-2280 + hour_min($CU$15))</f>
        <v>-503:00</v>
      </c>
    </row>
    <row r="16" spans="1:110">
      <c r="A16" t="s">
        <v>98</v>
      </c>
      <c r="B16" t="s">
        <v>13</v>
      </c>
      <c r="C16" t="s">
        <v>15</v>
      </c>
      <c r="I16" s="16"/>
      <c r="J16" t="s">
        <v>1272</v>
      </c>
      <c r="K16">
        <v>3</v>
      </c>
      <c r="L16" s="10">
        <v>41212</v>
      </c>
      <c r="M16">
        <v>44</v>
      </c>
      <c r="N16">
        <v>2016</v>
      </c>
      <c r="O16" t="s">
        <v>74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min_hour(1500)</f>
        <v>25:00</v>
      </c>
      <c r="W16" s="16"/>
      <c r="X16" t="s">
        <v>134</v>
      </c>
      <c r="Y16" t="s">
        <v>73</v>
      </c>
      <c r="Z16" t="s">
        <v>134</v>
      </c>
      <c r="AA16" t="s">
        <v>75</v>
      </c>
      <c r="AB16" t="s">
        <v>74</v>
      </c>
      <c r="AC16" t="s">
        <v>75</v>
      </c>
      <c r="AD16" t="s">
        <v>75</v>
      </c>
      <c r="AE16" t="s">
        <v>1321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28:00</v>
      </c>
      <c r="AG16" t="str">
        <f>min_hour( hour_min($AF$16)+1500-2280 )</f>
        <v>15:00</v>
      </c>
      <c r="AH16" s="16"/>
      <c r="AI16" t="s">
        <v>73</v>
      </c>
      <c r="AJ16" t="s">
        <v>75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1322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35:00</v>
      </c>
      <c r="AR16" t="str">
        <f>min_hour( hour_min($AQ$16)+-2280 + hour_min($AG$16))</f>
        <v>12:00</v>
      </c>
      <c r="AS16" s="16"/>
      <c r="AT16" t="s">
        <v>75</v>
      </c>
      <c r="AU16" t="s">
        <v>74</v>
      </c>
      <c r="AV16" t="s">
        <v>74</v>
      </c>
      <c r="AW16" t="s">
        <v>134</v>
      </c>
      <c r="AX16" t="s">
        <v>134</v>
      </c>
      <c r="AY16" t="s">
        <v>73</v>
      </c>
      <c r="AZ16" t="s">
        <v>75</v>
      </c>
      <c r="BA16" t="s">
        <v>1323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28:00</v>
      </c>
      <c r="BC16" t="str">
        <f>min_hour( hour_min($BB$16)+-2280 + hour_min($AR$16))</f>
        <v>02:00</v>
      </c>
      <c r="BD16" s="16"/>
      <c r="BE16" t="s">
        <v>75</v>
      </c>
      <c r="BF16" t="s">
        <v>74</v>
      </c>
      <c r="BG16" t="s">
        <v>75</v>
      </c>
      <c r="BH16" t="s">
        <v>134</v>
      </c>
      <c r="BI16" t="s">
        <v>73</v>
      </c>
      <c r="BJ16" t="s">
        <v>74</v>
      </c>
      <c r="BK16" t="s">
        <v>74</v>
      </c>
      <c r="BL16" t="s">
        <v>1324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35:00</v>
      </c>
      <c r="BN16" t="str">
        <f>min_hour( hour_min($BM$16)+-2280 + hour_min($BC$16))</f>
        <v>-01:00</v>
      </c>
      <c r="BO16" s="16"/>
      <c r="BP16" t="s">
        <v>75</v>
      </c>
      <c r="BQ16" t="s">
        <v>75</v>
      </c>
      <c r="BR16" t="s">
        <v>75</v>
      </c>
      <c r="BS16" t="s">
        <v>75</v>
      </c>
      <c r="BT16" t="s">
        <v>73</v>
      </c>
      <c r="BU16" t="s">
        <v>75</v>
      </c>
      <c r="BV16" t="s">
        <v>75</v>
      </c>
      <c r="BW16" t="s">
        <v>1325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03:00</v>
      </c>
      <c r="BZ16" s="16"/>
      <c r="CA16" t="s">
        <v>75</v>
      </c>
      <c r="CB16" t="s">
        <v>74</v>
      </c>
      <c r="CC16" t="s">
        <v>73</v>
      </c>
      <c r="CD16" t="s">
        <v>134</v>
      </c>
      <c r="CE16" t="s">
        <v>74</v>
      </c>
      <c r="CF16" t="s">
        <v>74</v>
      </c>
      <c r="CG16" t="s">
        <v>76</v>
      </c>
      <c r="CH16" t="s">
        <v>1326</v>
      </c>
      <c r="CI16" t="str">
        <f>min_hour(+IF($CA$16="M","420","0")+IF($CA$16="P","420","0")+IF($CA$16="F","420","0")+IF($CA$16="N","600","0")+IF($CA$16="M1","380","0")+IF($CA$16="P1","380","0")+IF($CA$16="L104","0","0")+IF($CA$16="MAL","0","0")+IF($CA$16="RC","0","0")+IF($CB$16="M","420","0")+IF($CB$16="P","420","0")+IF($CB$16="F","420","0")+IF($CB$16="N","600","0")+IF($CB$16="M1","380","0")+IF($CB$16="P1","380","0")+IF($CB$16="L104","0","0")+IF($CB$16="MAL","0","0")+IF($CB$16="RC","0","0")+IF($CC$16="M","420","0")+IF($CC$16="P","420","0")+IF($CC$16="F","420","0")+IF($CC$16="N","600","0")+IF($CC$16="M1","380","0")+IF($CC$16="P1","380","0")+IF($CC$16="L104","0","0")+IF($CC$16="MAL","0","0")+IF($CC$16="RC","0","0")+IF($CD$16="M","420","0")+IF($CD$16="P","420","0")+IF($CD$16="F","420","0")+IF($CD$16="N","600","0")+IF($CD$16="M1","380","0")+IF($CD$16="P1","380","0")+IF($CD$16="L104","0","0")+IF($CD$16="MAL","0","0")+IF($CD$16="RC","0","0")+IF($CE$16="M","420","0")+IF($CE$16="P","420","0")+IF($CE$16="F","420","0")+IF($CE$16="N","600","0")+IF($CE$16="M1","380","0")+IF($CE$16="P1","380","0")+IF($CE$16="L104","0","0")+IF($CE$16="MAL","0","0")+IF($CE$16="RC","0","0")+IF($CF$16="M","420","0")+IF($CF$16="P","420","0")+IF($CF$16="F","420","0")+IF($CF$16="N","600","0")+IF($CF$16="M1","380","0")+IF($CF$16="P1","380","0")+IF($CF$16="L104","0","0")+IF($CF$16="MAL","0","0")+IF($CF$16="RC","0","0")+IF($CG$16="M","420","0")+IF($CG$16="P","420","0")+IF($CG$16="F","420","0")+IF($CG$16="N","600","0")+IF($CG$16="M1","380","0")+IF($CG$16="P1","380","0")+IF($CG$16="L104","0","0")+IF($CG$16="MAL","0","0")+IF($CG$16="RC","0","0"))</f>
        <v>38:00</v>
      </c>
      <c r="CJ16" t="str">
        <f>min_hour( hour_min($CI$16)+-2280 + hour_min($BY$16))</f>
        <v>03:00</v>
      </c>
      <c r="CK16" s="16"/>
      <c r="CL16" t="s">
        <v>77</v>
      </c>
      <c r="CM16" t="s">
        <v>73</v>
      </c>
      <c r="CN16" t="s">
        <v>75</v>
      </c>
      <c r="CO16" t="s">
        <v>75</v>
      </c>
      <c r="CP16" t="s">
        <v>76</v>
      </c>
      <c r="CQ16" t="s">
        <v>77</v>
      </c>
      <c r="CR16" t="s">
        <v>73</v>
      </c>
      <c r="CS16" t="s">
        <v>1321</v>
      </c>
      <c r="CT16" t="str">
        <f>min_hour(+IF($CL$16="M","420","0")+IF($CL$16="P","420","0")+IF($CL$16="F","420","0")+IF($CL$16="N","600","0")+IF($CL$16="M1","380","0")+IF($CL$16="P1","380","0")+IF($CL$16="L104","0","0")+IF($CL$16="MAL","0","0")+IF($CL$16="RC","0","0")+IF($CM$16="M","420","0")+IF($CM$16="P","420","0")+IF($CM$16="F","420","0")+IF($CM$16="N","600","0")+IF($CM$16="M1","380","0")+IF($CM$16="P1","380","0")+IF($CM$16="L104","0","0")+IF($CM$16="MAL","0","0")+IF($CM$16="RC","0","0")+IF($CN$16="M","420","0")+IF($CN$16="P","420","0")+IF($CN$16="F","420","0")+IF($CN$16="N","600","0")+IF($CN$16="M1","380","0")+IF($CN$16="P1","380","0")+IF($CN$16="L104","0","0")+IF($CN$16="MAL","0","0")+IF($CN$16="RC","0","0")+IF($CO$16="M","420","0")+IF($CO$16="P","420","0")+IF($CO$16="F","420","0")+IF($CO$16="N","600","0")+IF($CO$16="M1","380","0")+IF($CO$16="P1","380","0")+IF($CO$16="L104","0","0")+IF($CO$16="MAL","0","0")+IF($CO$16="RC","0","0")+IF($CP$16="M","420","0")+IF($CP$16="P","420","0")+IF($CP$16="F","420","0")+IF($CP$16="N","600","0")+IF($CP$16="M1","380","0")+IF($CP$16="P1","380","0")+IF($CP$16="L104","0","0")+IF($CP$16="MAL","0","0")+IF($CP$16="RC","0","0")+IF($CQ$16="M","420","0")+IF($CQ$16="P","420","0")+IF($CQ$16="F","420","0")+IF($CQ$16="N","600","0")+IF($CQ$16="M1","380","0")+IF($CQ$16="P1","380","0")+IF($CQ$16="L104","0","0")+IF($CQ$16="MAL","0","0")+IF($CQ$16="RC","0","0")+IF($CR$16="M","420","0")+IF($CR$16="P","420","0")+IF($CR$16="F","420","0")+IF($CR$16="N","600","0")+IF($CR$16="M1","380","0")+IF($CR$16="P1","380","0")+IF($CR$16="L104","0","0")+IF($CR$16="MAL","0","0")+IF($CR$16="RC","0","0"))</f>
        <v>24:00</v>
      </c>
      <c r="CU16" t="str">
        <f>min_hour( hour_min($CT$16)+-2280 + hour_min($CJ$16))</f>
        <v>-11:00</v>
      </c>
      <c r="CV16" s="16"/>
      <c r="CW16" t="s">
        <v>75</v>
      </c>
      <c r="CX16" t="s">
        <v>75</v>
      </c>
      <c r="CY16" t="s">
        <v>75</v>
      </c>
      <c r="CZ16" t="s">
        <v>74</v>
      </c>
      <c r="DA16" t="s">
        <v>75</v>
      </c>
      <c r="DB16" t="s">
        <v>73</v>
      </c>
      <c r="DC16" t="s">
        <v>75</v>
      </c>
      <c r="DD16" t="s">
        <v>1322</v>
      </c>
      <c r="DE16" t="str">
        <f>min_hour(+IF($CW$16="M","420","0")+IF($CW$16="P","420","0")+IF($CW$16="F","420","0")+IF($CW$16="N","600","0")+IF($CW$16="M1","380","0")+IF($CW$16="P1","380","0")+IF($CW$16="L104","0","0")+IF($CW$16="MAL","0","0")+IF($CW$16="RC","0","0")+IF($CX$16="M","420","0")+IF($CX$16="P","420","0")+IF($CX$16="F","420","0")+IF($CX$16="N","600","0")+IF($CX$16="M1","380","0")+IF($CX$16="P1","380","0")+IF($CX$16="L104","0","0")+IF($CX$16="MAL","0","0")+IF($CX$16="RC","0","0")+IF($CY$16="M","420","0")+IF($CY$16="P","420","0")+IF($CY$16="F","420","0")+IF($CY$16="N","600","0")+IF($CY$16="M1","380","0")+IF($CY$16="P1","380","0")+IF($CY$16="L104","0","0")+IF($CY$16="MAL","0","0")+IF($CY$16="RC","0","0")+IF($CZ$16="M","420","0")+IF($CZ$16="P","420","0")+IF($CZ$16="F","420","0")+IF($CZ$16="N","600","0")+IF($CZ$16="M1","380","0")+IF($CZ$16="P1","380","0")+IF($CZ$16="L104","0","0")+IF($CZ$16="MAL","0","0")+IF($CZ$16="RC","0","0")+IF($DA$16="M","420","0")+IF($DA$16="P","420","0")+IF($DA$16="F","420","0")+IF($DA$16="N","600","0")+IF($DA$16="M1","380","0")+IF($DA$16="P1","380","0")+IF($DA$16="L104","0","0")+IF($DA$16="MAL","0","0")+IF($DA$16="RC","0","0")+IF($DB$16="M","420","0")+IF($DB$16="P","420","0")+IF($DB$16="F","420","0")+IF($DB$16="N","600","0")+IF($DB$16="M1","380","0")+IF($DB$16="P1","380","0")+IF($DB$16="L104","0","0")+IF($DB$16="MAL","0","0")+IF($DB$16="RC","0","0")+IF($DC$16="M","420","0")+IF($DC$16="P","420","0")+IF($DC$16="F","420","0")+IF($DC$16="N","600","0")+IF($DC$16="M1","380","0")+IF($DC$16="P1","380","0")+IF($DC$16="L104","0","0")+IF($DC$16="MAL","0","0")+IF($DC$16="RC","0","0"))</f>
        <v>42:00</v>
      </c>
      <c r="DF16" t="str">
        <f>min_hour( hour_min($DE$16)+-2280 + hour_min($CU$16))</f>
        <v>-07:00</v>
      </c>
    </row>
    <row r="17" spans="1:110">
      <c r="A17" t="s">
        <v>99</v>
      </c>
      <c r="B17" t="s">
        <v>16</v>
      </c>
      <c r="C17" t="s">
        <v>17</v>
      </c>
      <c r="I17" s="16"/>
      <c r="J17" t="s">
        <v>1271</v>
      </c>
      <c r="K17">
        <v>7</v>
      </c>
      <c r="L17" s="10">
        <v>41212</v>
      </c>
      <c r="M17">
        <v>44</v>
      </c>
      <c r="N17">
        <v>2016</v>
      </c>
      <c r="O17" t="s">
        <v>73</v>
      </c>
      <c r="P17" t="s">
        <v>74</v>
      </c>
      <c r="Q17" t="s">
        <v>75</v>
      </c>
      <c r="R17" t="s">
        <v>74</v>
      </c>
      <c r="S17" t="s">
        <v>75</v>
      </c>
      <c r="T17" t="s">
        <v>75</v>
      </c>
      <c r="U17" t="s">
        <v>73</v>
      </c>
      <c r="V17" t="str">
        <f>min_hour(-120)</f>
        <v>-02:00</v>
      </c>
      <c r="W17" s="16"/>
      <c r="X17" t="s">
        <v>75</v>
      </c>
      <c r="Y17" t="s">
        <v>75</v>
      </c>
      <c r="Z17" t="s">
        <v>75</v>
      </c>
      <c r="AA17" t="s">
        <v>76</v>
      </c>
      <c r="AB17" t="s">
        <v>77</v>
      </c>
      <c r="AC17" t="s">
        <v>73</v>
      </c>
      <c r="AD17" t="s">
        <v>74</v>
      </c>
      <c r="AE17" t="s">
        <v>1284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hour_min($AF$17)+-120-2280 )</f>
        <v>-02:00</v>
      </c>
      <c r="AH17" s="16"/>
      <c r="AI17" t="s">
        <v>75</v>
      </c>
      <c r="AJ17" t="s">
        <v>74</v>
      </c>
      <c r="AK17" t="s">
        <v>74</v>
      </c>
      <c r="AL17" t="s">
        <v>75</v>
      </c>
      <c r="AM17" t="s">
        <v>73</v>
      </c>
      <c r="AN17" t="s">
        <v>74</v>
      </c>
      <c r="AO17" t="s">
        <v>75</v>
      </c>
      <c r="AP17" t="s">
        <v>1285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02:00</v>
      </c>
      <c r="AS17" s="16"/>
      <c r="AT17" t="s">
        <v>75</v>
      </c>
      <c r="AU17" t="s">
        <v>76</v>
      </c>
      <c r="AV17" t="s">
        <v>77</v>
      </c>
      <c r="AW17" t="s">
        <v>73</v>
      </c>
      <c r="AX17" t="s">
        <v>74</v>
      </c>
      <c r="AY17" t="s">
        <v>75</v>
      </c>
      <c r="AZ17" t="s">
        <v>75</v>
      </c>
      <c r="BA17" t="s">
        <v>1286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38:00</v>
      </c>
      <c r="BC17" t="str">
        <f>min_hour( hour_min($BB$17)+-2280 + hour_min($AR$17))</f>
        <v>02:00</v>
      </c>
      <c r="BD17" s="16"/>
      <c r="BE17" t="s">
        <v>75</v>
      </c>
      <c r="BF17" t="s">
        <v>75</v>
      </c>
      <c r="BG17" t="s">
        <v>73</v>
      </c>
      <c r="BH17" t="s">
        <v>75</v>
      </c>
      <c r="BI17" t="s">
        <v>75</v>
      </c>
      <c r="BJ17" t="s">
        <v>76</v>
      </c>
      <c r="BK17" t="s">
        <v>77</v>
      </c>
      <c r="BL17" t="s">
        <v>1287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6"/>
      <c r="BP17" t="s">
        <v>73</v>
      </c>
      <c r="BQ17" t="s">
        <v>74</v>
      </c>
      <c r="BR17" t="s">
        <v>75</v>
      </c>
      <c r="BS17" t="s">
        <v>75</v>
      </c>
      <c r="BT17" t="s">
        <v>76</v>
      </c>
      <c r="BU17" t="s">
        <v>77</v>
      </c>
      <c r="BV17" t="s">
        <v>73</v>
      </c>
      <c r="BW17" t="s">
        <v>1288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31:00</v>
      </c>
      <c r="BY17" t="str">
        <f>min_hour( hour_min($BX$17)+-2280 + hour_min($BN$17))</f>
        <v>-05:00</v>
      </c>
      <c r="BZ17" s="16"/>
      <c r="CA17" t="s">
        <v>75</v>
      </c>
      <c r="CB17" t="s">
        <v>75</v>
      </c>
      <c r="CC17" t="s">
        <v>75</v>
      </c>
      <c r="CD17" t="s">
        <v>75</v>
      </c>
      <c r="CE17" t="s">
        <v>75</v>
      </c>
      <c r="CF17" t="s">
        <v>73</v>
      </c>
      <c r="CG17" t="s">
        <v>74</v>
      </c>
      <c r="CH17" t="s">
        <v>1278</v>
      </c>
      <c r="CI17" t="str">
        <f>min_hour(+IF($CA$17="M","420","0")+IF($CA$17="P","420","0")+IF($CA$17="F","420","0")+IF($CA$17="N","600","0")+IF($CA$17="M1","380","0")+IF($CA$17="P1","380","0")+IF($CA$17="L104","0","0")+IF($CA$17="MAL","0","0")+IF($CA$17="RC","0","0")+IF($CB$17="M","420","0")+IF($CB$17="P","420","0")+IF($CB$17="F","420","0")+IF($CB$17="N","600","0")+IF($CB$17="M1","380","0")+IF($CB$17="P1","380","0")+IF($CB$17="L104","0","0")+IF($CB$17="MAL","0","0")+IF($CB$17="RC","0","0")+IF($CC$17="M","420","0")+IF($CC$17="P","420","0")+IF($CC$17="F","420","0")+IF($CC$17="N","600","0")+IF($CC$17="M1","380","0")+IF($CC$17="P1","380","0")+IF($CC$17="L104","0","0")+IF($CC$17="MAL","0","0")+IF($CC$17="RC","0","0")+IF($CD$17="M","420","0")+IF($CD$17="P","420","0")+IF($CD$17="F","420","0")+IF($CD$17="N","600","0")+IF($CD$17="M1","380","0")+IF($CD$17="P1","380","0")+IF($CD$17="L104","0","0")+IF($CD$17="MAL","0","0")+IF($CD$17="RC","0","0")+IF($CE$17="M","420","0")+IF($CE$17="P","420","0")+IF($CE$17="F","420","0")+IF($CE$17="N","600","0")+IF($CE$17="M1","380","0")+IF($CE$17="P1","380","0")+IF($CE$17="L104","0","0")+IF($CE$17="MAL","0","0")+IF($CE$17="RC","0","0")+IF($CF$17="M","420","0")+IF($CF$17="P","420","0")+IF($CF$17="F","420","0")+IF($CF$17="N","600","0")+IF($CF$17="M1","380","0")+IF($CF$17="P1","380","0")+IF($CF$17="L104","0","0")+IF($CF$17="MAL","0","0")+IF($CF$17="RC","0","0")+IF($CG$17="M","420","0")+IF($CG$17="P","420","0")+IF($CG$17="F","420","0")+IF($CG$17="N","600","0")+IF($CG$17="M1","380","0")+IF($CG$17="P1","380","0")+IF($CG$17="L104","0","0")+IF($CG$17="MAL","0","0")+IF($CG$17="RC","0","0"))</f>
        <v>42:00</v>
      </c>
      <c r="CJ17" t="str">
        <f>min_hour( hour_min($CI$17)+-2280 + hour_min($BY$17))</f>
        <v>-01:00</v>
      </c>
      <c r="CK17" s="16"/>
      <c r="CL17" t="s">
        <v>74</v>
      </c>
      <c r="CM17" t="s">
        <v>75</v>
      </c>
      <c r="CN17" t="s">
        <v>76</v>
      </c>
      <c r="CO17" t="s">
        <v>77</v>
      </c>
      <c r="CP17" t="s">
        <v>73</v>
      </c>
      <c r="CQ17" t="s">
        <v>74</v>
      </c>
      <c r="CR17" t="s">
        <v>73</v>
      </c>
      <c r="CS17" t="s">
        <v>1279</v>
      </c>
      <c r="CT17" t="str">
        <f>min_hour(+IF($CL$17="M","420","0")+IF($CL$17="P","420","0")+IF($CL$17="F","420","0")+IF($CL$17="N","600","0")+IF($CL$17="M1","380","0")+IF($CL$17="P1","380","0")+IF($CL$17="L104","0","0")+IF($CL$17="MAL","0","0")+IF($CL$17="RC","0","0")+IF($CM$17="M","420","0")+IF($CM$17="P","420","0")+IF($CM$17="F","420","0")+IF($CM$17="N","600","0")+IF($CM$17="M1","380","0")+IF($CM$17="P1","380","0")+IF($CM$17="L104","0","0")+IF($CM$17="MAL","0","0")+IF($CM$17="RC","0","0")+IF($CN$17="M","420","0")+IF($CN$17="P","420","0")+IF($CN$17="F","420","0")+IF($CN$17="N","600","0")+IF($CN$17="M1","380","0")+IF($CN$17="P1","380","0")+IF($CN$17="L104","0","0")+IF($CN$17="MAL","0","0")+IF($CN$17="RC","0","0")+IF($CO$17="M","420","0")+IF($CO$17="P","420","0")+IF($CO$17="F","420","0")+IF($CO$17="N","600","0")+IF($CO$17="M1","380","0")+IF($CO$17="P1","380","0")+IF($CO$17="L104","0","0")+IF($CO$17="MAL","0","0")+IF($CO$17="RC","0","0")+IF($CP$17="M","420","0")+IF($CP$17="P","420","0")+IF($CP$17="F","420","0")+IF($CP$17="N","600","0")+IF($CP$17="M1","380","0")+IF($CP$17="P1","380","0")+IF($CP$17="L104","0","0")+IF($CP$17="MAL","0","0")+IF($CP$17="RC","0","0")+IF($CQ$17="M","420","0")+IF($CQ$17="P","420","0")+IF($CQ$17="F","420","0")+IF($CQ$17="N","600","0")+IF($CQ$17="M1","380","0")+IF($CQ$17="P1","380","0")+IF($CQ$17="L104","0","0")+IF($CQ$17="MAL","0","0")+IF($CQ$17="RC","0","0")+IF($CR$17="M","420","0")+IF($CR$17="P","420","0")+IF($CR$17="F","420","0")+IF($CR$17="N","600","0")+IF($CR$17="M1","380","0")+IF($CR$17="P1","380","0")+IF($CR$17="L104","0","0")+IF($CR$17="MAL","0","0")+IF($CR$17="RC","0","0"))</f>
        <v>31:00</v>
      </c>
      <c r="CU17" t="str">
        <f>min_hour( hour_min($CT$17)+-2280 + hour_min($CJ$17))</f>
        <v>-08:00</v>
      </c>
      <c r="CV17" s="16"/>
      <c r="CW17" t="s">
        <v>74</v>
      </c>
      <c r="CX17" t="s">
        <v>75</v>
      </c>
      <c r="CY17" t="s">
        <v>75</v>
      </c>
      <c r="CZ17" t="s">
        <v>73</v>
      </c>
      <c r="DA17" t="s">
        <v>74</v>
      </c>
      <c r="DB17" t="s">
        <v>74</v>
      </c>
      <c r="DC17" t="s">
        <v>75</v>
      </c>
      <c r="DD17" t="s">
        <v>1280</v>
      </c>
      <c r="DE17" t="str">
        <f>min_hour(+IF($CW$17="M","420","0")+IF($CW$17="P","420","0")+IF($CW$17="F","420","0")+IF($CW$17="N","600","0")+IF($CW$17="M1","380","0")+IF($CW$17="P1","380","0")+IF($CW$17="L104","0","0")+IF($CW$17="MAL","0","0")+IF($CW$17="RC","0","0")+IF($CX$17="M","420","0")+IF($CX$17="P","420","0")+IF($CX$17="F","420","0")+IF($CX$17="N","600","0")+IF($CX$17="M1","380","0")+IF($CX$17="P1","380","0")+IF($CX$17="L104","0","0")+IF($CX$17="MAL","0","0")+IF($CX$17="RC","0","0")+IF($CY$17="M","420","0")+IF($CY$17="P","420","0")+IF($CY$17="F","420","0")+IF($CY$17="N","600","0")+IF($CY$17="M1","380","0")+IF($CY$17="P1","380","0")+IF($CY$17="L104","0","0")+IF($CY$17="MAL","0","0")+IF($CY$17="RC","0","0")+IF($CZ$17="M","420","0")+IF($CZ$17="P","420","0")+IF($CZ$17="F","420","0")+IF($CZ$17="N","600","0")+IF($CZ$17="M1","380","0")+IF($CZ$17="P1","380","0")+IF($CZ$17="L104","0","0")+IF($CZ$17="MAL","0","0")+IF($CZ$17="RC","0","0")+IF($DA$17="M","420","0")+IF($DA$17="P","420","0")+IF($DA$17="F","420","0")+IF($DA$17="N","600","0")+IF($DA$17="M1","380","0")+IF($DA$17="P1","380","0")+IF($DA$17="L104","0","0")+IF($DA$17="MAL","0","0")+IF($DA$17="RC","0","0")+IF($DB$17="M","420","0")+IF($DB$17="P","420","0")+IF($DB$17="F","420","0")+IF($DB$17="N","600","0")+IF($DB$17="M1","380","0")+IF($DB$17="P1","380","0")+IF($DB$17="L104","0","0")+IF($DB$17="MAL","0","0")+IF($DB$17="RC","0","0")+IF($DC$17="M","420","0")+IF($DC$17="P","420","0")+IF($DC$17="F","420","0")+IF($DC$17="N","600","0")+IF($DC$17="M1","380","0")+IF($DC$17="P1","380","0")+IF($DC$17="L104","0","0")+IF($DC$17="MAL","0","0")+IF($DC$17="RC","0","0"))</f>
        <v>42:00</v>
      </c>
      <c r="DF17" t="str">
        <f>min_hour( hour_min($DE$17)+-2280 + hour_min($CU$17))</f>
        <v>-04:00</v>
      </c>
    </row>
    <row r="18" spans="1:110">
      <c r="A18" t="s">
        <v>100</v>
      </c>
      <c r="B18" t="s">
        <v>18</v>
      </c>
      <c r="C18" t="s">
        <v>19</v>
      </c>
      <c r="I18" s="16"/>
      <c r="J18" t="s">
        <v>1271</v>
      </c>
      <c r="K18">
        <v>9</v>
      </c>
      <c r="L18" s="10">
        <v>41212</v>
      </c>
      <c r="M18">
        <v>44</v>
      </c>
      <c r="N18">
        <v>2016</v>
      </c>
      <c r="O18" t="s">
        <v>75</v>
      </c>
      <c r="P18" t="s">
        <v>74</v>
      </c>
      <c r="Q18" t="s">
        <v>74</v>
      </c>
      <c r="R18" t="s">
        <v>75</v>
      </c>
      <c r="S18" t="s">
        <v>73</v>
      </c>
      <c r="T18" t="s">
        <v>74</v>
      </c>
      <c r="U18" t="s">
        <v>74</v>
      </c>
      <c r="V18" t="str">
        <f>min_hour(540)</f>
        <v>09:00</v>
      </c>
      <c r="W18" s="16"/>
      <c r="X18" t="s">
        <v>75</v>
      </c>
      <c r="Y18" t="s">
        <v>76</v>
      </c>
      <c r="Z18" t="s">
        <v>77</v>
      </c>
      <c r="AA18" t="s">
        <v>73</v>
      </c>
      <c r="AB18" t="s">
        <v>74</v>
      </c>
      <c r="AC18" t="s">
        <v>75</v>
      </c>
      <c r="AD18" t="s">
        <v>75</v>
      </c>
      <c r="AE18" t="s">
        <v>1286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38:00</v>
      </c>
      <c r="AG18" t="str">
        <f>min_hour( hour_min($AF$18)+540-2280 )</f>
        <v>09:00</v>
      </c>
      <c r="AH18" s="16"/>
      <c r="AI18" t="s">
        <v>75</v>
      </c>
      <c r="AJ18" t="s">
        <v>75</v>
      </c>
      <c r="AK18" t="s">
        <v>73</v>
      </c>
      <c r="AL18" t="s">
        <v>75</v>
      </c>
      <c r="AM18" t="s">
        <v>75</v>
      </c>
      <c r="AN18" t="s">
        <v>76</v>
      </c>
      <c r="AO18" t="s">
        <v>77</v>
      </c>
      <c r="AP18" t="s">
        <v>1287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09:00</v>
      </c>
      <c r="AS18" s="16"/>
      <c r="AT18" t="s">
        <v>73</v>
      </c>
      <c r="AU18" t="s">
        <v>74</v>
      </c>
      <c r="AV18" t="s">
        <v>74</v>
      </c>
      <c r="AW18" t="s">
        <v>75</v>
      </c>
      <c r="AX18" t="s">
        <v>76</v>
      </c>
      <c r="AY18" t="s">
        <v>77</v>
      </c>
      <c r="AZ18" t="s">
        <v>73</v>
      </c>
      <c r="BA18" t="s">
        <v>1288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31:00</v>
      </c>
      <c r="BC18" t="str">
        <f>min_hour( hour_min($BB$18)+-2280 + hour_min($AR$18))</f>
        <v>02:00</v>
      </c>
      <c r="BD18" s="16"/>
      <c r="BE18" t="s">
        <v>74</v>
      </c>
      <c r="BF18" t="s">
        <v>75</v>
      </c>
      <c r="BG18" t="s">
        <v>75</v>
      </c>
      <c r="BH18" t="s">
        <v>75</v>
      </c>
      <c r="BI18" t="s">
        <v>75</v>
      </c>
      <c r="BJ18" t="s">
        <v>73</v>
      </c>
      <c r="BK18" t="s">
        <v>134</v>
      </c>
      <c r="BL18" t="s">
        <v>1278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35:00</v>
      </c>
      <c r="BN18" t="str">
        <f>min_hour( hour_min($BM$18)+-2280 + hour_min($BC$18))</f>
        <v>-01:00</v>
      </c>
      <c r="BO18" s="16"/>
      <c r="BP18" t="s">
        <v>74</v>
      </c>
      <c r="BQ18" t="s">
        <v>75</v>
      </c>
      <c r="BR18" t="s">
        <v>75</v>
      </c>
      <c r="BS18" t="s">
        <v>75</v>
      </c>
      <c r="BT18" t="s">
        <v>73</v>
      </c>
      <c r="BU18" t="s">
        <v>74</v>
      </c>
      <c r="BV18" t="s">
        <v>75</v>
      </c>
      <c r="BW18" t="s">
        <v>1279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03:00</v>
      </c>
      <c r="BZ18" s="16"/>
      <c r="CA18" t="s">
        <v>74</v>
      </c>
      <c r="CB18" t="s">
        <v>75</v>
      </c>
      <c r="CC18" t="s">
        <v>74</v>
      </c>
      <c r="CD18" t="s">
        <v>73</v>
      </c>
      <c r="CE18" t="s">
        <v>74</v>
      </c>
      <c r="CF18" t="s">
        <v>74</v>
      </c>
      <c r="CG18" t="s">
        <v>75</v>
      </c>
      <c r="CH18" t="s">
        <v>1280</v>
      </c>
      <c r="CI18" t="str">
        <f>min_hour(+IF($CA$18="M","420","0")+IF($CA$18="P","420","0")+IF($CA$18="F","420","0")+IF($CA$18="N","600","0")+IF($CA$18="M1","380","0")+IF($CA$18="P1","380","0")+IF($CA$18="L104","0","0")+IF($CA$18="MAL","0","0")+IF($CA$18="RC","0","0")+IF($CB$18="M","420","0")+IF($CB$18="P","420","0")+IF($CB$18="F","420","0")+IF($CB$18="N","600","0")+IF($CB$18="M1","380","0")+IF($CB$18="P1","380","0")+IF($CB$18="L104","0","0")+IF($CB$18="MAL","0","0")+IF($CB$18="RC","0","0")+IF($CC$18="M","420","0")+IF($CC$18="P","420","0")+IF($CC$18="F","420","0")+IF($CC$18="N","600","0")+IF($CC$18="M1","380","0")+IF($CC$18="P1","380","0")+IF($CC$18="L104","0","0")+IF($CC$18="MAL","0","0")+IF($CC$18="RC","0","0")+IF($CD$18="M","420","0")+IF($CD$18="P","420","0")+IF($CD$18="F","420","0")+IF($CD$18="N","600","0")+IF($CD$18="M1","380","0")+IF($CD$18="P1","380","0")+IF($CD$18="L104","0","0")+IF($CD$18="MAL","0","0")+IF($CD$18="RC","0","0")+IF($CE$18="M","420","0")+IF($CE$18="P","420","0")+IF($CE$18="F","420","0")+IF($CE$18="N","600","0")+IF($CE$18="M1","380","0")+IF($CE$18="P1","380","0")+IF($CE$18="L104","0","0")+IF($CE$18="MAL","0","0")+IF($CE$18="RC","0","0")+IF($CF$18="M","420","0")+IF($CF$18="P","420","0")+IF($CF$18="F","420","0")+IF($CF$18="N","600","0")+IF($CF$18="M1","380","0")+IF($CF$18="P1","380","0")+IF($CF$18="L104","0","0")+IF($CF$18="MAL","0","0")+IF($CF$18="RC","0","0")+IF($CG$18="M","420","0")+IF($CG$18="P","420","0")+IF($CG$18="F","420","0")+IF($CG$18="N","600","0")+IF($CG$18="M1","380","0")+IF($CG$18="P1","380","0")+IF($CG$18="L104","0","0")+IF($CG$18="MAL","0","0")+IF($CG$18="RC","0","0"))</f>
        <v>42:00</v>
      </c>
      <c r="CJ18" t="str">
        <f>min_hour( hour_min($CI$18)+-2280 + hour_min($BY$18))</f>
        <v>07:00</v>
      </c>
      <c r="CK18" s="16"/>
      <c r="CL18" t="s">
        <v>76</v>
      </c>
      <c r="CM18" t="s">
        <v>77</v>
      </c>
      <c r="CN18" t="s">
        <v>73</v>
      </c>
      <c r="CO18" t="s">
        <v>74</v>
      </c>
      <c r="CP18" t="s">
        <v>75</v>
      </c>
      <c r="CQ18" t="s">
        <v>75</v>
      </c>
      <c r="CR18" t="s">
        <v>75</v>
      </c>
      <c r="CS18" t="s">
        <v>1281</v>
      </c>
      <c r="CT18" t="str">
        <f>min_hour(+IF($CL$18="M","420","0")+IF($CL$18="P","420","0")+IF($CL$18="F","420","0")+IF($CL$18="N","600","0")+IF($CL$18="M1","380","0")+IF($CL$18="P1","380","0")+IF($CL$18="L104","0","0")+IF($CL$18="MAL","0","0")+IF($CL$18="RC","0","0")+IF($CM$18="M","420","0")+IF($CM$18="P","420","0")+IF($CM$18="F","420","0")+IF($CM$18="N","600","0")+IF($CM$18="M1","380","0")+IF($CM$18="P1","380","0")+IF($CM$18="L104","0","0")+IF($CM$18="MAL","0","0")+IF($CM$18="RC","0","0")+IF($CN$18="M","420","0")+IF($CN$18="P","420","0")+IF($CN$18="F","420","0")+IF($CN$18="N","600","0")+IF($CN$18="M1","380","0")+IF($CN$18="P1","380","0")+IF($CN$18="L104","0","0")+IF($CN$18="MAL","0","0")+IF($CN$18="RC","0","0")+IF($CO$18="M","420","0")+IF($CO$18="P","420","0")+IF($CO$18="F","420","0")+IF($CO$18="N","600","0")+IF($CO$18="M1","380","0")+IF($CO$18="P1","380","0")+IF($CO$18="L104","0","0")+IF($CO$18="MAL","0","0")+IF($CO$18="RC","0","0")+IF($CP$18="M","420","0")+IF($CP$18="P","420","0")+IF($CP$18="F","420","0")+IF($CP$18="N","600","0")+IF($CP$18="M1","380","0")+IF($CP$18="P1","380","0")+IF($CP$18="L104","0","0")+IF($CP$18="MAL","0","0")+IF($CP$18="RC","0","0")+IF($CQ$18="M","420","0")+IF($CQ$18="P","420","0")+IF($CQ$18="F","420","0")+IF($CQ$18="N","600","0")+IF($CQ$18="M1","380","0")+IF($CQ$18="P1","380","0")+IF($CQ$18="L104","0","0")+IF($CQ$18="MAL","0","0")+IF($CQ$18="RC","0","0")+IF($CR$18="M","420","0")+IF($CR$18="P","420","0")+IF($CR$18="F","420","0")+IF($CR$18="N","600","0")+IF($CR$18="M1","380","0")+IF($CR$18="P1","380","0")+IF($CR$18="L104","0","0")+IF($CR$18="MAL","0","0")+IF($CR$18="RC","0","0"))</f>
        <v>38:00</v>
      </c>
      <c r="CU18" t="str">
        <f>min_hour( hour_min($CT$18)+-2280 + hour_min($CJ$18))</f>
        <v>07:00</v>
      </c>
      <c r="CV18" s="16"/>
      <c r="CW18" t="s">
        <v>73</v>
      </c>
      <c r="CX18" t="s">
        <v>73</v>
      </c>
      <c r="CY18" t="s">
        <v>74</v>
      </c>
      <c r="CZ18" t="s">
        <v>74</v>
      </c>
      <c r="DA18" t="s">
        <v>75</v>
      </c>
      <c r="DB18" t="s">
        <v>75</v>
      </c>
      <c r="DC18" t="s">
        <v>73</v>
      </c>
      <c r="DD18" t="s">
        <v>1282</v>
      </c>
      <c r="DE18" t="str">
        <f>min_hour(+IF($CW$18="M","420","0")+IF($CW$18="P","420","0")+IF($CW$18="F","420","0")+IF($CW$18="N","600","0")+IF($CW$18="M1","380","0")+IF($CW$18="P1","380","0")+IF($CW$18="L104","0","0")+IF($CW$18="MAL","0","0")+IF($CW$18="RC","0","0")+IF($CX$18="M","420","0")+IF($CX$18="P","420","0")+IF($CX$18="F","420","0")+IF($CX$18="N","600","0")+IF($CX$18="M1","380","0")+IF($CX$18="P1","380","0")+IF($CX$18="L104","0","0")+IF($CX$18="MAL","0","0")+IF($CX$18="RC","0","0")+IF($CY$18="M","420","0")+IF($CY$18="P","420","0")+IF($CY$18="F","420","0")+IF($CY$18="N","600","0")+IF($CY$18="M1","380","0")+IF($CY$18="P1","380","0")+IF($CY$18="L104","0","0")+IF($CY$18="MAL","0","0")+IF($CY$18="RC","0","0")+IF($CZ$18="M","420","0")+IF($CZ$18="P","420","0")+IF($CZ$18="F","420","0")+IF($CZ$18="N","600","0")+IF($CZ$18="M1","380","0")+IF($CZ$18="P1","380","0")+IF($CZ$18="L104","0","0")+IF($CZ$18="MAL","0","0")+IF($CZ$18="RC","0","0")+IF($DA$18="M","420","0")+IF($DA$18="P","420","0")+IF($DA$18="F","420","0")+IF($DA$18="N","600","0")+IF($DA$18="M1","380","0")+IF($DA$18="P1","380","0")+IF($DA$18="L104","0","0")+IF($DA$18="MAL","0","0")+IF($DA$18="RC","0","0")+IF($DB$18="M","420","0")+IF($DB$18="P","420","0")+IF($DB$18="F","420","0")+IF($DB$18="N","600","0")+IF($DB$18="M1","380","0")+IF($DB$18="P1","380","0")+IF($DB$18="L104","0","0")+IF($DB$18="MAL","0","0")+IF($DB$18="RC","0","0")+IF($DC$18="M","420","0")+IF($DC$18="P","420","0")+IF($DC$18="F","420","0")+IF($DC$18="N","600","0")+IF($DC$18="M1","380","0")+IF($DC$18="P1","380","0")+IF($DC$18="L104","0","0")+IF($DC$18="MAL","0","0")+IF($DC$18="RC","0","0"))</f>
        <v>28:00</v>
      </c>
      <c r="DF18" t="str">
        <f>min_hour( hour_min($DE$18)+-2280 + hour_min($CU$18))</f>
        <v>-03:00</v>
      </c>
    </row>
    <row r="19" spans="1:110">
      <c r="A19" t="s">
        <v>101</v>
      </c>
      <c r="B19" t="s">
        <v>20</v>
      </c>
      <c r="C19" t="s">
        <v>21</v>
      </c>
      <c r="I19" s="16"/>
      <c r="J19" t="s">
        <v>1271</v>
      </c>
      <c r="K19">
        <v>8</v>
      </c>
      <c r="L19" s="10">
        <v>41212</v>
      </c>
      <c r="M19">
        <v>44</v>
      </c>
      <c r="N19">
        <v>2016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tr">
        <f>min_hour(120)</f>
        <v>02:00</v>
      </c>
      <c r="W19" s="16"/>
      <c r="X19" t="s">
        <v>75</v>
      </c>
      <c r="Y19" t="s">
        <v>134</v>
      </c>
      <c r="Z19" t="s">
        <v>74</v>
      </c>
      <c r="AA19" t="s">
        <v>75</v>
      </c>
      <c r="AB19" t="s">
        <v>73</v>
      </c>
      <c r="AC19" t="s">
        <v>74</v>
      </c>
      <c r="AD19" t="s">
        <v>74</v>
      </c>
      <c r="AE19" t="s">
        <v>1285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hour_min($AF$19)+120-2280 )</f>
        <v>-01:00</v>
      </c>
      <c r="AH19" s="16"/>
      <c r="AI19" t="s">
        <v>75</v>
      </c>
      <c r="AJ19" t="s">
        <v>76</v>
      </c>
      <c r="AK19" t="s">
        <v>77</v>
      </c>
      <c r="AL19" t="s">
        <v>73</v>
      </c>
      <c r="AM19" t="s">
        <v>74</v>
      </c>
      <c r="AN19" t="s">
        <v>75</v>
      </c>
      <c r="AO19" t="s">
        <v>75</v>
      </c>
      <c r="AP19" t="s">
        <v>1286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-01:00</v>
      </c>
      <c r="AS19" s="16"/>
      <c r="AT19" t="s">
        <v>75</v>
      </c>
      <c r="AU19" t="s">
        <v>75</v>
      </c>
      <c r="AV19" t="s">
        <v>73</v>
      </c>
      <c r="AW19" t="s">
        <v>75</v>
      </c>
      <c r="AX19" t="s">
        <v>75</v>
      </c>
      <c r="AY19" t="s">
        <v>76</v>
      </c>
      <c r="AZ19" t="s">
        <v>77</v>
      </c>
      <c r="BA19" t="s">
        <v>1287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-01:00</v>
      </c>
      <c r="BD19" s="16"/>
      <c r="BE19" t="s">
        <v>73</v>
      </c>
      <c r="BF19" t="s">
        <v>74</v>
      </c>
      <c r="BG19" t="s">
        <v>75</v>
      </c>
      <c r="BH19" t="s">
        <v>75</v>
      </c>
      <c r="BI19" t="s">
        <v>76</v>
      </c>
      <c r="BJ19" t="s">
        <v>77</v>
      </c>
      <c r="BK19" t="s">
        <v>73</v>
      </c>
      <c r="BL19" t="s">
        <v>1288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31:00</v>
      </c>
      <c r="BN19" t="str">
        <f>min_hour( hour_min($BM$19)+-2280 + hour_min($BC$19))</f>
        <v>-08:00</v>
      </c>
      <c r="BO19" s="16"/>
      <c r="BP19" t="s">
        <v>74</v>
      </c>
      <c r="BQ19" t="s">
        <v>92</v>
      </c>
      <c r="BR19" t="s">
        <v>75</v>
      </c>
      <c r="BS19" t="s">
        <v>73</v>
      </c>
      <c r="BT19" t="s">
        <v>75</v>
      </c>
      <c r="BU19" t="s">
        <v>73</v>
      </c>
      <c r="BV19" t="s">
        <v>75</v>
      </c>
      <c r="BW19" t="s">
        <v>1278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35:00</v>
      </c>
      <c r="BY19" t="str">
        <f>min_hour( hour_min($BX$19)+-2280 + hour_min($BN$19))</f>
        <v>-11:00</v>
      </c>
      <c r="BZ19" s="16"/>
      <c r="CA19" t="s">
        <v>74</v>
      </c>
      <c r="CB19" t="s">
        <v>75</v>
      </c>
      <c r="CC19" t="s">
        <v>76</v>
      </c>
      <c r="CD19" t="s">
        <v>77</v>
      </c>
      <c r="CE19" t="s">
        <v>73</v>
      </c>
      <c r="CF19" t="s">
        <v>74</v>
      </c>
      <c r="CG19" t="s">
        <v>75</v>
      </c>
      <c r="CH19" t="s">
        <v>1279</v>
      </c>
      <c r="CI19" t="str">
        <f>min_hour(+IF($CA$19="M","420","0")+IF($CA$19="P","420","0")+IF($CA$19="F","420","0")+IF($CA$19="N","600","0")+IF($CA$19="M1","380","0")+IF($CA$19="P1","380","0")+IF($CA$19="L104","0","0")+IF($CA$19="MAL","0","0")+IF($CA$19="RC","0","0")+IF($CB$19="M","420","0")+IF($CB$19="P","420","0")+IF($CB$19="F","420","0")+IF($CB$19="N","600","0")+IF($CB$19="M1","380","0")+IF($CB$19="P1","380","0")+IF($CB$19="L104","0","0")+IF($CB$19="MAL","0","0")+IF($CB$19="RC","0","0")+IF($CC$19="M","420","0")+IF($CC$19="P","420","0")+IF($CC$19="F","420","0")+IF($CC$19="N","600","0")+IF($CC$19="M1","380","0")+IF($CC$19="P1","380","0")+IF($CC$19="L104","0","0")+IF($CC$19="MAL","0","0")+IF($CC$19="RC","0","0")+IF($CD$19="M","420","0")+IF($CD$19="P","420","0")+IF($CD$19="F","420","0")+IF($CD$19="N","600","0")+IF($CD$19="M1","380","0")+IF($CD$19="P1","380","0")+IF($CD$19="L104","0","0")+IF($CD$19="MAL","0","0")+IF($CD$19="RC","0","0")+IF($CE$19="M","420","0")+IF($CE$19="P","420","0")+IF($CE$19="F","420","0")+IF($CE$19="N","600","0")+IF($CE$19="M1","380","0")+IF($CE$19="P1","380","0")+IF($CE$19="L104","0","0")+IF($CE$19="MAL","0","0")+IF($CE$19="RC","0","0")+IF($CF$19="M","420","0")+IF($CF$19="P","420","0")+IF($CF$19="F","420","0")+IF($CF$19="N","600","0")+IF($CF$19="M1","380","0")+IF($CF$19="P1","380","0")+IF($CF$19="L104","0","0")+IF($CF$19="MAL","0","0")+IF($CF$19="RC","0","0")+IF($CG$19="M","420","0")+IF($CG$19="P","420","0")+IF($CG$19="F","420","0")+IF($CG$19="N","600","0")+IF($CG$19="M1","380","0")+IF($CG$19="P1","380","0")+IF($CG$19="L104","0","0")+IF($CG$19="MAL","0","0")+IF($CG$19="RC","0","0"))</f>
        <v>38:00</v>
      </c>
      <c r="CJ19" t="str">
        <f>min_hour( hour_min($CI$19)+-2280 + hour_min($BY$19))</f>
        <v>-11:00</v>
      </c>
      <c r="CK19" s="16"/>
      <c r="CL19" t="s">
        <v>74</v>
      </c>
      <c r="CM19" t="s">
        <v>75</v>
      </c>
      <c r="CN19" t="s">
        <v>75</v>
      </c>
      <c r="CO19" t="s">
        <v>73</v>
      </c>
      <c r="CP19" t="s">
        <v>75</v>
      </c>
      <c r="CQ19" t="s">
        <v>74</v>
      </c>
      <c r="CR19" t="s">
        <v>75</v>
      </c>
      <c r="CS19" t="s">
        <v>1280</v>
      </c>
      <c r="CT19" t="str">
        <f>min_hour(+IF($CL$19="M","420","0")+IF($CL$19="P","420","0")+IF($CL$19="F","420","0")+IF($CL$19="N","600","0")+IF($CL$19="M1","380","0")+IF($CL$19="P1","380","0")+IF($CL$19="L104","0","0")+IF($CL$19="MAL","0","0")+IF($CL$19="RC","0","0")+IF($CM$19="M","420","0")+IF($CM$19="P","420","0")+IF($CM$19="F","420","0")+IF($CM$19="N","600","0")+IF($CM$19="M1","380","0")+IF($CM$19="P1","380","0")+IF($CM$19="L104","0","0")+IF($CM$19="MAL","0","0")+IF($CM$19="RC","0","0")+IF($CN$19="M","420","0")+IF($CN$19="P","420","0")+IF($CN$19="F","420","0")+IF($CN$19="N","600","0")+IF($CN$19="M1","380","0")+IF($CN$19="P1","380","0")+IF($CN$19="L104","0","0")+IF($CN$19="MAL","0","0")+IF($CN$19="RC","0","0")+IF($CO$19="M","420","0")+IF($CO$19="P","420","0")+IF($CO$19="F","420","0")+IF($CO$19="N","600","0")+IF($CO$19="M1","380","0")+IF($CO$19="P1","380","0")+IF($CO$19="L104","0","0")+IF($CO$19="MAL","0","0")+IF($CO$19="RC","0","0")+IF($CP$19="M","420","0")+IF($CP$19="P","420","0")+IF($CP$19="F","420","0")+IF($CP$19="N","600","0")+IF($CP$19="M1","380","0")+IF($CP$19="P1","380","0")+IF($CP$19="L104","0","0")+IF($CP$19="MAL","0","0")+IF($CP$19="RC","0","0")+IF($CQ$19="M","420","0")+IF($CQ$19="P","420","0")+IF($CQ$19="F","420","0")+IF($CQ$19="N","600","0")+IF($CQ$19="M1","380","0")+IF($CQ$19="P1","380","0")+IF($CQ$19="L104","0","0")+IF($CQ$19="MAL","0","0")+IF($CQ$19="RC","0","0")+IF($CR$19="M","420","0")+IF($CR$19="P","420","0")+IF($CR$19="F","420","0")+IF($CR$19="N","600","0")+IF($CR$19="M1","380","0")+IF($CR$19="P1","380","0")+IF($CR$19="L104","0","0")+IF($CR$19="MAL","0","0")+IF($CR$19="RC","0","0"))</f>
        <v>42:00</v>
      </c>
      <c r="CU19" t="str">
        <f>min_hour( hour_min($CT$19)+-2280 + hour_min($CJ$19))</f>
        <v>-07:00</v>
      </c>
      <c r="CV19" s="16"/>
      <c r="CW19" t="s">
        <v>76</v>
      </c>
      <c r="CX19" t="s">
        <v>77</v>
      </c>
      <c r="CY19" t="s">
        <v>73</v>
      </c>
      <c r="CZ19" t="s">
        <v>74</v>
      </c>
      <c r="DA19" t="s">
        <v>75</v>
      </c>
      <c r="DB19" t="s">
        <v>75</v>
      </c>
      <c r="DC19" t="s">
        <v>73</v>
      </c>
      <c r="DD19" t="s">
        <v>1281</v>
      </c>
      <c r="DE19" t="str">
        <f>min_hour(+IF($CW$19="M","420","0")+IF($CW$19="P","420","0")+IF($CW$19="F","420","0")+IF($CW$19="N","600","0")+IF($CW$19="M1","380","0")+IF($CW$19="P1","380","0")+IF($CW$19="L104","0","0")+IF($CW$19="MAL","0","0")+IF($CW$19="RC","0","0")+IF($CX$19="M","420","0")+IF($CX$19="P","420","0")+IF($CX$19="F","420","0")+IF($CX$19="N","600","0")+IF($CX$19="M1","380","0")+IF($CX$19="P1","380","0")+IF($CX$19="L104","0","0")+IF($CX$19="MAL","0","0")+IF($CX$19="RC","0","0")+IF($CY$19="M","420","0")+IF($CY$19="P","420","0")+IF($CY$19="F","420","0")+IF($CY$19="N","600","0")+IF($CY$19="M1","380","0")+IF($CY$19="P1","380","0")+IF($CY$19="L104","0","0")+IF($CY$19="MAL","0","0")+IF($CY$19="RC","0","0")+IF($CZ$19="M","420","0")+IF($CZ$19="P","420","0")+IF($CZ$19="F","420","0")+IF($CZ$19="N","600","0")+IF($CZ$19="M1","380","0")+IF($CZ$19="P1","380","0")+IF($CZ$19="L104","0","0")+IF($CZ$19="MAL","0","0")+IF($CZ$19="RC","0","0")+IF($DA$19="M","420","0")+IF($DA$19="P","420","0")+IF($DA$19="F","420","0")+IF($DA$19="N","600","0")+IF($DA$19="M1","380","0")+IF($DA$19="P1","380","0")+IF($DA$19="L104","0","0")+IF($DA$19="MAL","0","0")+IF($DA$19="RC","0","0")+IF($DB$19="M","420","0")+IF($DB$19="P","420","0")+IF($DB$19="F","420","0")+IF($DB$19="N","600","0")+IF($DB$19="M1","380","0")+IF($DB$19="P1","380","0")+IF($DB$19="L104","0","0")+IF($DB$19="MAL","0","0")+IF($DB$19="RC","0","0")+IF($DC$19="M","420","0")+IF($DC$19="P","420","0")+IF($DC$19="F","420","0")+IF($DC$19="N","600","0")+IF($DC$19="M1","380","0")+IF($DC$19="P1","380","0")+IF($DC$19="L104","0","0")+IF($DC$19="MAL","0","0")+IF($DC$19="RC","0","0"))</f>
        <v>31:00</v>
      </c>
      <c r="DF19" t="str">
        <f>min_hour( hour_min($DE$19)+-2280 + hour_min($CU$19))</f>
        <v>-14:00</v>
      </c>
    </row>
    <row r="20" spans="1:110">
      <c r="A20" t="s">
        <v>102</v>
      </c>
      <c r="B20" t="s">
        <v>22</v>
      </c>
      <c r="C20" t="s">
        <v>17</v>
      </c>
      <c r="I20" s="16"/>
      <c r="J20" t="s">
        <v>1272</v>
      </c>
      <c r="K20">
        <v>6</v>
      </c>
      <c r="L20" s="10">
        <v>41212</v>
      </c>
      <c r="M20">
        <v>44</v>
      </c>
      <c r="N20">
        <v>2016</v>
      </c>
      <c r="O20" t="s">
        <v>75</v>
      </c>
      <c r="P20" t="s">
        <v>74</v>
      </c>
      <c r="Q20" t="s">
        <v>75</v>
      </c>
      <c r="R20" t="s">
        <v>75</v>
      </c>
      <c r="S20" t="s">
        <v>75</v>
      </c>
      <c r="T20" t="s">
        <v>73</v>
      </c>
      <c r="U20" t="s">
        <v>75</v>
      </c>
      <c r="V20" t="str">
        <f>min_hour(120)</f>
        <v>02:00</v>
      </c>
      <c r="W20" s="16"/>
      <c r="X20" t="s">
        <v>75</v>
      </c>
      <c r="Y20" t="s">
        <v>74</v>
      </c>
      <c r="Z20" t="s">
        <v>75</v>
      </c>
      <c r="AA20" t="s">
        <v>75</v>
      </c>
      <c r="AB20" t="s">
        <v>73</v>
      </c>
      <c r="AC20" t="s">
        <v>74</v>
      </c>
      <c r="AD20" t="s">
        <v>74</v>
      </c>
      <c r="AE20" t="s">
        <v>1324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hour_min($AF$20)+120-2280 )</f>
        <v>06:00</v>
      </c>
      <c r="AH20" s="16"/>
      <c r="AI20" t="s">
        <v>74</v>
      </c>
      <c r="AJ20" t="s">
        <v>76</v>
      </c>
      <c r="AK20" t="s">
        <v>77</v>
      </c>
      <c r="AL20" t="s">
        <v>73</v>
      </c>
      <c r="AM20" t="s">
        <v>74</v>
      </c>
      <c r="AN20" t="s">
        <v>75</v>
      </c>
      <c r="AO20" t="s">
        <v>74</v>
      </c>
      <c r="AP20" t="s">
        <v>1325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38:00</v>
      </c>
      <c r="AR20" t="str">
        <f>min_hour( hour_min($AQ$20)+-2280 + hour_min($AG$20))</f>
        <v>06:00</v>
      </c>
      <c r="AS20" s="16"/>
      <c r="AT20" t="s">
        <v>74</v>
      </c>
      <c r="AU20" t="s">
        <v>74</v>
      </c>
      <c r="AV20" t="s">
        <v>73</v>
      </c>
      <c r="AW20" t="s">
        <v>134</v>
      </c>
      <c r="AX20" t="s">
        <v>134</v>
      </c>
      <c r="AY20" t="s">
        <v>74</v>
      </c>
      <c r="AZ20" t="s">
        <v>75</v>
      </c>
      <c r="BA20" t="s">
        <v>1326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28:00</v>
      </c>
      <c r="BC20" t="str">
        <f>min_hour( hour_min($BB$20)+-2280 + hour_min($AR$20))</f>
        <v>-04:00</v>
      </c>
      <c r="BD20" s="16"/>
      <c r="BE20" t="s">
        <v>75</v>
      </c>
      <c r="BF20" t="s">
        <v>73</v>
      </c>
      <c r="BG20" t="s">
        <v>74</v>
      </c>
      <c r="BH20" t="s">
        <v>75</v>
      </c>
      <c r="BI20" t="s">
        <v>74</v>
      </c>
      <c r="BJ20" t="s">
        <v>75</v>
      </c>
      <c r="BK20" t="s">
        <v>75</v>
      </c>
      <c r="BL20" t="s">
        <v>1321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00:00</v>
      </c>
      <c r="BO20" s="16"/>
      <c r="BP20" t="s">
        <v>73</v>
      </c>
      <c r="BQ20" t="s">
        <v>75</v>
      </c>
      <c r="BR20" t="s">
        <v>76</v>
      </c>
      <c r="BS20" t="s">
        <v>77</v>
      </c>
      <c r="BT20" t="s">
        <v>73</v>
      </c>
      <c r="BU20" t="s">
        <v>75</v>
      </c>
      <c r="BV20" t="s">
        <v>73</v>
      </c>
      <c r="BW20" t="s">
        <v>1322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24:00</v>
      </c>
      <c r="BY20" t="str">
        <f>min_hour( hour_min($BX$20)+-2280 + hour_min($BN$20))</f>
        <v>-14:00</v>
      </c>
      <c r="BZ20" s="16"/>
      <c r="CA20" t="s">
        <v>75</v>
      </c>
      <c r="CB20" t="s">
        <v>74</v>
      </c>
      <c r="CC20" t="s">
        <v>75</v>
      </c>
      <c r="CD20" t="s">
        <v>76</v>
      </c>
      <c r="CE20" t="s">
        <v>77</v>
      </c>
      <c r="CF20" t="s">
        <v>73</v>
      </c>
      <c r="CG20" t="s">
        <v>75</v>
      </c>
      <c r="CH20" t="s">
        <v>1323</v>
      </c>
      <c r="CI20" t="str">
        <f>min_hour(+IF($CA$20="M","420","0")+IF($CA$20="P","420","0")+IF($CA$20="F","420","0")+IF($CA$20="N","600","0")+IF($CA$20="M1","380","0")+IF($CA$20="P1","380","0")+IF($CA$20="L104","0","0")+IF($CA$20="MAL","0","0")+IF($CA$20="RC","0","0")+IF($CB$20="M","420","0")+IF($CB$20="P","420","0")+IF($CB$20="F","420","0")+IF($CB$20="N","600","0")+IF($CB$20="M1","380","0")+IF($CB$20="P1","380","0")+IF($CB$20="L104","0","0")+IF($CB$20="MAL","0","0")+IF($CB$20="RC","0","0")+IF($CC$20="M","420","0")+IF($CC$20="P","420","0")+IF($CC$20="F","420","0")+IF($CC$20="N","600","0")+IF($CC$20="M1","380","0")+IF($CC$20="P1","380","0")+IF($CC$20="L104","0","0")+IF($CC$20="MAL","0","0")+IF($CC$20="RC","0","0")+IF($CD$20="M","420","0")+IF($CD$20="P","420","0")+IF($CD$20="F","420","0")+IF($CD$20="N","600","0")+IF($CD$20="M1","380","0")+IF($CD$20="P1","380","0")+IF($CD$20="L104","0","0")+IF($CD$20="MAL","0","0")+IF($CD$20="RC","0","0")+IF($CE$20="M","420","0")+IF($CE$20="P","420","0")+IF($CE$20="F","420","0")+IF($CE$20="N","600","0")+IF($CE$20="M1","380","0")+IF($CE$20="P1","380","0")+IF($CE$20="L104","0","0")+IF($CE$20="MAL","0","0")+IF($CE$20="RC","0","0")+IF($CF$20="M","420","0")+IF($CF$20="P","420","0")+IF($CF$20="F","420","0")+IF($CF$20="N","600","0")+IF($CF$20="M1","380","0")+IF($CF$20="P1","380","0")+IF($CF$20="L104","0","0")+IF($CF$20="MAL","0","0")+IF($CF$20="RC","0","0")+IF($CG$20="M","420","0")+IF($CG$20="P","420","0")+IF($CG$20="F","420","0")+IF($CG$20="N","600","0")+IF($CG$20="M1","380","0")+IF($CG$20="P1","380","0")+IF($CG$20="L104","0","0")+IF($CG$20="MAL","0","0")+IF($CG$20="RC","0","0"))</f>
        <v>38:00</v>
      </c>
      <c r="CJ20" t="str">
        <f>min_hour( hour_min($CI$20)+-2280 + hour_min($BY$20))</f>
        <v>-14:00</v>
      </c>
      <c r="CK20" s="16"/>
      <c r="CL20" t="s">
        <v>75</v>
      </c>
      <c r="CM20" t="s">
        <v>74</v>
      </c>
      <c r="CN20" t="s">
        <v>92</v>
      </c>
      <c r="CO20" t="s">
        <v>75</v>
      </c>
      <c r="CP20" t="s">
        <v>73</v>
      </c>
      <c r="CQ20" t="s">
        <v>74</v>
      </c>
      <c r="CR20" t="s">
        <v>74</v>
      </c>
      <c r="CS20" t="s">
        <v>1324</v>
      </c>
      <c r="CT20" t="str">
        <f>min_hour(+IF($CL$20="M","420","0")+IF($CL$20="P","420","0")+IF($CL$20="F","420","0")+IF($CL$20="N","600","0")+IF($CL$20="M1","380","0")+IF($CL$20="P1","380","0")+IF($CL$20="L104","0","0")+IF($CL$20="MAL","0","0")+IF($CL$20="RC","0","0")+IF($CM$20="M","420","0")+IF($CM$20="P","420","0")+IF($CM$20="F","420","0")+IF($CM$20="N","600","0")+IF($CM$20="M1","380","0")+IF($CM$20="P1","380","0")+IF($CM$20="L104","0","0")+IF($CM$20="MAL","0","0")+IF($CM$20="RC","0","0")+IF($CN$20="M","420","0")+IF($CN$20="P","420","0")+IF($CN$20="F","420","0")+IF($CN$20="N","600","0")+IF($CN$20="M1","380","0")+IF($CN$20="P1","380","0")+IF($CN$20="L104","0","0")+IF($CN$20="MAL","0","0")+IF($CN$20="RC","0","0")+IF($CO$20="M","420","0")+IF($CO$20="P","420","0")+IF($CO$20="F","420","0")+IF($CO$20="N","600","0")+IF($CO$20="M1","380","0")+IF($CO$20="P1","380","0")+IF($CO$20="L104","0","0")+IF($CO$20="MAL","0","0")+IF($CO$20="RC","0","0")+IF($CP$20="M","420","0")+IF($CP$20="P","420","0")+IF($CP$20="F","420","0")+IF($CP$20="N","600","0")+IF($CP$20="M1","380","0")+IF($CP$20="P1","380","0")+IF($CP$20="L104","0","0")+IF($CP$20="MAL","0","0")+IF($CP$20="RC","0","0")+IF($CQ$20="M","420","0")+IF($CQ$20="P","420","0")+IF($CQ$20="F","420","0")+IF($CQ$20="N","600","0")+IF($CQ$20="M1","380","0")+IF($CQ$20="P1","380","0")+IF($CQ$20="L104","0","0")+IF($CQ$20="MAL","0","0")+IF($CQ$20="RC","0","0")+IF($CR$20="M","420","0")+IF($CR$20="P","420","0")+IF($CR$20="F","420","0")+IF($CR$20="N","600","0")+IF($CR$20="M1","380","0")+IF($CR$20="P1","380","0")+IF($CR$20="L104","0","0")+IF($CR$20="MAL","0","0")+IF($CR$20="RC","0","0"))</f>
        <v>42:00</v>
      </c>
      <c r="CU20" t="str">
        <f>min_hour( hour_min($CT$20)+-2280 + hour_min($CJ$20))</f>
        <v>-10:00</v>
      </c>
      <c r="CV20" s="16"/>
      <c r="CW20" t="s">
        <v>74</v>
      </c>
      <c r="CX20" t="s">
        <v>76</v>
      </c>
      <c r="CY20" t="s">
        <v>77</v>
      </c>
      <c r="CZ20" t="s">
        <v>73</v>
      </c>
      <c r="DA20" t="s">
        <v>134</v>
      </c>
      <c r="DB20" t="s">
        <v>75</v>
      </c>
      <c r="DC20" t="s">
        <v>73</v>
      </c>
      <c r="DD20" t="s">
        <v>1325</v>
      </c>
      <c r="DE20" t="str">
        <f>min_hour(+IF($CW$20="M","420","0")+IF($CW$20="P","420","0")+IF($CW$20="F","420","0")+IF($CW$20="N","600","0")+IF($CW$20="M1","380","0")+IF($CW$20="P1","380","0")+IF($CW$20="L104","0","0")+IF($CW$20="MAL","0","0")+IF($CW$20="RC","0","0")+IF($CX$20="M","420","0")+IF($CX$20="P","420","0")+IF($CX$20="F","420","0")+IF($CX$20="N","600","0")+IF($CX$20="M1","380","0")+IF($CX$20="P1","380","0")+IF($CX$20="L104","0","0")+IF($CX$20="MAL","0","0")+IF($CX$20="RC","0","0")+IF($CY$20="M","420","0")+IF($CY$20="P","420","0")+IF($CY$20="F","420","0")+IF($CY$20="N","600","0")+IF($CY$20="M1","380","0")+IF($CY$20="P1","380","0")+IF($CY$20="L104","0","0")+IF($CY$20="MAL","0","0")+IF($CY$20="RC","0","0")+IF($CZ$20="M","420","0")+IF($CZ$20="P","420","0")+IF($CZ$20="F","420","0")+IF($CZ$20="N","600","0")+IF($CZ$20="M1","380","0")+IF($CZ$20="P1","380","0")+IF($CZ$20="L104","0","0")+IF($CZ$20="MAL","0","0")+IF($CZ$20="RC","0","0")+IF($DA$20="M","420","0")+IF($DA$20="P","420","0")+IF($DA$20="F","420","0")+IF($DA$20="N","600","0")+IF($DA$20="M1","380","0")+IF($DA$20="P1","380","0")+IF($DA$20="L104","0","0")+IF($DA$20="MAL","0","0")+IF($DA$20="RC","0","0")+IF($DB$20="M","420","0")+IF($DB$20="P","420","0")+IF($DB$20="F","420","0")+IF($DB$20="N","600","0")+IF($DB$20="M1","380","0")+IF($DB$20="P1","380","0")+IF($DB$20="L104","0","0")+IF($DB$20="MAL","0","0")+IF($DB$20="RC","0","0")+IF($DC$20="M","420","0")+IF($DC$20="P","420","0")+IF($DC$20="F","420","0")+IF($DC$20="N","600","0")+IF($DC$20="M1","380","0")+IF($DC$20="P1","380","0")+IF($DC$20="L104","0","0")+IF($DC$20="MAL","0","0")+IF($DC$20="RC","0","0"))</f>
        <v>24:00</v>
      </c>
      <c r="DF20" t="str">
        <f>min_hour( hour_min($DE$20)+-2280 + hour_min($CU$20))</f>
        <v>-24:00</v>
      </c>
    </row>
    <row r="21" spans="1:110">
      <c r="A21" t="s">
        <v>103</v>
      </c>
      <c r="B21" t="s">
        <v>23</v>
      </c>
      <c r="C21" t="s">
        <v>24</v>
      </c>
      <c r="I21" s="16"/>
      <c r="J21" t="s">
        <v>1272</v>
      </c>
      <c r="K21">
        <v>1</v>
      </c>
      <c r="L21" s="10">
        <v>41212</v>
      </c>
      <c r="M21">
        <v>44</v>
      </c>
      <c r="N21">
        <v>2016</v>
      </c>
      <c r="O21" t="s">
        <v>75</v>
      </c>
      <c r="P21" t="s">
        <v>74</v>
      </c>
      <c r="Q21" t="s">
        <v>75</v>
      </c>
      <c r="R21" t="s">
        <v>75</v>
      </c>
      <c r="S21" t="s">
        <v>73</v>
      </c>
      <c r="T21" t="s">
        <v>74</v>
      </c>
      <c r="U21" t="s">
        <v>74</v>
      </c>
      <c r="V21" t="str">
        <f>min_hour(1080)</f>
        <v>18:00</v>
      </c>
      <c r="W21" s="16"/>
      <c r="X21" t="s">
        <v>74</v>
      </c>
      <c r="Y21" t="s">
        <v>75</v>
      </c>
      <c r="Z21" t="s">
        <v>134</v>
      </c>
      <c r="AA21" t="s">
        <v>73</v>
      </c>
      <c r="AB21" t="s">
        <v>134</v>
      </c>
      <c r="AC21" t="s">
        <v>75</v>
      </c>
      <c r="AD21" t="s">
        <v>74</v>
      </c>
      <c r="AE21" t="s">
        <v>1325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28:00</v>
      </c>
      <c r="AG21" t="str">
        <f>min_hour( hour_min($AF$21)+1080-2280 )</f>
        <v>08:00</v>
      </c>
      <c r="AH21" s="16"/>
      <c r="AI21" t="s">
        <v>74</v>
      </c>
      <c r="AJ21" t="s">
        <v>74</v>
      </c>
      <c r="AK21" t="s">
        <v>73</v>
      </c>
      <c r="AL21" t="s">
        <v>75</v>
      </c>
      <c r="AM21" t="s">
        <v>75</v>
      </c>
      <c r="AN21" t="s">
        <v>74</v>
      </c>
      <c r="AO21" t="s">
        <v>75</v>
      </c>
      <c r="AP21" t="s">
        <v>1326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12:00</v>
      </c>
      <c r="AS21" s="16"/>
      <c r="AT21" t="s">
        <v>134</v>
      </c>
      <c r="AU21" t="s">
        <v>73</v>
      </c>
      <c r="AV21" t="s">
        <v>134</v>
      </c>
      <c r="AW21" t="s">
        <v>75</v>
      </c>
      <c r="AX21" t="s">
        <v>74</v>
      </c>
      <c r="AY21" t="s">
        <v>75</v>
      </c>
      <c r="AZ21" t="s">
        <v>75</v>
      </c>
      <c r="BA21" t="s">
        <v>1321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28:00</v>
      </c>
      <c r="BC21" t="str">
        <f>min_hour( hour_min($BB$21)+-2280 + hour_min($AR$21))</f>
        <v>02:00</v>
      </c>
      <c r="BD21" s="16"/>
      <c r="BE21" t="s">
        <v>73</v>
      </c>
      <c r="BF21" t="s">
        <v>75</v>
      </c>
      <c r="BG21" t="s">
        <v>75</v>
      </c>
      <c r="BH21" t="s">
        <v>74</v>
      </c>
      <c r="BI21" t="s">
        <v>75</v>
      </c>
      <c r="BJ21" t="s">
        <v>75</v>
      </c>
      <c r="BK21" t="s">
        <v>73</v>
      </c>
      <c r="BL21" t="s">
        <v>1322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-01:00</v>
      </c>
      <c r="BO21" s="16"/>
      <c r="BP21" t="s">
        <v>75</v>
      </c>
      <c r="BQ21" t="s">
        <v>74</v>
      </c>
      <c r="BR21" t="s">
        <v>75</v>
      </c>
      <c r="BS21" t="s">
        <v>73</v>
      </c>
      <c r="BT21" t="s">
        <v>75</v>
      </c>
      <c r="BU21" t="s">
        <v>73</v>
      </c>
      <c r="BV21" t="s">
        <v>75</v>
      </c>
      <c r="BW21" t="s">
        <v>1323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35:00</v>
      </c>
      <c r="BY21" t="str">
        <f>min_hour( hour_min($BX$21)+-2280 + hour_min($BN$21))</f>
        <v>-04:00</v>
      </c>
      <c r="BZ21" s="16"/>
      <c r="CA21" t="s">
        <v>75</v>
      </c>
      <c r="CB21" t="s">
        <v>74</v>
      </c>
      <c r="CC21" t="s">
        <v>75</v>
      </c>
      <c r="CD21" t="s">
        <v>75</v>
      </c>
      <c r="CE21" t="s">
        <v>73</v>
      </c>
      <c r="CF21" t="s">
        <v>134</v>
      </c>
      <c r="CG21" t="s">
        <v>74</v>
      </c>
      <c r="CH21" t="s">
        <v>1324</v>
      </c>
      <c r="CI21" t="str">
        <f>min_hour(+IF($CA$21="M","420","0")+IF($CA$21="P","420","0")+IF($CA$21="F","420","0")+IF($CA$21="N","600","0")+IF($CA$21="M1","380","0")+IF($CA$21="P1","380","0")+IF($CA$21="L104","0","0")+IF($CA$21="MAL","0","0")+IF($CA$21="RC","0","0")+IF($CB$21="M","420","0")+IF($CB$21="P","420","0")+IF($CB$21="F","420","0")+IF($CB$21="N","600","0")+IF($CB$21="M1","380","0")+IF($CB$21="P1","380","0")+IF($CB$21="L104","0","0")+IF($CB$21="MAL","0","0")+IF($CB$21="RC","0","0")+IF($CC$21="M","420","0")+IF($CC$21="P","420","0")+IF($CC$21="F","420","0")+IF($CC$21="N","600","0")+IF($CC$21="M1","380","0")+IF($CC$21="P1","380","0")+IF($CC$21="L104","0","0")+IF($CC$21="MAL","0","0")+IF($CC$21="RC","0","0")+IF($CD$21="M","420","0")+IF($CD$21="P","420","0")+IF($CD$21="F","420","0")+IF($CD$21="N","600","0")+IF($CD$21="M1","380","0")+IF($CD$21="P1","380","0")+IF($CD$21="L104","0","0")+IF($CD$21="MAL","0","0")+IF($CD$21="RC","0","0")+IF($CE$21="M","420","0")+IF($CE$21="P","420","0")+IF($CE$21="F","420","0")+IF($CE$21="N","600","0")+IF($CE$21="M1","380","0")+IF($CE$21="P1","380","0")+IF($CE$21="L104","0","0")+IF($CE$21="MAL","0","0")+IF($CE$21="RC","0","0")+IF($CF$21="M","420","0")+IF($CF$21="P","420","0")+IF($CF$21="F","420","0")+IF($CF$21="N","600","0")+IF($CF$21="M1","380","0")+IF($CF$21="P1","380","0")+IF($CF$21="L104","0","0")+IF($CF$21="MAL","0","0")+IF($CF$21="RC","0","0")+IF($CG$21="M","420","0")+IF($CG$21="P","420","0")+IF($CG$21="F","420","0")+IF($CG$21="N","600","0")+IF($CG$21="M1","380","0")+IF($CG$21="P1","380","0")+IF($CG$21="L104","0","0")+IF($CG$21="MAL","0","0")+IF($CG$21="RC","0","0"))</f>
        <v>35:00</v>
      </c>
      <c r="CJ21" t="str">
        <f>min_hour( hour_min($CI$21)+-2280 + hour_min($BY$21))</f>
        <v>-07:00</v>
      </c>
      <c r="CK21" s="16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75</v>
      </c>
      <c r="CR21" t="s">
        <v>74</v>
      </c>
      <c r="CS21" t="s">
        <v>1325</v>
      </c>
      <c r="CT21" t="str">
        <f>min_hour(+IF($CL$21="M","420","0")+IF($CL$21="P","420","0")+IF($CL$21="F","420","0")+IF($CL$21="N","600","0")+IF($CL$21="M1","380","0")+IF($CL$21="P1","380","0")+IF($CL$21="L104","0","0")+IF($CL$21="MAL","0","0")+IF($CL$21="RC","0","0")+IF($CM$21="M","420","0")+IF($CM$21="P","420","0")+IF($CM$21="F","420","0")+IF($CM$21="N","600","0")+IF($CM$21="M1","380","0")+IF($CM$21="P1","380","0")+IF($CM$21="L104","0","0")+IF($CM$21="MAL","0","0")+IF($CM$21="RC","0","0")+IF($CN$21="M","420","0")+IF($CN$21="P","420","0")+IF($CN$21="F","420","0")+IF($CN$21="N","600","0")+IF($CN$21="M1","380","0")+IF($CN$21="P1","380","0")+IF($CN$21="L104","0","0")+IF($CN$21="MAL","0","0")+IF($CN$21="RC","0","0")+IF($CO$21="M","420","0")+IF($CO$21="P","420","0")+IF($CO$21="F","420","0")+IF($CO$21="N","600","0")+IF($CO$21="M1","380","0")+IF($CO$21="P1","380","0")+IF($CO$21="L104","0","0")+IF($CO$21="MAL","0","0")+IF($CO$21="RC","0","0")+IF($CP$21="M","420","0")+IF($CP$21="P","420","0")+IF($CP$21="F","420","0")+IF($CP$21="N","600","0")+IF($CP$21="M1","380","0")+IF($CP$21="P1","380","0")+IF($CP$21="L104","0","0")+IF($CP$21="MAL","0","0")+IF($CP$21="RC","0","0")+IF($CQ$21="M","420","0")+IF($CQ$21="P","420","0")+IF($CQ$21="F","420","0")+IF($CQ$21="N","600","0")+IF($CQ$21="M1","380","0")+IF($CQ$21="P1","380","0")+IF($CQ$21="L104","0","0")+IF($CQ$21="MAL","0","0")+IF($CQ$21="RC","0","0")+IF($CR$21="M","420","0")+IF($CR$21="P","420","0")+IF($CR$21="F","420","0")+IF($CR$21="N","600","0")+IF($CR$21="M1","380","0")+IF($CR$21="P1","380","0")+IF($CR$21="L104","0","0")+IF($CR$21="MAL","0","0")+IF($CR$21="RC","0","0"))</f>
        <v>42:00</v>
      </c>
      <c r="CU21" t="str">
        <f>min_hour( hour_min($CT$21)+-2280 + hour_min($CJ$21))</f>
        <v>-03:00</v>
      </c>
      <c r="CV21" s="16"/>
      <c r="CW21" t="s">
        <v>74</v>
      </c>
      <c r="CX21" t="s">
        <v>74</v>
      </c>
      <c r="CY21" t="s">
        <v>73</v>
      </c>
      <c r="CZ21" t="s">
        <v>134</v>
      </c>
      <c r="DA21" t="s">
        <v>75</v>
      </c>
      <c r="DB21" t="s">
        <v>74</v>
      </c>
      <c r="DC21" t="s">
        <v>73</v>
      </c>
      <c r="DD21" t="s">
        <v>1326</v>
      </c>
      <c r="DE21" t="str">
        <f>min_hour(+IF($CW$21="M","420","0")+IF($CW$21="P","420","0")+IF($CW$21="F","420","0")+IF($CW$21="N","600","0")+IF($CW$21="M1","380","0")+IF($CW$21="P1","380","0")+IF($CW$21="L104","0","0")+IF($CW$21="MAL","0","0")+IF($CW$21="RC","0","0")+IF($CX$21="M","420","0")+IF($CX$21="P","420","0")+IF($CX$21="F","420","0")+IF($CX$21="N","600","0")+IF($CX$21="M1","380","0")+IF($CX$21="P1","380","0")+IF($CX$21="L104","0","0")+IF($CX$21="MAL","0","0")+IF($CX$21="RC","0","0")+IF($CY$21="M","420","0")+IF($CY$21="P","420","0")+IF($CY$21="F","420","0")+IF($CY$21="N","600","0")+IF($CY$21="M1","380","0")+IF($CY$21="P1","380","0")+IF($CY$21="L104","0","0")+IF($CY$21="MAL","0","0")+IF($CY$21="RC","0","0")+IF($CZ$21="M","420","0")+IF($CZ$21="P","420","0")+IF($CZ$21="F","420","0")+IF($CZ$21="N","600","0")+IF($CZ$21="M1","380","0")+IF($CZ$21="P1","380","0")+IF($CZ$21="L104","0","0")+IF($CZ$21="MAL","0","0")+IF($CZ$21="RC","0","0")+IF($DA$21="M","420","0")+IF($DA$21="P","420","0")+IF($DA$21="F","420","0")+IF($DA$21="N","600","0")+IF($DA$21="M1","380","0")+IF($DA$21="P1","380","0")+IF($DA$21="L104","0","0")+IF($DA$21="MAL","0","0")+IF($DA$21="RC","0","0")+IF($DB$21="M","420","0")+IF($DB$21="P","420","0")+IF($DB$21="F","420","0")+IF($DB$21="N","600","0")+IF($DB$21="M1","380","0")+IF($DB$21="P1","380","0")+IF($DB$21="L104","0","0")+IF($DB$21="MAL","0","0")+IF($DB$21="RC","0","0")+IF($DC$21="M","420","0")+IF($DC$21="P","420","0")+IF($DC$21="F","420","0")+IF($DC$21="N","600","0")+IF($DC$21="M1","380","0")+IF($DC$21="P1","380","0")+IF($DC$21="L104","0","0")+IF($DC$21="MAL","0","0")+IF($DC$21="RC","0","0"))</f>
        <v>28:00</v>
      </c>
      <c r="DF21" t="str">
        <f>min_hour( hour_min($DE$21)+-2280 + hour_min($CU$21))</f>
        <v>-13:00</v>
      </c>
    </row>
    <row r="22" spans="1:110">
      <c r="A22" t="s">
        <v>127</v>
      </c>
      <c r="B22" t="s">
        <v>23</v>
      </c>
      <c r="C22" t="s">
        <v>55</v>
      </c>
      <c r="I22" s="16"/>
      <c r="J22" t="s">
        <v>1271</v>
      </c>
      <c r="K22">
        <v>7</v>
      </c>
      <c r="L22" s="10">
        <v>41212</v>
      </c>
      <c r="M22">
        <v>44</v>
      </c>
      <c r="N22">
        <v>2016</v>
      </c>
      <c r="O22" t="s">
        <v>73</v>
      </c>
      <c r="P22" t="s">
        <v>74</v>
      </c>
      <c r="Q22" t="s">
        <v>75</v>
      </c>
      <c r="R22" t="s">
        <v>134</v>
      </c>
      <c r="S22" t="s">
        <v>74</v>
      </c>
      <c r="T22" t="s">
        <v>75</v>
      </c>
      <c r="U22" t="s">
        <v>73</v>
      </c>
      <c r="V22" t="str">
        <f>min_hour(360)</f>
        <v>06:00</v>
      </c>
      <c r="W22" s="16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1284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hour_min($AF$22)+360-2280 )</f>
        <v>06:00</v>
      </c>
      <c r="AH22" s="16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1285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10:00</v>
      </c>
      <c r="AS22" s="16"/>
      <c r="AT22" t="s">
        <v>75</v>
      </c>
      <c r="AU22" t="s">
        <v>76</v>
      </c>
      <c r="AV22" t="s">
        <v>77</v>
      </c>
      <c r="AW22" t="s">
        <v>73</v>
      </c>
      <c r="AX22" t="s">
        <v>134</v>
      </c>
      <c r="AY22" t="s">
        <v>75</v>
      </c>
      <c r="AZ22" t="s">
        <v>75</v>
      </c>
      <c r="BA22" t="s">
        <v>1286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31:00</v>
      </c>
      <c r="BC22" t="str">
        <f>min_hour( hour_min($BB$22)+-2280 + hour_min($AR$22))</f>
        <v>03:00</v>
      </c>
      <c r="BD22" s="16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1287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38:00</v>
      </c>
      <c r="BN22" t="str">
        <f>min_hour( hour_min($BM$22)+-2280 + hour_min($BC$22))</f>
        <v>03:00</v>
      </c>
      <c r="BO22" s="16"/>
      <c r="BP22" t="s">
        <v>73</v>
      </c>
      <c r="BQ22" t="s">
        <v>92</v>
      </c>
      <c r="BR22" t="s">
        <v>92</v>
      </c>
      <c r="BS22" t="s">
        <v>73</v>
      </c>
      <c r="BT22" t="s">
        <v>76</v>
      </c>
      <c r="BU22" t="s">
        <v>77</v>
      </c>
      <c r="BV22" t="s">
        <v>73</v>
      </c>
      <c r="BW22" t="s">
        <v>1288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24:00</v>
      </c>
      <c r="BY22" t="str">
        <f>min_hour( hour_min($BX$22)+-2280 + hour_min($BN$22))</f>
        <v>-11:00</v>
      </c>
      <c r="BZ22" s="16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1278</v>
      </c>
      <c r="CI22" t="str">
        <f>min_hour(+IF($CA$22="M","420","0")+IF($CA$22="P","420","0")+IF($CA$22="F","420","0")+IF($CA$22="N","600","0")+IF($CA$22="M1","380","0")+IF($CA$22="P1","380","0")+IF($CA$22="L104","0","0")+IF($CA$22="MAL","0","0")+IF($CA$22="RC","0","0")+IF($CB$22="M","420","0")+IF($CB$22="P","420","0")+IF($CB$22="F","420","0")+IF($CB$22="N","600","0")+IF($CB$22="M1","380","0")+IF($CB$22="P1","380","0")+IF($CB$22="L104","0","0")+IF($CB$22="MAL","0","0")+IF($CB$22="RC","0","0")+IF($CC$22="M","420","0")+IF($CC$22="P","420","0")+IF($CC$22="F","420","0")+IF($CC$22="N","600","0")+IF($CC$22="M1","380","0")+IF($CC$22="P1","380","0")+IF($CC$22="L104","0","0")+IF($CC$22="MAL","0","0")+IF($CC$22="RC","0","0")+IF($CD$22="M","420","0")+IF($CD$22="P","420","0")+IF($CD$22="F","420","0")+IF($CD$22="N","600","0")+IF($CD$22="M1","380","0")+IF($CD$22="P1","380","0")+IF($CD$22="L104","0","0")+IF($CD$22="MAL","0","0")+IF($CD$22="RC","0","0")+IF($CE$22="M","420","0")+IF($CE$22="P","420","0")+IF($CE$22="F","420","0")+IF($CE$22="N","600","0")+IF($CE$22="M1","380","0")+IF($CE$22="P1","380","0")+IF($CE$22="L104","0","0")+IF($CE$22="MAL","0","0")+IF($CE$22="RC","0","0")+IF($CF$22="M","420","0")+IF($CF$22="P","420","0")+IF($CF$22="F","420","0")+IF($CF$22="N","600","0")+IF($CF$22="M1","380","0")+IF($CF$22="P1","380","0")+IF($CF$22="L104","0","0")+IF($CF$22="MAL","0","0")+IF($CF$22="RC","0","0")+IF($CG$22="M","420","0")+IF($CG$22="P","420","0")+IF($CG$22="F","420","0")+IF($CG$22="N","600","0")+IF($CG$22="M1","380","0")+IF($CG$22="P1","380","0")+IF($CG$22="L104","0","0")+IF($CG$22="MAL","0","0")+IF($CG$22="RC","0","0"))</f>
        <v>42:00</v>
      </c>
      <c r="CJ22" t="str">
        <f>min_hour( hour_min($CI$22)+-2280 + hour_min($BY$22))</f>
        <v>-07:00</v>
      </c>
      <c r="CK22" s="16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1279</v>
      </c>
      <c r="CT22" t="str">
        <f>min_hour(+IF($CL$22="M","420","0")+IF($CL$22="P","420","0")+IF($CL$22="F","420","0")+IF($CL$22="N","600","0")+IF($CL$22="M1","380","0")+IF($CL$22="P1","380","0")+IF($CL$22="L104","0","0")+IF($CL$22="MAL","0","0")+IF($CL$22="RC","0","0")+IF($CM$22="M","420","0")+IF($CM$22="P","420","0")+IF($CM$22="F","420","0")+IF($CM$22="N","600","0")+IF($CM$22="M1","380","0")+IF($CM$22="P1","380","0")+IF($CM$22="L104","0","0")+IF($CM$22="MAL","0","0")+IF($CM$22="RC","0","0")+IF($CN$22="M","420","0")+IF($CN$22="P","420","0")+IF($CN$22="F","420","0")+IF($CN$22="N","600","0")+IF($CN$22="M1","380","0")+IF($CN$22="P1","380","0")+IF($CN$22="L104","0","0")+IF($CN$22="MAL","0","0")+IF($CN$22="RC","0","0")+IF($CO$22="M","420","0")+IF($CO$22="P","420","0")+IF($CO$22="F","420","0")+IF($CO$22="N","600","0")+IF($CO$22="M1","380","0")+IF($CO$22="P1","380","0")+IF($CO$22="L104","0","0")+IF($CO$22="MAL","0","0")+IF($CO$22="RC","0","0")+IF($CP$22="M","420","0")+IF($CP$22="P","420","0")+IF($CP$22="F","420","0")+IF($CP$22="N","600","0")+IF($CP$22="M1","380","0")+IF($CP$22="P1","380","0")+IF($CP$22="L104","0","0")+IF($CP$22="MAL","0","0")+IF($CP$22="RC","0","0")+IF($CQ$22="M","420","0")+IF($CQ$22="P","420","0")+IF($CQ$22="F","420","0")+IF($CQ$22="N","600","0")+IF($CQ$22="M1","380","0")+IF($CQ$22="P1","380","0")+IF($CQ$22="L104","0","0")+IF($CQ$22="MAL","0","0")+IF($CQ$22="RC","0","0")+IF($CR$22="M","420","0")+IF($CR$22="P","420","0")+IF($CR$22="F","420","0")+IF($CR$22="N","600","0")+IF($CR$22="M1","380","0")+IF($CR$22="P1","380","0")+IF($CR$22="L104","0","0")+IF($CR$22="MAL","0","0")+IF($CR$22="RC","0","0"))</f>
        <v>38:00</v>
      </c>
      <c r="CU22" t="str">
        <f>min_hour( hour_min($CT$22)+-2280 + hour_min($CJ$22))</f>
        <v>-07:00</v>
      </c>
      <c r="CV22" s="16"/>
      <c r="CW22" t="s">
        <v>73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1280</v>
      </c>
      <c r="DE22" t="str">
        <f>min_hour(+IF($CW$22="M","420","0")+IF($CW$22="P","420","0")+IF($CW$22="F","420","0")+IF($CW$22="N","600","0")+IF($CW$22="M1","380","0")+IF($CW$22="P1","380","0")+IF($CW$22="L104","0","0")+IF($CW$22="MAL","0","0")+IF($CW$22="RC","0","0")+IF($CX$22="M","420","0")+IF($CX$22="P","420","0")+IF($CX$22="F","420","0")+IF($CX$22="N","600","0")+IF($CX$22="M1","380","0")+IF($CX$22="P1","380","0")+IF($CX$22="L104","0","0")+IF($CX$22="MAL","0","0")+IF($CX$22="RC","0","0")+IF($CY$22="M","420","0")+IF($CY$22="P","420","0")+IF($CY$22="F","420","0")+IF($CY$22="N","600","0")+IF($CY$22="M1","380","0")+IF($CY$22="P1","380","0")+IF($CY$22="L104","0","0")+IF($CY$22="MAL","0","0")+IF($CY$22="RC","0","0")+IF($CZ$22="M","420","0")+IF($CZ$22="P","420","0")+IF($CZ$22="F","420","0")+IF($CZ$22="N","600","0")+IF($CZ$22="M1","380","0")+IF($CZ$22="P1","380","0")+IF($CZ$22="L104","0","0")+IF($CZ$22="MAL","0","0")+IF($CZ$22="RC","0","0")+IF($DA$22="M","420","0")+IF($DA$22="P","420","0")+IF($DA$22="F","420","0")+IF($DA$22="N","600","0")+IF($DA$22="M1","380","0")+IF($DA$22="P1","380","0")+IF($DA$22="L104","0","0")+IF($DA$22="MAL","0","0")+IF($DA$22="RC","0","0")+IF($DB$22="M","420","0")+IF($DB$22="P","420","0")+IF($DB$22="F","420","0")+IF($DB$22="N","600","0")+IF($DB$22="M1","380","0")+IF($DB$22="P1","380","0")+IF($DB$22="L104","0","0")+IF($DB$22="MAL","0","0")+IF($DB$22="RC","0","0")+IF($DC$22="M","420","0")+IF($DC$22="P","420","0")+IF($DC$22="F","420","0")+IF($DC$22="N","600","0")+IF($DC$22="M1","380","0")+IF($DC$22="P1","380","0")+IF($DC$22="L104","0","0")+IF($DC$22="MAL","0","0")+IF($DC$22="RC","0","0"))</f>
        <v>35:00</v>
      </c>
      <c r="DF22" t="str">
        <f>min_hour( hour_min($DE$22)+-2280 + hour_min($CU$22))</f>
        <v>-10:00</v>
      </c>
    </row>
    <row r="23" spans="1:110">
      <c r="A23" t="s">
        <v>104</v>
      </c>
      <c r="B23" t="s">
        <v>25</v>
      </c>
      <c r="C23" t="s">
        <v>132</v>
      </c>
      <c r="I23" s="16"/>
      <c r="J23" t="s">
        <v>1271</v>
      </c>
      <c r="K23">
        <v>10</v>
      </c>
      <c r="L23" s="10">
        <v>41212</v>
      </c>
      <c r="M23">
        <v>44</v>
      </c>
      <c r="N23">
        <v>2016</v>
      </c>
      <c r="O23" t="s">
        <v>75</v>
      </c>
      <c r="P23" t="s">
        <v>76</v>
      </c>
      <c r="Q23" t="s">
        <v>77</v>
      </c>
      <c r="R23" t="s">
        <v>73</v>
      </c>
      <c r="S23" t="s">
        <v>74</v>
      </c>
      <c r="T23" t="s">
        <v>75</v>
      </c>
      <c r="U23" t="s">
        <v>75</v>
      </c>
      <c r="V23" t="str">
        <f>min_hour(300)</f>
        <v>05:00</v>
      </c>
      <c r="W23" s="16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1287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hour_min($AF$23)+300-2280 )</f>
        <v>05:00</v>
      </c>
      <c r="AH23" s="16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1288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-02:00</v>
      </c>
      <c r="AS23" s="16"/>
      <c r="AT23" t="s">
        <v>74</v>
      </c>
      <c r="AU23" t="s">
        <v>75</v>
      </c>
      <c r="AV23" t="s">
        <v>74</v>
      </c>
      <c r="AW23" t="s">
        <v>75</v>
      </c>
      <c r="AX23" t="s">
        <v>75</v>
      </c>
      <c r="AY23" t="s">
        <v>73</v>
      </c>
      <c r="AZ23" t="s">
        <v>75</v>
      </c>
      <c r="BA23" t="s">
        <v>1278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42:00</v>
      </c>
      <c r="BC23" t="str">
        <f>min_hour( hour_min($BB$23)+-2280 + hour_min($AR$23))</f>
        <v>02:00</v>
      </c>
      <c r="BD23" s="16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1279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02:00</v>
      </c>
      <c r="BO23" s="16"/>
      <c r="BP23" t="s">
        <v>74</v>
      </c>
      <c r="BQ23" t="s">
        <v>75</v>
      </c>
      <c r="BR23" t="s">
        <v>75</v>
      </c>
      <c r="BS23" t="s">
        <v>73</v>
      </c>
      <c r="BT23" t="s">
        <v>75</v>
      </c>
      <c r="BU23" t="s">
        <v>74</v>
      </c>
      <c r="BV23" t="s">
        <v>75</v>
      </c>
      <c r="BW23" t="s">
        <v>1280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42:00</v>
      </c>
      <c r="BY23" t="str">
        <f>min_hour( hour_min($BX$23)+-2280 + hour_min($BN$23))</f>
        <v>06:00</v>
      </c>
      <c r="BZ23" s="16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92</v>
      </c>
      <c r="CH23" t="s">
        <v>1281</v>
      </c>
      <c r="CI23" t="str">
        <f>min_hour(+IF($CA$23="M","420","0")+IF($CA$23="P","420","0")+IF($CA$23="F","420","0")+IF($CA$23="N","600","0")+IF($CA$23="M1","380","0")+IF($CA$23="P1","380","0")+IF($CA$23="L104","0","0")+IF($CA$23="MAL","0","0")+IF($CA$23="RC","0","0")+IF($CB$23="M","420","0")+IF($CB$23="P","420","0")+IF($CB$23="F","420","0")+IF($CB$23="N","600","0")+IF($CB$23="M1","380","0")+IF($CB$23="P1","380","0")+IF($CB$23="L104","0","0")+IF($CB$23="MAL","0","0")+IF($CB$23="RC","0","0")+IF($CC$23="M","420","0")+IF($CC$23="P","420","0")+IF($CC$23="F","420","0")+IF($CC$23="N","600","0")+IF($CC$23="M1","380","0")+IF($CC$23="P1","380","0")+IF($CC$23="L104","0","0")+IF($CC$23="MAL","0","0")+IF($CC$23="RC","0","0")+IF($CD$23="M","420","0")+IF($CD$23="P","420","0")+IF($CD$23="F","420","0")+IF($CD$23="N","600","0")+IF($CD$23="M1","380","0")+IF($CD$23="P1","380","0")+IF($CD$23="L104","0","0")+IF($CD$23="MAL","0","0")+IF($CD$23="RC","0","0")+IF($CE$23="M","420","0")+IF($CE$23="P","420","0")+IF($CE$23="F","420","0")+IF($CE$23="N","600","0")+IF($CE$23="M1","380","0")+IF($CE$23="P1","380","0")+IF($CE$23="L104","0","0")+IF($CE$23="MAL","0","0")+IF($CE$23="RC","0","0")+IF($CF$23="M","420","0")+IF($CF$23="P","420","0")+IF($CF$23="F","420","0")+IF($CF$23="N","600","0")+IF($CF$23="M1","380","0")+IF($CF$23="P1","380","0")+IF($CF$23="L104","0","0")+IF($CF$23="MAL","0","0")+IF($CF$23="RC","0","0")+IF($CG$23="M","420","0")+IF($CG$23="P","420","0")+IF($CG$23="F","420","0")+IF($CG$23="N","600","0")+IF($CG$23="M1","380","0")+IF($CG$23="P1","380","0")+IF($CG$23="L104","0","0")+IF($CG$23="MAL","0","0")+IF($CG$23="RC","0","0"))</f>
        <v>38:00</v>
      </c>
      <c r="CJ23" t="str">
        <f>min_hour( hour_min($CI$23)+-2280 + hour_min($BY$23))</f>
        <v>06:00</v>
      </c>
      <c r="CK23" s="16"/>
      <c r="CL23" t="s">
        <v>92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1282</v>
      </c>
      <c r="CT23" t="str">
        <f>min_hour(+IF($CL$23="M","420","0")+IF($CL$23="P","420","0")+IF($CL$23="F","420","0")+IF($CL$23="N","600","0")+IF($CL$23="M1","380","0")+IF($CL$23="P1","380","0")+IF($CL$23="L104","0","0")+IF($CL$23="MAL","0","0")+IF($CL$23="RC","0","0")+IF($CM$23="M","420","0")+IF($CM$23="P","420","0")+IF($CM$23="F","420","0")+IF($CM$23="N","600","0")+IF($CM$23="M1","380","0")+IF($CM$23="P1","380","0")+IF($CM$23="L104","0","0")+IF($CM$23="MAL","0","0")+IF($CM$23="RC","0","0")+IF($CN$23="M","420","0")+IF($CN$23="P","420","0")+IF($CN$23="F","420","0")+IF($CN$23="N","600","0")+IF($CN$23="M1","380","0")+IF($CN$23="P1","380","0")+IF($CN$23="L104","0","0")+IF($CN$23="MAL","0","0")+IF($CN$23="RC","0","0")+IF($CO$23="M","420","0")+IF($CO$23="P","420","0")+IF($CO$23="F","420","0")+IF($CO$23="N","600","0")+IF($CO$23="M1","380","0")+IF($CO$23="P1","380","0")+IF($CO$23="L104","0","0")+IF($CO$23="MAL","0","0")+IF($CO$23="RC","0","0")+IF($CP$23="M","420","0")+IF($CP$23="P","420","0")+IF($CP$23="F","420","0")+IF($CP$23="N","600","0")+IF($CP$23="M1","380","0")+IF($CP$23="P1","380","0")+IF($CP$23="L104","0","0")+IF($CP$23="MAL","0","0")+IF($CP$23="RC","0","0")+IF($CQ$23="M","420","0")+IF($CQ$23="P","420","0")+IF($CQ$23="F","420","0")+IF($CQ$23="N","600","0")+IF($CQ$23="M1","380","0")+IF($CQ$23="P1","380","0")+IF($CQ$23="L104","0","0")+IF($CQ$23="MAL","0","0")+IF($CQ$23="RC","0","0")+IF($CR$23="M","420","0")+IF($CR$23="P","420","0")+IF($CR$23="F","420","0")+IF($CR$23="N","600","0")+IF($CR$23="M1","380","0")+IF($CR$23="P1","380","0")+IF($CR$23="L104","0","0")+IF($CR$23="MAL","0","0")+IF($CR$23="RC","0","0"))</f>
        <v>42:00</v>
      </c>
      <c r="CU23" t="str">
        <f>min_hour( hour_min($CT$23)+-2280 + hour_min($CJ$23))</f>
        <v>10:00</v>
      </c>
      <c r="CV23" s="16"/>
      <c r="CW23" t="s">
        <v>75</v>
      </c>
      <c r="CX23" t="s">
        <v>73</v>
      </c>
      <c r="CY23" t="s">
        <v>75</v>
      </c>
      <c r="CZ23" t="s">
        <v>74</v>
      </c>
      <c r="DA23" t="s">
        <v>74</v>
      </c>
      <c r="DB23" t="s">
        <v>76</v>
      </c>
      <c r="DC23" t="s">
        <v>77</v>
      </c>
      <c r="DD23" t="s">
        <v>1283</v>
      </c>
      <c r="DE23" t="str">
        <f>min_hour(+IF($CW$23="M","420","0")+IF($CW$23="P","420","0")+IF($CW$23="F","420","0")+IF($CW$23="N","600","0")+IF($CW$23="M1","380","0")+IF($CW$23="P1","380","0")+IF($CW$23="L104","0","0")+IF($CW$23="MAL","0","0")+IF($CW$23="RC","0","0")+IF($CX$23="M","420","0")+IF($CX$23="P","420","0")+IF($CX$23="F","420","0")+IF($CX$23="N","600","0")+IF($CX$23="M1","380","0")+IF($CX$23="P1","380","0")+IF($CX$23="L104","0","0")+IF($CX$23="MAL","0","0")+IF($CX$23="RC","0","0")+IF($CY$23="M","420","0")+IF($CY$23="P","420","0")+IF($CY$23="F","420","0")+IF($CY$23="N","600","0")+IF($CY$23="M1","380","0")+IF($CY$23="P1","380","0")+IF($CY$23="L104","0","0")+IF($CY$23="MAL","0","0")+IF($CY$23="RC","0","0")+IF($CZ$23="M","420","0")+IF($CZ$23="P","420","0")+IF($CZ$23="F","420","0")+IF($CZ$23="N","600","0")+IF($CZ$23="M1","380","0")+IF($CZ$23="P1","380","0")+IF($CZ$23="L104","0","0")+IF($CZ$23="MAL","0","0")+IF($CZ$23="RC","0","0")+IF($DA$23="M","420","0")+IF($DA$23="P","420","0")+IF($DA$23="F","420","0")+IF($DA$23="N","600","0")+IF($DA$23="M1","380","0")+IF($DA$23="P1","380","0")+IF($DA$23="L104","0","0")+IF($DA$23="MAL","0","0")+IF($DA$23="RC","0","0")+IF($DB$23="M","420","0")+IF($DB$23="P","420","0")+IF($DB$23="F","420","0")+IF($DB$23="N","600","0")+IF($DB$23="M1","380","0")+IF($DB$23="P1","380","0")+IF($DB$23="L104","0","0")+IF($DB$23="MAL","0","0")+IF($DB$23="RC","0","0")+IF($DC$23="M","420","0")+IF($DC$23="P","420","0")+IF($DC$23="F","420","0")+IF($DC$23="N","600","0")+IF($DC$23="M1","380","0")+IF($DC$23="P1","380","0")+IF($DC$23="L104","0","0")+IF($DC$23="MAL","0","0")+IF($DC$23="RC","0","0"))</f>
        <v>38:00</v>
      </c>
      <c r="DF23" t="str">
        <f>min_hour( hour_min($DE$23)+-2280 + hour_min($CU$23))</f>
        <v>10:00</v>
      </c>
    </row>
    <row r="24" spans="1:110">
      <c r="A24" t="s">
        <v>129</v>
      </c>
      <c r="B24" t="s">
        <v>56</v>
      </c>
      <c r="C24" t="s">
        <v>57</v>
      </c>
      <c r="I24" s="16"/>
      <c r="J24" t="s">
        <v>1271</v>
      </c>
      <c r="K24">
        <v>2</v>
      </c>
      <c r="L24" s="10">
        <v>41212</v>
      </c>
      <c r="M24">
        <v>44</v>
      </c>
      <c r="N24">
        <v>2016</v>
      </c>
      <c r="O24" t="s">
        <v>74</v>
      </c>
      <c r="P24" t="s">
        <v>75</v>
      </c>
      <c r="Q24" t="s">
        <v>75</v>
      </c>
      <c r="R24" t="s">
        <v>75</v>
      </c>
      <c r="S24" t="s">
        <v>75</v>
      </c>
      <c r="T24" t="s">
        <v>73</v>
      </c>
      <c r="U24" t="s">
        <v>75</v>
      </c>
      <c r="V24" t="str">
        <f>min_hour(-540)</f>
        <v>-09:00</v>
      </c>
      <c r="W24" s="16"/>
      <c r="X24" t="s">
        <v>74</v>
      </c>
      <c r="Y24" t="s">
        <v>75</v>
      </c>
      <c r="Z24" t="s">
        <v>76</v>
      </c>
      <c r="AA24" t="s">
        <v>77</v>
      </c>
      <c r="AB24" t="s">
        <v>73</v>
      </c>
      <c r="AC24" t="s">
        <v>74</v>
      </c>
      <c r="AD24" t="s">
        <v>75</v>
      </c>
      <c r="AE24" t="s">
        <v>1279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38:00</v>
      </c>
      <c r="AG24" t="str">
        <f>min_hour( hour_min($AF$24)+-540-2280 )</f>
        <v>-09:00</v>
      </c>
      <c r="AH24" s="16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75</v>
      </c>
      <c r="AP24" t="s">
        <v>1280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42:00</v>
      </c>
      <c r="AR24" t="str">
        <f>min_hour( hour_min($AQ$24)+-2280 + hour_min($AG$24))</f>
        <v>-05:00</v>
      </c>
      <c r="AS24" s="16"/>
      <c r="AT24" t="s">
        <v>76</v>
      </c>
      <c r="AU24" t="s">
        <v>77</v>
      </c>
      <c r="AV24" t="s">
        <v>73</v>
      </c>
      <c r="AW24" t="s">
        <v>74</v>
      </c>
      <c r="AX24" t="s">
        <v>75</v>
      </c>
      <c r="AY24" t="s">
        <v>75</v>
      </c>
      <c r="AZ24" t="s">
        <v>76</v>
      </c>
      <c r="BA24" t="s">
        <v>1281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41:00</v>
      </c>
      <c r="BC24" t="str">
        <f>min_hour( hour_min($BB$24)+-2280 + hour_min($AR$24))</f>
        <v>-02:00</v>
      </c>
      <c r="BD24" s="16"/>
      <c r="BE24" t="s">
        <v>77</v>
      </c>
      <c r="BF24" t="s">
        <v>73</v>
      </c>
      <c r="BG24" t="s">
        <v>74</v>
      </c>
      <c r="BH24" t="s">
        <v>74</v>
      </c>
      <c r="BI24" t="s">
        <v>75</v>
      </c>
      <c r="BJ24" t="s">
        <v>75</v>
      </c>
      <c r="BK24" t="s">
        <v>74</v>
      </c>
      <c r="BL24" t="s">
        <v>1282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35:00</v>
      </c>
      <c r="BN24" t="str">
        <f>min_hour( hour_min($BM$24)+-2280 + hour_min($BC$24))</f>
        <v>-05:00</v>
      </c>
      <c r="BO24" s="16"/>
      <c r="BP24" t="s">
        <v>73</v>
      </c>
      <c r="BQ24" t="s">
        <v>75</v>
      </c>
      <c r="BR24" t="s">
        <v>75</v>
      </c>
      <c r="BS24" t="s">
        <v>75</v>
      </c>
      <c r="BT24" t="s">
        <v>74</v>
      </c>
      <c r="BU24" t="s">
        <v>74</v>
      </c>
      <c r="BV24" t="s">
        <v>73</v>
      </c>
      <c r="BW24" t="s">
        <v>1283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35:00</v>
      </c>
      <c r="BY24" t="str">
        <f>min_hour( hour_min($BX$24)+-2280 + hour_min($BN$24))</f>
        <v>-08:00</v>
      </c>
      <c r="BZ24" s="16"/>
      <c r="CA24" t="s">
        <v>75</v>
      </c>
      <c r="CB24" t="s">
        <v>74</v>
      </c>
      <c r="CC24" t="s">
        <v>75</v>
      </c>
      <c r="CD24" t="s">
        <v>74</v>
      </c>
      <c r="CE24" t="s">
        <v>75</v>
      </c>
      <c r="CF24" t="s">
        <v>73</v>
      </c>
      <c r="CG24" t="s">
        <v>74</v>
      </c>
      <c r="CH24" t="s">
        <v>1284</v>
      </c>
      <c r="CI24" t="str">
        <f>min_hour(+IF($CA$24="M","420","0")+IF($CA$24="P","420","0")+IF($CA$24="F","420","0")+IF($CA$24="N","600","0")+IF($CA$24="M1","380","0")+IF($CA$24="P1","380","0")+IF($CA$24="L104","0","0")+IF($CA$24="MAL","0","0")+IF($CA$24="RC","0","0")+IF($CB$24="M","420","0")+IF($CB$24="P","420","0")+IF($CB$24="F","420","0")+IF($CB$24="N","600","0")+IF($CB$24="M1","380","0")+IF($CB$24="P1","380","0")+IF($CB$24="L104","0","0")+IF($CB$24="MAL","0","0")+IF($CB$24="RC","0","0")+IF($CC$24="M","420","0")+IF($CC$24="P","420","0")+IF($CC$24="F","420","0")+IF($CC$24="N","600","0")+IF($CC$24="M1","380","0")+IF($CC$24="P1","380","0")+IF($CC$24="L104","0","0")+IF($CC$24="MAL","0","0")+IF($CC$24="RC","0","0")+IF($CD$24="M","420","0")+IF($CD$24="P","420","0")+IF($CD$24="F","420","0")+IF($CD$24="N","600","0")+IF($CD$24="M1","380","0")+IF($CD$24="P1","380","0")+IF($CD$24="L104","0","0")+IF($CD$24="MAL","0","0")+IF($CD$24="RC","0","0")+IF($CE$24="M","420","0")+IF($CE$24="P","420","0")+IF($CE$24="F","420","0")+IF($CE$24="N","600","0")+IF($CE$24="M1","380","0")+IF($CE$24="P1","380","0")+IF($CE$24="L104","0","0")+IF($CE$24="MAL","0","0")+IF($CE$24="RC","0","0")+IF($CF$24="M","420","0")+IF($CF$24="P","420","0")+IF($CF$24="F","420","0")+IF($CF$24="N","600","0")+IF($CF$24="M1","380","0")+IF($CF$24="P1","380","0")+IF($CF$24="L104","0","0")+IF($CF$24="MAL","0","0")+IF($CF$24="RC","0","0")+IF($CG$24="M","420","0")+IF($CG$24="P","420","0")+IF($CG$24="F","420","0")+IF($CG$24="N","600","0")+IF($CG$24="M1","380","0")+IF($CG$24="P1","380","0")+IF($CG$24="L104","0","0")+IF($CG$24="MAL","0","0")+IF($CG$24="RC","0","0"))</f>
        <v>42:00</v>
      </c>
      <c r="CJ24" t="str">
        <f>min_hour( hour_min($CI$24)+-2280 + hour_min($BY$24))</f>
        <v>-04:00</v>
      </c>
      <c r="CK24" s="16"/>
      <c r="CL24" t="s">
        <v>75</v>
      </c>
      <c r="CM24" t="s">
        <v>75</v>
      </c>
      <c r="CN24" t="s">
        <v>74</v>
      </c>
      <c r="CO24" t="s">
        <v>75</v>
      </c>
      <c r="CP24" t="s">
        <v>73</v>
      </c>
      <c r="CQ24" t="s">
        <v>74</v>
      </c>
      <c r="CR24" t="s">
        <v>74</v>
      </c>
      <c r="CS24" t="s">
        <v>1285</v>
      </c>
      <c r="CT24" t="str">
        <f>min_hour(+IF($CL$24="M","420","0")+IF($CL$24="P","420","0")+IF($CL$24="F","420","0")+IF($CL$24="N","600","0")+IF($CL$24="M1","380","0")+IF($CL$24="P1","380","0")+IF($CL$24="L104","0","0")+IF($CL$24="MAL","0","0")+IF($CL$24="RC","0","0")+IF($CM$24="M","420","0")+IF($CM$24="P","420","0")+IF($CM$24="F","420","0")+IF($CM$24="N","600","0")+IF($CM$24="M1","380","0")+IF($CM$24="P1","380","0")+IF($CM$24="L104","0","0")+IF($CM$24="MAL","0","0")+IF($CM$24="RC","0","0")+IF($CN$24="M","420","0")+IF($CN$24="P","420","0")+IF($CN$24="F","420","0")+IF($CN$24="N","600","0")+IF($CN$24="M1","380","0")+IF($CN$24="P1","380","0")+IF($CN$24="L104","0","0")+IF($CN$24="MAL","0","0")+IF($CN$24="RC","0","0")+IF($CO$24="M","420","0")+IF($CO$24="P","420","0")+IF($CO$24="F","420","0")+IF($CO$24="N","600","0")+IF($CO$24="M1","380","0")+IF($CO$24="P1","380","0")+IF($CO$24="L104","0","0")+IF($CO$24="MAL","0","0")+IF($CO$24="RC","0","0")+IF($CP$24="M","420","0")+IF($CP$24="P","420","0")+IF($CP$24="F","420","0")+IF($CP$24="N","600","0")+IF($CP$24="M1","380","0")+IF($CP$24="P1","380","0")+IF($CP$24="L104","0","0")+IF($CP$24="MAL","0","0")+IF($CP$24="RC","0","0")+IF($CQ$24="M","420","0")+IF($CQ$24="P","420","0")+IF($CQ$24="F","420","0")+IF($CQ$24="N","600","0")+IF($CQ$24="M1","380","0")+IF($CQ$24="P1","380","0")+IF($CQ$24="L104","0","0")+IF($CQ$24="MAL","0","0")+IF($CQ$24="RC","0","0")+IF($CR$24="M","420","0")+IF($CR$24="P","420","0")+IF($CR$24="F","420","0")+IF($CR$24="N","600","0")+IF($CR$24="M1","380","0")+IF($CR$24="P1","380","0")+IF($CR$24="L104","0","0")+IF($CR$24="MAL","0","0")+IF($CR$24="RC","0","0"))</f>
        <v>42:00</v>
      </c>
      <c r="CU24" t="str">
        <f>min_hour( hour_min($CT$24)+-2280 + hour_min($CJ$24))</f>
        <v>00:00</v>
      </c>
      <c r="CV24" s="16"/>
      <c r="CW24" t="s">
        <v>73</v>
      </c>
      <c r="CX24" t="s">
        <v>75</v>
      </c>
      <c r="CY24" t="s">
        <v>75</v>
      </c>
      <c r="CZ24" t="s">
        <v>73</v>
      </c>
      <c r="DA24" t="s">
        <v>74</v>
      </c>
      <c r="DB24" t="s">
        <v>76</v>
      </c>
      <c r="DC24" t="s">
        <v>77</v>
      </c>
      <c r="DD24" t="s">
        <v>1286</v>
      </c>
      <c r="DE24" t="str">
        <f>min_hour(+IF($CW$24="M","420","0")+IF($CW$24="P","420","0")+IF($CW$24="F","420","0")+IF($CW$24="N","600","0")+IF($CW$24="M1","380","0")+IF($CW$24="P1","380","0")+IF($CW$24="L104","0","0")+IF($CW$24="MAL","0","0")+IF($CW$24="RC","0","0")+IF($CX$24="M","420","0")+IF($CX$24="P","420","0")+IF($CX$24="F","420","0")+IF($CX$24="N","600","0")+IF($CX$24="M1","380","0")+IF($CX$24="P1","380","0")+IF($CX$24="L104","0","0")+IF($CX$24="MAL","0","0")+IF($CX$24="RC","0","0")+IF($CY$24="M","420","0")+IF($CY$24="P","420","0")+IF($CY$24="F","420","0")+IF($CY$24="N","600","0")+IF($CY$24="M1","380","0")+IF($CY$24="P1","380","0")+IF($CY$24="L104","0","0")+IF($CY$24="MAL","0","0")+IF($CY$24="RC","0","0")+IF($CZ$24="M","420","0")+IF($CZ$24="P","420","0")+IF($CZ$24="F","420","0")+IF($CZ$24="N","600","0")+IF($CZ$24="M1","380","0")+IF($CZ$24="P1","380","0")+IF($CZ$24="L104","0","0")+IF($CZ$24="MAL","0","0")+IF($CZ$24="RC","0","0")+IF($DA$24="M","420","0")+IF($DA$24="P","420","0")+IF($DA$24="F","420","0")+IF($DA$24="N","600","0")+IF($DA$24="M1","380","0")+IF($DA$24="P1","380","0")+IF($DA$24="L104","0","0")+IF($DA$24="MAL","0","0")+IF($DA$24="RC","0","0")+IF($DB$24="M","420","0")+IF($DB$24="P","420","0")+IF($DB$24="F","420","0")+IF($DB$24="N","600","0")+IF($DB$24="M1","380","0")+IF($DB$24="P1","380","0")+IF($DB$24="L104","0","0")+IF($DB$24="MAL","0","0")+IF($DB$24="RC","0","0")+IF($DC$24="M","420","0")+IF($DC$24="P","420","0")+IF($DC$24="F","420","0")+IF($DC$24="N","600","0")+IF($DC$24="M1","380","0")+IF($DC$24="P1","380","0")+IF($DC$24="L104","0","0")+IF($DC$24="MAL","0","0")+IF($DC$24="RC","0","0"))</f>
        <v>31:00</v>
      </c>
      <c r="DF24" t="str">
        <f>min_hour( hour_min($DE$24)+-2280 + hour_min($CU$24))</f>
        <v>-07:00</v>
      </c>
    </row>
    <row r="25" spans="1:110">
      <c r="A25" t="s">
        <v>105</v>
      </c>
      <c r="B25" t="s">
        <v>26</v>
      </c>
      <c r="C25" t="s">
        <v>27</v>
      </c>
      <c r="I25" s="16"/>
      <c r="J25" t="s">
        <v>1271</v>
      </c>
      <c r="K25">
        <v>3</v>
      </c>
      <c r="L25" s="10">
        <v>41212</v>
      </c>
      <c r="M25">
        <v>44</v>
      </c>
      <c r="N25">
        <v>2016</v>
      </c>
      <c r="O25" t="s">
        <v>74</v>
      </c>
      <c r="P25" t="s">
        <v>75</v>
      </c>
      <c r="Q25" t="s">
        <v>76</v>
      </c>
      <c r="R25" t="s">
        <v>77</v>
      </c>
      <c r="S25" t="s">
        <v>73</v>
      </c>
      <c r="T25" t="s">
        <v>92</v>
      </c>
      <c r="U25" t="s">
        <v>92</v>
      </c>
      <c r="V25" t="str">
        <f>min_hour(120)</f>
        <v>02:00</v>
      </c>
      <c r="W25" s="16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74</v>
      </c>
      <c r="AD25" t="s">
        <v>75</v>
      </c>
      <c r="AE25" t="s">
        <v>1280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hour_min($AF$25)+120-2280 )</f>
        <v>06:00</v>
      </c>
      <c r="AH25" s="16"/>
      <c r="AI25" t="s">
        <v>76</v>
      </c>
      <c r="AJ25" t="s">
        <v>77</v>
      </c>
      <c r="AK25" t="s">
        <v>73</v>
      </c>
      <c r="AL25" t="s">
        <v>74</v>
      </c>
      <c r="AM25" t="s">
        <v>75</v>
      </c>
      <c r="AN25" t="s">
        <v>75</v>
      </c>
      <c r="AO25" t="s">
        <v>76</v>
      </c>
      <c r="AP25" t="s">
        <v>1281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41:00</v>
      </c>
      <c r="AR25" t="str">
        <f>min_hour( hour_min($AQ$25)+-2280 + hour_min($AG$25))</f>
        <v>09:00</v>
      </c>
      <c r="AS25" s="16"/>
      <c r="AT25" t="s">
        <v>77</v>
      </c>
      <c r="AU25" t="s">
        <v>73</v>
      </c>
      <c r="AV25" t="s">
        <v>74</v>
      </c>
      <c r="AW25" t="s">
        <v>75</v>
      </c>
      <c r="AX25" t="s">
        <v>75</v>
      </c>
      <c r="AY25" t="s">
        <v>75</v>
      </c>
      <c r="AZ25" t="s">
        <v>134</v>
      </c>
      <c r="BA25" t="s">
        <v>1282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28:00</v>
      </c>
      <c r="BC25" t="str">
        <f>min_hour( hour_min($BB$25)+-2280 + hour_min($AR$25))</f>
        <v>-01:00</v>
      </c>
      <c r="BD25" s="16"/>
      <c r="BE25" t="s">
        <v>73</v>
      </c>
      <c r="BF25" t="s">
        <v>75</v>
      </c>
      <c r="BG25" t="s">
        <v>75</v>
      </c>
      <c r="BH25" t="s">
        <v>74</v>
      </c>
      <c r="BI25" t="s">
        <v>74</v>
      </c>
      <c r="BJ25" t="s">
        <v>75</v>
      </c>
      <c r="BK25" t="s">
        <v>73</v>
      </c>
      <c r="BL25" t="s">
        <v>1283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-04:00</v>
      </c>
      <c r="BO25" s="16"/>
      <c r="BP25" t="s">
        <v>75</v>
      </c>
      <c r="BQ25" t="s">
        <v>75</v>
      </c>
      <c r="BR25" t="s">
        <v>75</v>
      </c>
      <c r="BS25" t="s">
        <v>76</v>
      </c>
      <c r="BT25" t="s">
        <v>77</v>
      </c>
      <c r="BU25" t="s">
        <v>73</v>
      </c>
      <c r="BV25" t="s">
        <v>74</v>
      </c>
      <c r="BW25" t="s">
        <v>1284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-04:00</v>
      </c>
      <c r="BZ25" s="16"/>
      <c r="CA25" t="s">
        <v>75</v>
      </c>
      <c r="CB25" t="s">
        <v>75</v>
      </c>
      <c r="CC25" t="s">
        <v>74</v>
      </c>
      <c r="CD25" t="s">
        <v>75</v>
      </c>
      <c r="CE25" t="s">
        <v>73</v>
      </c>
      <c r="CF25" t="s">
        <v>75</v>
      </c>
      <c r="CG25" t="s">
        <v>74</v>
      </c>
      <c r="CH25" t="s">
        <v>1285</v>
      </c>
      <c r="CI25" t="str">
        <f>min_hour(+IF($CA$25="M","420","0")+IF($CA$25="P","420","0")+IF($CA$25="F","420","0")+IF($CA$25="N","600","0")+IF($CA$25="M1","380","0")+IF($CA$25="P1","380","0")+IF($CA$25="L104","0","0")+IF($CA$25="MAL","0","0")+IF($CA$25="RC","0","0")+IF($CB$25="M","420","0")+IF($CB$25="P","420","0")+IF($CB$25="F","420","0")+IF($CB$25="N","600","0")+IF($CB$25="M1","380","0")+IF($CB$25="P1","380","0")+IF($CB$25="L104","0","0")+IF($CB$25="MAL","0","0")+IF($CB$25="RC","0","0")+IF($CC$25="M","420","0")+IF($CC$25="P","420","0")+IF($CC$25="F","420","0")+IF($CC$25="N","600","0")+IF($CC$25="M1","380","0")+IF($CC$25="P1","380","0")+IF($CC$25="L104","0","0")+IF($CC$25="MAL","0","0")+IF($CC$25="RC","0","0")+IF($CD$25="M","420","0")+IF($CD$25="P","420","0")+IF($CD$25="F","420","0")+IF($CD$25="N","600","0")+IF($CD$25="M1","380","0")+IF($CD$25="P1","380","0")+IF($CD$25="L104","0","0")+IF($CD$25="MAL","0","0")+IF($CD$25="RC","0","0")+IF($CE$25="M","420","0")+IF($CE$25="P","420","0")+IF($CE$25="F","420","0")+IF($CE$25="N","600","0")+IF($CE$25="M1","380","0")+IF($CE$25="P1","380","0")+IF($CE$25="L104","0","0")+IF($CE$25="MAL","0","0")+IF($CE$25="RC","0","0")+IF($CF$25="M","420","0")+IF($CF$25="P","420","0")+IF($CF$25="F","420","0")+IF($CF$25="N","600","0")+IF($CF$25="M1","380","0")+IF($CF$25="P1","380","0")+IF($CF$25="L104","0","0")+IF($CF$25="MAL","0","0")+IF($CF$25="RC","0","0")+IF($CG$25="M","420","0")+IF($CG$25="P","420","0")+IF($CG$25="F","420","0")+IF($CG$25="N","600","0")+IF($CG$25="M1","380","0")+IF($CG$25="P1","380","0")+IF($CG$25="L104","0","0")+IF($CG$25="MAL","0","0")+IF($CG$25="RC","0","0"))</f>
        <v>42:00</v>
      </c>
      <c r="CJ25" t="str">
        <f>min_hour( hour_min($CI$25)+-2280 + hour_min($BY$25))</f>
        <v>00:00</v>
      </c>
      <c r="CK25" s="16"/>
      <c r="CL25" t="s">
        <v>75</v>
      </c>
      <c r="CM25" t="s">
        <v>76</v>
      </c>
      <c r="CN25" t="s">
        <v>77</v>
      </c>
      <c r="CO25" t="s">
        <v>73</v>
      </c>
      <c r="CP25" t="s">
        <v>74</v>
      </c>
      <c r="CQ25" t="s">
        <v>74</v>
      </c>
      <c r="CR25" t="s">
        <v>73</v>
      </c>
      <c r="CS25" t="s">
        <v>1286</v>
      </c>
      <c r="CT25" t="str">
        <f>min_hour(+IF($CL$25="M","420","0")+IF($CL$25="P","420","0")+IF($CL$25="F","420","0")+IF($CL$25="N","600","0")+IF($CL$25="M1","380","0")+IF($CL$25="P1","380","0")+IF($CL$25="L104","0","0")+IF($CL$25="MAL","0","0")+IF($CL$25="RC","0","0")+IF($CM$25="M","420","0")+IF($CM$25="P","420","0")+IF($CM$25="F","420","0")+IF($CM$25="N","600","0")+IF($CM$25="M1","380","0")+IF($CM$25="P1","380","0")+IF($CM$25="L104","0","0")+IF($CM$25="MAL","0","0")+IF($CM$25="RC","0","0")+IF($CN$25="M","420","0")+IF($CN$25="P","420","0")+IF($CN$25="F","420","0")+IF($CN$25="N","600","0")+IF($CN$25="M1","380","0")+IF($CN$25="P1","380","0")+IF($CN$25="L104","0","0")+IF($CN$25="MAL","0","0")+IF($CN$25="RC","0","0")+IF($CO$25="M","420","0")+IF($CO$25="P","420","0")+IF($CO$25="F","420","0")+IF($CO$25="N","600","0")+IF($CO$25="M1","380","0")+IF($CO$25="P1","380","0")+IF($CO$25="L104","0","0")+IF($CO$25="MAL","0","0")+IF($CO$25="RC","0","0")+IF($CP$25="M","420","0")+IF($CP$25="P","420","0")+IF($CP$25="F","420","0")+IF($CP$25="N","600","0")+IF($CP$25="M1","380","0")+IF($CP$25="P1","380","0")+IF($CP$25="L104","0","0")+IF($CP$25="MAL","0","0")+IF($CP$25="RC","0","0")+IF($CQ$25="M","420","0")+IF($CQ$25="P","420","0")+IF($CQ$25="F","420","0")+IF($CQ$25="N","600","0")+IF($CQ$25="M1","380","0")+IF($CQ$25="P1","380","0")+IF($CQ$25="L104","0","0")+IF($CQ$25="MAL","0","0")+IF($CQ$25="RC","0","0")+IF($CR$25="M","420","0")+IF($CR$25="P","420","0")+IF($CR$25="F","420","0")+IF($CR$25="N","600","0")+IF($CR$25="M1","380","0")+IF($CR$25="P1","380","0")+IF($CR$25="L104","0","0")+IF($CR$25="MAL","0","0")+IF($CR$25="RC","0","0"))</f>
        <v>31:00</v>
      </c>
      <c r="CU25" t="str">
        <f>min_hour( hour_min($CT$25)+-2280 + hour_min($CJ$25))</f>
        <v>-07:00</v>
      </c>
      <c r="CV25" s="16"/>
      <c r="CW25" t="s">
        <v>73</v>
      </c>
      <c r="CX25" t="s">
        <v>74</v>
      </c>
      <c r="CY25" t="s">
        <v>73</v>
      </c>
      <c r="CZ25" t="s">
        <v>75</v>
      </c>
      <c r="DA25" t="s">
        <v>92</v>
      </c>
      <c r="DB25" t="s">
        <v>75</v>
      </c>
      <c r="DC25" t="s">
        <v>75</v>
      </c>
      <c r="DD25" t="s">
        <v>1287</v>
      </c>
      <c r="DE25" t="str">
        <f>min_hour(+IF($CW$25="M","420","0")+IF($CW$25="P","420","0")+IF($CW$25="F","420","0")+IF($CW$25="N","600","0")+IF($CW$25="M1","380","0")+IF($CW$25="P1","380","0")+IF($CW$25="L104","0","0")+IF($CW$25="MAL","0","0")+IF($CW$25="RC","0","0")+IF($CX$25="M","420","0")+IF($CX$25="P","420","0")+IF($CX$25="F","420","0")+IF($CX$25="N","600","0")+IF($CX$25="M1","380","0")+IF($CX$25="P1","380","0")+IF($CX$25="L104","0","0")+IF($CX$25="MAL","0","0")+IF($CX$25="RC","0","0")+IF($CY$25="M","420","0")+IF($CY$25="P","420","0")+IF($CY$25="F","420","0")+IF($CY$25="N","600","0")+IF($CY$25="M1","380","0")+IF($CY$25="P1","380","0")+IF($CY$25="L104","0","0")+IF($CY$25="MAL","0","0")+IF($CY$25="RC","0","0")+IF($CZ$25="M","420","0")+IF($CZ$25="P","420","0")+IF($CZ$25="F","420","0")+IF($CZ$25="N","600","0")+IF($CZ$25="M1","380","0")+IF($CZ$25="P1","380","0")+IF($CZ$25="L104","0","0")+IF($CZ$25="MAL","0","0")+IF($CZ$25="RC","0","0")+IF($DA$25="M","420","0")+IF($DA$25="P","420","0")+IF($DA$25="F","420","0")+IF($DA$25="N","600","0")+IF($DA$25="M1","380","0")+IF($DA$25="P1","380","0")+IF($DA$25="L104","0","0")+IF($DA$25="MAL","0","0")+IF($DA$25="RC","0","0")+IF($DB$25="M","420","0")+IF($DB$25="P","420","0")+IF($DB$25="F","420","0")+IF($DB$25="N","600","0")+IF($DB$25="M1","380","0")+IF($DB$25="P1","380","0")+IF($DB$25="L104","0","0")+IF($DB$25="MAL","0","0")+IF($DB$25="RC","0","0")+IF($DC$25="M","420","0")+IF($DC$25="P","420","0")+IF($DC$25="F","420","0")+IF($DC$25="N","600","0")+IF($DC$25="M1","380","0")+IF($DC$25="P1","380","0")+IF($DC$25="L104","0","0")+IF($DC$25="MAL","0","0")+IF($DC$25="RC","0","0"))</f>
        <v>35:00</v>
      </c>
      <c r="DF25" t="str">
        <f>min_hour( hour_min($DE$25)+-2280 + hour_min($CU$25))</f>
        <v>-10:00</v>
      </c>
    </row>
    <row r="26" spans="1:110">
      <c r="A26" t="s">
        <v>106</v>
      </c>
      <c r="B26" t="s">
        <v>28</v>
      </c>
      <c r="C26" t="s">
        <v>29</v>
      </c>
      <c r="I26" s="16"/>
      <c r="J26" t="s">
        <v>1271</v>
      </c>
      <c r="K26">
        <v>9</v>
      </c>
      <c r="L26" s="10">
        <v>41212</v>
      </c>
      <c r="M26">
        <v>44</v>
      </c>
      <c r="N26">
        <v>2016</v>
      </c>
      <c r="O26" t="s">
        <v>75</v>
      </c>
      <c r="P26" t="s">
        <v>75</v>
      </c>
      <c r="Q26" t="s">
        <v>74</v>
      </c>
      <c r="R26" t="s">
        <v>75</v>
      </c>
      <c r="S26" t="s">
        <v>73</v>
      </c>
      <c r="T26" t="s">
        <v>75</v>
      </c>
      <c r="U26" t="s">
        <v>74</v>
      </c>
      <c r="V26" t="str">
        <f>min_hour(360)</f>
        <v>06:00</v>
      </c>
      <c r="W26" s="16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75</v>
      </c>
      <c r="AD26" t="s">
        <v>75</v>
      </c>
      <c r="AE26" t="s">
        <v>1286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38:00</v>
      </c>
      <c r="AG26" t="str">
        <f>min_hour( hour_min($AF$26)+360-2280 )</f>
        <v>06:00</v>
      </c>
      <c r="AH26" s="16"/>
      <c r="AI26" t="s">
        <v>75</v>
      </c>
      <c r="AJ26" t="s">
        <v>75</v>
      </c>
      <c r="AK26" t="s">
        <v>73</v>
      </c>
      <c r="AL26" t="s">
        <v>75</v>
      </c>
      <c r="AM26" t="s">
        <v>75</v>
      </c>
      <c r="AN26" t="s">
        <v>76</v>
      </c>
      <c r="AO26" t="s">
        <v>77</v>
      </c>
      <c r="AP26" t="s">
        <v>1287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06:00</v>
      </c>
      <c r="AS26" s="16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1288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31:00</v>
      </c>
      <c r="BC26" t="str">
        <f>min_hour( hour_min($BB$26)+-2280 + hour_min($AR$26))</f>
        <v>-01:00</v>
      </c>
      <c r="BD26" s="16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1278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42:00</v>
      </c>
      <c r="BN26" t="str">
        <f>min_hour( hour_min($BM$26)+-2280 + hour_min($BC$26))</f>
        <v>03:00</v>
      </c>
      <c r="BO26" s="16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1279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38:00</v>
      </c>
      <c r="BY26" t="str">
        <f>min_hour( hour_min($BX$26)+-2280 + hour_min($BN$26))</f>
        <v>03:00</v>
      </c>
      <c r="BZ26" s="16"/>
      <c r="CA26" t="s">
        <v>74</v>
      </c>
      <c r="CB26" t="s">
        <v>75</v>
      </c>
      <c r="CC26" t="s">
        <v>134</v>
      </c>
      <c r="CD26" t="s">
        <v>73</v>
      </c>
      <c r="CE26" t="s">
        <v>74</v>
      </c>
      <c r="CF26" t="s">
        <v>74</v>
      </c>
      <c r="CG26" t="s">
        <v>75</v>
      </c>
      <c r="CH26" t="s">
        <v>1280</v>
      </c>
      <c r="CI26" t="str">
        <f>min_hour(+IF($CA$26="M","420","0")+IF($CA$26="P","420","0")+IF($CA$26="F","420","0")+IF($CA$26="N","600","0")+IF($CA$26="M1","380","0")+IF($CA$26="P1","380","0")+IF($CA$26="L104","0","0")+IF($CA$26="MAL","0","0")+IF($CA$26="RC","0","0")+IF($CB$26="M","420","0")+IF($CB$26="P","420","0")+IF($CB$26="F","420","0")+IF($CB$26="N","600","0")+IF($CB$26="M1","380","0")+IF($CB$26="P1","380","0")+IF($CB$26="L104","0","0")+IF($CB$26="MAL","0","0")+IF($CB$26="RC","0","0")+IF($CC$26="M","420","0")+IF($CC$26="P","420","0")+IF($CC$26="F","420","0")+IF($CC$26="N","600","0")+IF($CC$26="M1","380","0")+IF($CC$26="P1","380","0")+IF($CC$26="L104","0","0")+IF($CC$26="MAL","0","0")+IF($CC$26="RC","0","0")+IF($CD$26="M","420","0")+IF($CD$26="P","420","0")+IF($CD$26="F","420","0")+IF($CD$26="N","600","0")+IF($CD$26="M1","380","0")+IF($CD$26="P1","380","0")+IF($CD$26="L104","0","0")+IF($CD$26="MAL","0","0")+IF($CD$26="RC","0","0")+IF($CE$26="M","420","0")+IF($CE$26="P","420","0")+IF($CE$26="F","420","0")+IF($CE$26="N","600","0")+IF($CE$26="M1","380","0")+IF($CE$26="P1","380","0")+IF($CE$26="L104","0","0")+IF($CE$26="MAL","0","0")+IF($CE$26="RC","0","0")+IF($CF$26="M","420","0")+IF($CF$26="P","420","0")+IF($CF$26="F","420","0")+IF($CF$26="N","600","0")+IF($CF$26="M1","380","0")+IF($CF$26="P1","380","0")+IF($CF$26="L104","0","0")+IF($CF$26="MAL","0","0")+IF($CF$26="RC","0","0")+IF($CG$26="M","420","0")+IF($CG$26="P","420","0")+IF($CG$26="F","420","0")+IF($CG$26="N","600","0")+IF($CG$26="M1","380","0")+IF($CG$26="P1","380","0")+IF($CG$26="L104","0","0")+IF($CG$26="MAL","0","0")+IF($CG$26="RC","0","0"))</f>
        <v>35:00</v>
      </c>
      <c r="CJ26" t="str">
        <f>min_hour( hour_min($CI$26)+-2280 + hour_min($BY$26))</f>
        <v>00:00</v>
      </c>
      <c r="CK26" s="16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1281</v>
      </c>
      <c r="CT26" t="str">
        <f>min_hour(+IF($CL$26="M","420","0")+IF($CL$26="P","420","0")+IF($CL$26="F","420","0")+IF($CL$26="N","600","0")+IF($CL$26="M1","380","0")+IF($CL$26="P1","380","0")+IF($CL$26="L104","0","0")+IF($CL$26="MAL","0","0")+IF($CL$26="RC","0","0")+IF($CM$26="M","420","0")+IF($CM$26="P","420","0")+IF($CM$26="F","420","0")+IF($CM$26="N","600","0")+IF($CM$26="M1","380","0")+IF($CM$26="P1","380","0")+IF($CM$26="L104","0","0")+IF($CM$26="MAL","0","0")+IF($CM$26="RC","0","0")+IF($CN$26="M","420","0")+IF($CN$26="P","420","0")+IF($CN$26="F","420","0")+IF($CN$26="N","600","0")+IF($CN$26="M1","380","0")+IF($CN$26="P1","380","0")+IF($CN$26="L104","0","0")+IF($CN$26="MAL","0","0")+IF($CN$26="RC","0","0")+IF($CO$26="M","420","0")+IF($CO$26="P","420","0")+IF($CO$26="F","420","0")+IF($CO$26="N","600","0")+IF($CO$26="M1","380","0")+IF($CO$26="P1","380","0")+IF($CO$26="L104","0","0")+IF($CO$26="MAL","0","0")+IF($CO$26="RC","0","0")+IF($CP$26="M","420","0")+IF($CP$26="P","420","0")+IF($CP$26="F","420","0")+IF($CP$26="N","600","0")+IF($CP$26="M1","380","0")+IF($CP$26="P1","380","0")+IF($CP$26="L104","0","0")+IF($CP$26="MAL","0","0")+IF($CP$26="RC","0","0")+IF($CQ$26="M","420","0")+IF($CQ$26="P","420","0")+IF($CQ$26="F","420","0")+IF($CQ$26="N","600","0")+IF($CQ$26="M1","380","0")+IF($CQ$26="P1","380","0")+IF($CQ$26="L104","0","0")+IF($CQ$26="MAL","0","0")+IF($CQ$26="RC","0","0")+IF($CR$26="M","420","0")+IF($CR$26="P","420","0")+IF($CR$26="F","420","0")+IF($CR$26="N","600","0")+IF($CR$26="M1","380","0")+IF($CR$26="P1","380","0")+IF($CR$26="L104","0","0")+IF($CR$26="MAL","0","0")+IF($CR$26="RC","0","0"))</f>
        <v>41:00</v>
      </c>
      <c r="CU26" t="str">
        <f>min_hour( hour_min($CT$26)+-2280 + hour_min($CJ$26))</f>
        <v>03:00</v>
      </c>
      <c r="CV26" s="16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75</v>
      </c>
      <c r="DC26" t="s">
        <v>74</v>
      </c>
      <c r="DD26" t="s">
        <v>1282</v>
      </c>
      <c r="DE26" t="str">
        <f>min_hour(+IF($CW$26="M","420","0")+IF($CW$26="P","420","0")+IF($CW$26="F","420","0")+IF($CW$26="N","600","0")+IF($CW$26="M1","380","0")+IF($CW$26="P1","380","0")+IF($CW$26="L104","0","0")+IF($CW$26="MAL","0","0")+IF($CW$26="RC","0","0")+IF($CX$26="M","420","0")+IF($CX$26="P","420","0")+IF($CX$26="F","420","0")+IF($CX$26="N","600","0")+IF($CX$26="M1","380","0")+IF($CX$26="P1","380","0")+IF($CX$26="L104","0","0")+IF($CX$26="MAL","0","0")+IF($CX$26="RC","0","0")+IF($CY$26="M","420","0")+IF($CY$26="P","420","0")+IF($CY$26="F","420","0")+IF($CY$26="N","600","0")+IF($CY$26="M1","380","0")+IF($CY$26="P1","380","0")+IF($CY$26="L104","0","0")+IF($CY$26="MAL","0","0")+IF($CY$26="RC","0","0")+IF($CZ$26="M","420","0")+IF($CZ$26="P","420","0")+IF($CZ$26="F","420","0")+IF($CZ$26="N","600","0")+IF($CZ$26="M1","380","0")+IF($CZ$26="P1","380","0")+IF($CZ$26="L104","0","0")+IF($CZ$26="MAL","0","0")+IF($CZ$26="RC","0","0")+IF($DA$26="M","420","0")+IF($DA$26="P","420","0")+IF($DA$26="F","420","0")+IF($DA$26="N","600","0")+IF($DA$26="M1","380","0")+IF($DA$26="P1","380","0")+IF($DA$26="L104","0","0")+IF($DA$26="MAL","0","0")+IF($DA$26="RC","0","0")+IF($DB$26="M","420","0")+IF($DB$26="P","420","0")+IF($DB$26="F","420","0")+IF($DB$26="N","600","0")+IF($DB$26="M1","380","0")+IF($DB$26="P1","380","0")+IF($DB$26="L104","0","0")+IF($DB$26="MAL","0","0")+IF($DB$26="RC","0","0")+IF($DC$26="M","420","0")+IF($DC$26="P","420","0")+IF($DC$26="F","420","0")+IF($DC$26="N","600","0")+IF($DC$26="M1","380","0")+IF($DC$26="P1","380","0")+IF($DC$26="L104","0","0")+IF($DC$26="MAL","0","0")+IF($DC$26="RC","0","0"))</f>
        <v>35:00</v>
      </c>
      <c r="DF26" t="str">
        <f>min_hour( hour_min($DE$26)+-2280 + hour_min($CU$26))</f>
        <v>00:00</v>
      </c>
    </row>
    <row r="27" spans="1:110">
      <c r="A27" t="s">
        <v>107</v>
      </c>
      <c r="B27" t="s">
        <v>30</v>
      </c>
      <c r="C27" t="s">
        <v>8</v>
      </c>
      <c r="I27" s="16"/>
      <c r="J27" t="s">
        <v>1272</v>
      </c>
      <c r="K27">
        <v>3</v>
      </c>
      <c r="L27" s="10">
        <v>41212</v>
      </c>
      <c r="M27">
        <v>44</v>
      </c>
      <c r="N27">
        <v>2016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75</v>
      </c>
      <c r="U27" t="s">
        <v>75</v>
      </c>
      <c r="V27" t="str">
        <f>min_hour(660)</f>
        <v>11:00</v>
      </c>
      <c r="W27" s="16"/>
      <c r="X27" t="s">
        <v>75</v>
      </c>
      <c r="Y27" t="s">
        <v>73</v>
      </c>
      <c r="Z27" t="s">
        <v>74</v>
      </c>
      <c r="AA27" t="s">
        <v>74</v>
      </c>
      <c r="AB27" t="s">
        <v>74</v>
      </c>
      <c r="AC27" t="s">
        <v>1298</v>
      </c>
      <c r="AD27" t="s">
        <v>75</v>
      </c>
      <c r="AE27" t="s">
        <v>1321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35:00</v>
      </c>
      <c r="AG27" t="str">
        <f>min_hour( hour_min($AF$27)+660-2280 )</f>
        <v>08:00</v>
      </c>
      <c r="AH27" s="16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1298</v>
      </c>
      <c r="AO27" t="s">
        <v>73</v>
      </c>
      <c r="AP27" t="s">
        <v>1322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28:00</v>
      </c>
      <c r="AR27" t="str">
        <f>min_hour( hour_min($AQ$27)+-2280 + hour_min($AG$27))</f>
        <v>-02:00</v>
      </c>
      <c r="AS27" s="16"/>
      <c r="AT27" t="s">
        <v>75</v>
      </c>
      <c r="AU27" t="s">
        <v>75</v>
      </c>
      <c r="AV27" t="s">
        <v>75</v>
      </c>
      <c r="AW27" t="s">
        <v>74</v>
      </c>
      <c r="AX27" t="s">
        <v>75</v>
      </c>
      <c r="AY27" t="s">
        <v>73</v>
      </c>
      <c r="AZ27" t="s">
        <v>75</v>
      </c>
      <c r="BA27" t="s">
        <v>1323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42:00</v>
      </c>
      <c r="BC27" t="str">
        <f>min_hour( hour_min($BB$27)+-2280 + hour_min($AR$27))</f>
        <v>02:00</v>
      </c>
      <c r="BD27" s="16"/>
      <c r="BE27" t="s">
        <v>75</v>
      </c>
      <c r="BF27" t="s">
        <v>75</v>
      </c>
      <c r="BG27" t="s">
        <v>1298</v>
      </c>
      <c r="BH27" t="s">
        <v>92</v>
      </c>
      <c r="BI27" t="s">
        <v>73</v>
      </c>
      <c r="BJ27" t="s">
        <v>92</v>
      </c>
      <c r="BK27" t="s">
        <v>92</v>
      </c>
      <c r="BL27" t="s">
        <v>1324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-01:00</v>
      </c>
      <c r="BO27" s="16"/>
      <c r="BP27" t="s">
        <v>134</v>
      </c>
      <c r="BQ27" t="s">
        <v>73</v>
      </c>
      <c r="BR27" t="s">
        <v>75</v>
      </c>
      <c r="BS27" t="s">
        <v>75</v>
      </c>
      <c r="BT27" t="s">
        <v>74</v>
      </c>
      <c r="BU27" t="s">
        <v>75</v>
      </c>
      <c r="BV27" t="s">
        <v>74</v>
      </c>
      <c r="BW27" t="s">
        <v>1325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35:00</v>
      </c>
      <c r="BY27" t="str">
        <f>min_hour( hour_min($BX$27)+-2280 + hour_min($BN$27))</f>
        <v>-04:00</v>
      </c>
      <c r="BZ27" s="16"/>
      <c r="CA27" t="s">
        <v>73</v>
      </c>
      <c r="CB27" t="s">
        <v>75</v>
      </c>
      <c r="CC27" t="s">
        <v>75</v>
      </c>
      <c r="CD27" t="s">
        <v>75</v>
      </c>
      <c r="CE27" t="s">
        <v>73</v>
      </c>
      <c r="CF27" t="s">
        <v>1298</v>
      </c>
      <c r="CG27" t="s">
        <v>75</v>
      </c>
      <c r="CH27" t="s">
        <v>1326</v>
      </c>
      <c r="CI27" t="str">
        <f>min_hour(+IF($CA$27="M","420","0")+IF($CA$27="P","420","0")+IF($CA$27="F","420","0")+IF($CA$27="N","600","0")+IF($CA$27="M1","380","0")+IF($CA$27="P1","380","0")+IF($CA$27="L104","0","0")+IF($CA$27="MAL","0","0")+IF($CA$27="RC","0","0")+IF($CB$27="M","420","0")+IF($CB$27="P","420","0")+IF($CB$27="F","420","0")+IF($CB$27="N","600","0")+IF($CB$27="M1","380","0")+IF($CB$27="P1","380","0")+IF($CB$27="L104","0","0")+IF($CB$27="MAL","0","0")+IF($CB$27="RC","0","0")+IF($CC$27="M","420","0")+IF($CC$27="P","420","0")+IF($CC$27="F","420","0")+IF($CC$27="N","600","0")+IF($CC$27="M1","380","0")+IF($CC$27="P1","380","0")+IF($CC$27="L104","0","0")+IF($CC$27="MAL","0","0")+IF($CC$27="RC","0","0")+IF($CD$27="M","420","0")+IF($CD$27="P","420","0")+IF($CD$27="F","420","0")+IF($CD$27="N","600","0")+IF($CD$27="M1","380","0")+IF($CD$27="P1","380","0")+IF($CD$27="L104","0","0")+IF($CD$27="MAL","0","0")+IF($CD$27="RC","0","0")+IF($CE$27="M","420","0")+IF($CE$27="P","420","0")+IF($CE$27="F","420","0")+IF($CE$27="N","600","0")+IF($CE$27="M1","380","0")+IF($CE$27="P1","380","0")+IF($CE$27="L104","0","0")+IF($CE$27="MAL","0","0")+IF($CE$27="RC","0","0")+IF($CF$27="M","420","0")+IF($CF$27="P","420","0")+IF($CF$27="F","420","0")+IF($CF$27="N","600","0")+IF($CF$27="M1","380","0")+IF($CF$27="P1","380","0")+IF($CF$27="L104","0","0")+IF($CF$27="MAL","0","0")+IF($CF$27="RC","0","0")+IF($CG$27="M","420","0")+IF($CG$27="P","420","0")+IF($CG$27="F","420","0")+IF($CG$27="N","600","0")+IF($CG$27="M1","380","0")+IF($CG$27="P1","380","0")+IF($CG$27="L104","0","0")+IF($CG$27="MAL","0","0")+IF($CG$27="RC","0","0"))</f>
        <v>28:00</v>
      </c>
      <c r="CJ27" t="str">
        <f>min_hour( hour_min($CI$27)+-2280 + hour_min($BY$27))</f>
        <v>-14:00</v>
      </c>
      <c r="CK27" s="16"/>
      <c r="CL27" t="s">
        <v>75</v>
      </c>
      <c r="CM27" t="s">
        <v>73</v>
      </c>
      <c r="CN27" t="s">
        <v>74</v>
      </c>
      <c r="CO27" t="s">
        <v>75</v>
      </c>
      <c r="CP27" t="s">
        <v>74</v>
      </c>
      <c r="CQ27" t="s">
        <v>1298</v>
      </c>
      <c r="CR27" t="s">
        <v>75</v>
      </c>
      <c r="CS27" t="s">
        <v>1321</v>
      </c>
      <c r="CT27" t="str">
        <f>min_hour(+IF($CL$27="M","420","0")+IF($CL$27="P","420","0")+IF($CL$27="F","420","0")+IF($CL$27="N","600","0")+IF($CL$27="M1","380","0")+IF($CL$27="P1","380","0")+IF($CL$27="L104","0","0")+IF($CL$27="MAL","0","0")+IF($CL$27="RC","0","0")+IF($CM$27="M","420","0")+IF($CM$27="P","420","0")+IF($CM$27="F","420","0")+IF($CM$27="N","600","0")+IF($CM$27="M1","380","0")+IF($CM$27="P1","380","0")+IF($CM$27="L104","0","0")+IF($CM$27="MAL","0","0")+IF($CM$27="RC","0","0")+IF($CN$27="M","420","0")+IF($CN$27="P","420","0")+IF($CN$27="F","420","0")+IF($CN$27="N","600","0")+IF($CN$27="M1","380","0")+IF($CN$27="P1","380","0")+IF($CN$27="L104","0","0")+IF($CN$27="MAL","0","0")+IF($CN$27="RC","0","0")+IF($CO$27="M","420","0")+IF($CO$27="P","420","0")+IF($CO$27="F","420","0")+IF($CO$27="N","600","0")+IF($CO$27="M1","380","0")+IF($CO$27="P1","380","0")+IF($CO$27="L104","0","0")+IF($CO$27="MAL","0","0")+IF($CO$27="RC","0","0")+IF($CP$27="M","420","0")+IF($CP$27="P","420","0")+IF($CP$27="F","420","0")+IF($CP$27="N","600","0")+IF($CP$27="M1","380","0")+IF($CP$27="P1","380","0")+IF($CP$27="L104","0","0")+IF($CP$27="MAL","0","0")+IF($CP$27="RC","0","0")+IF($CQ$27="M","420","0")+IF($CQ$27="P","420","0")+IF($CQ$27="F","420","0")+IF($CQ$27="N","600","0")+IF($CQ$27="M1","380","0")+IF($CQ$27="P1","380","0")+IF($CQ$27="L104","0","0")+IF($CQ$27="MAL","0","0")+IF($CQ$27="RC","0","0")+IF($CR$27="M","420","0")+IF($CR$27="P","420","0")+IF($CR$27="F","420","0")+IF($CR$27="N","600","0")+IF($CR$27="M1","380","0")+IF($CR$27="P1","380","0")+IF($CR$27="L104","0","0")+IF($CR$27="MAL","0","0")+IF($CR$27="RC","0","0"))</f>
        <v>35:00</v>
      </c>
      <c r="CU27" t="str">
        <f>min_hour( hour_min($CT$27)+-2280 + hour_min($CJ$27))</f>
        <v>-17:00</v>
      </c>
      <c r="CV27" s="16"/>
      <c r="CW27" t="s">
        <v>73</v>
      </c>
      <c r="CX27" t="s">
        <v>73</v>
      </c>
      <c r="CY27" t="s">
        <v>75</v>
      </c>
      <c r="CZ27" t="s">
        <v>75</v>
      </c>
      <c r="DA27" t="s">
        <v>75</v>
      </c>
      <c r="DB27" t="s">
        <v>1298</v>
      </c>
      <c r="DC27" t="s">
        <v>73</v>
      </c>
      <c r="DD27" t="s">
        <v>1322</v>
      </c>
      <c r="DE27" t="str">
        <f>min_hour(+IF($CW$27="M","420","0")+IF($CW$27="P","420","0")+IF($CW$27="F","420","0")+IF($CW$27="N","600","0")+IF($CW$27="M1","380","0")+IF($CW$27="P1","380","0")+IF($CW$27="L104","0","0")+IF($CW$27="MAL","0","0")+IF($CW$27="RC","0","0")+IF($CX$27="M","420","0")+IF($CX$27="P","420","0")+IF($CX$27="F","420","0")+IF($CX$27="N","600","0")+IF($CX$27="M1","380","0")+IF($CX$27="P1","380","0")+IF($CX$27="L104","0","0")+IF($CX$27="MAL","0","0")+IF($CX$27="RC","0","0")+IF($CY$27="M","420","0")+IF($CY$27="P","420","0")+IF($CY$27="F","420","0")+IF($CY$27="N","600","0")+IF($CY$27="M1","380","0")+IF($CY$27="P1","380","0")+IF($CY$27="L104","0","0")+IF($CY$27="MAL","0","0")+IF($CY$27="RC","0","0")+IF($CZ$27="M","420","0")+IF($CZ$27="P","420","0")+IF($CZ$27="F","420","0")+IF($CZ$27="N","600","0")+IF($CZ$27="M1","380","0")+IF($CZ$27="P1","380","0")+IF($CZ$27="L104","0","0")+IF($CZ$27="MAL","0","0")+IF($CZ$27="RC","0","0")+IF($DA$27="M","420","0")+IF($DA$27="P","420","0")+IF($DA$27="F","420","0")+IF($DA$27="N","600","0")+IF($DA$27="M1","380","0")+IF($DA$27="P1","380","0")+IF($DA$27="L104","0","0")+IF($DA$27="MAL","0","0")+IF($DA$27="RC","0","0")+IF($DB$27="M","420","0")+IF($DB$27="P","420","0")+IF($DB$27="F","420","0")+IF($DB$27="N","600","0")+IF($DB$27="M1","380","0")+IF($DB$27="P1","380","0")+IF($DB$27="L104","0","0")+IF($DB$27="MAL","0","0")+IF($DB$27="RC","0","0")+IF($DC$27="M","420","0")+IF($DC$27="P","420","0")+IF($DC$27="F","420","0")+IF($DC$27="N","600","0")+IF($DC$27="M1","380","0")+IF($DC$27="P1","380","0")+IF($DC$27="L104","0","0")+IF($DC$27="MAL","0","0")+IF($DC$27="RC","0","0"))</f>
        <v>21:00</v>
      </c>
      <c r="DF27" t="str">
        <f>min_hour( hour_min($DE$27)+-2280 + hour_min($CU$27))</f>
        <v>-34:00</v>
      </c>
    </row>
    <row r="28" spans="1:110">
      <c r="A28" t="s">
        <v>108</v>
      </c>
      <c r="B28" t="s">
        <v>30</v>
      </c>
      <c r="C28" t="s">
        <v>31</v>
      </c>
      <c r="I28" s="16"/>
      <c r="J28" t="s">
        <v>1271</v>
      </c>
      <c r="K28">
        <v>6</v>
      </c>
      <c r="L28" s="10">
        <v>41212</v>
      </c>
      <c r="M28">
        <v>44</v>
      </c>
      <c r="N28">
        <v>2016</v>
      </c>
      <c r="O28" t="s">
        <v>77</v>
      </c>
      <c r="P28" t="s">
        <v>73</v>
      </c>
      <c r="Q28" t="s">
        <v>75</v>
      </c>
      <c r="R28" t="s">
        <v>75</v>
      </c>
      <c r="S28" t="s">
        <v>75</v>
      </c>
      <c r="T28" t="s">
        <v>75</v>
      </c>
      <c r="U28" t="s">
        <v>75</v>
      </c>
      <c r="V28" t="str">
        <f>min_hour(60)</f>
        <v>01:00</v>
      </c>
      <c r="W28" s="16"/>
      <c r="X28" t="s">
        <v>73</v>
      </c>
      <c r="Y28" t="s">
        <v>75</v>
      </c>
      <c r="Z28" t="s">
        <v>75</v>
      </c>
      <c r="AA28" t="s">
        <v>74</v>
      </c>
      <c r="AB28" t="s">
        <v>74</v>
      </c>
      <c r="AC28" t="s">
        <v>75</v>
      </c>
      <c r="AD28" t="s">
        <v>73</v>
      </c>
      <c r="AE28" t="s">
        <v>1283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35:00</v>
      </c>
      <c r="AG28" t="str">
        <f>min_hour( hour_min($AF$28)+60-2280 )</f>
        <v>-02:00</v>
      </c>
      <c r="AH28" s="16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1284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-02:00</v>
      </c>
      <c r="AS28" s="16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1285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02:00</v>
      </c>
      <c r="BD28" s="16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1286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38:00</v>
      </c>
      <c r="BN28" t="str">
        <f>min_hour( hour_min($BM$28)+-2280 + hour_min($BC$28))</f>
        <v>02:00</v>
      </c>
      <c r="BO28" s="16"/>
      <c r="BP28" t="s">
        <v>126</v>
      </c>
      <c r="BQ28" t="s">
        <v>126</v>
      </c>
      <c r="BR28" t="s">
        <v>73</v>
      </c>
      <c r="BS28" t="s">
        <v>126</v>
      </c>
      <c r="BT28" t="s">
        <v>126</v>
      </c>
      <c r="BU28" t="s">
        <v>126</v>
      </c>
      <c r="BV28" t="s">
        <v>126</v>
      </c>
      <c r="BW28" t="s">
        <v>1287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00:00</v>
      </c>
      <c r="BY28" t="str">
        <f>min_hour( hour_min($BX$28)+-2280 + hour_min($BN$28))</f>
        <v>-36:00</v>
      </c>
      <c r="BZ28" s="16"/>
      <c r="CA28" t="s">
        <v>73</v>
      </c>
      <c r="CB28" t="s">
        <v>126</v>
      </c>
      <c r="CC28" t="s">
        <v>126</v>
      </c>
      <c r="CD28" t="s">
        <v>126</v>
      </c>
      <c r="CE28" t="s">
        <v>126</v>
      </c>
      <c r="CF28" t="s">
        <v>126</v>
      </c>
      <c r="CG28" t="s">
        <v>73</v>
      </c>
      <c r="CH28" t="s">
        <v>1288</v>
      </c>
      <c r="CI28" t="str">
        <f>min_hour(+IF($CA$28="M","420","0")+IF($CA$28="P","420","0")+IF($CA$28="F","420","0")+IF($CA$28="N","600","0")+IF($CA$28="M1","380","0")+IF($CA$28="P1","380","0")+IF($CA$28="L104","0","0")+IF($CA$28="MAL","0","0")+IF($CA$28="RC","0","0")+IF($CB$28="M","420","0")+IF($CB$28="P","420","0")+IF($CB$28="F","420","0")+IF($CB$28="N","600","0")+IF($CB$28="M1","380","0")+IF($CB$28="P1","380","0")+IF($CB$28="L104","0","0")+IF($CB$28="MAL","0","0")+IF($CB$28="RC","0","0")+IF($CC$28="M","420","0")+IF($CC$28="P","420","0")+IF($CC$28="F","420","0")+IF($CC$28="N","600","0")+IF($CC$28="M1","380","0")+IF($CC$28="P1","380","0")+IF($CC$28="L104","0","0")+IF($CC$28="MAL","0","0")+IF($CC$28="RC","0","0")+IF($CD$28="M","420","0")+IF($CD$28="P","420","0")+IF($CD$28="F","420","0")+IF($CD$28="N","600","0")+IF($CD$28="M1","380","0")+IF($CD$28="P1","380","0")+IF($CD$28="L104","0","0")+IF($CD$28="MAL","0","0")+IF($CD$28="RC","0","0")+IF($CE$28="M","420","0")+IF($CE$28="P","420","0")+IF($CE$28="F","420","0")+IF($CE$28="N","600","0")+IF($CE$28="M1","380","0")+IF($CE$28="P1","380","0")+IF($CE$28="L104","0","0")+IF($CE$28="MAL","0","0")+IF($CE$28="RC","0","0")+IF($CF$28="M","420","0")+IF($CF$28="P","420","0")+IF($CF$28="F","420","0")+IF($CF$28="N","600","0")+IF($CF$28="M1","380","0")+IF($CF$28="P1","380","0")+IF($CF$28="L104","0","0")+IF($CF$28="MAL","0","0")+IF($CF$28="RC","0","0")+IF($CG$28="M","420","0")+IF($CG$28="P","420","0")+IF($CG$28="F","420","0")+IF($CG$28="N","600","0")+IF($CG$28="M1","380","0")+IF($CG$28="P1","380","0")+IF($CG$28="L104","0","0")+IF($CG$28="MAL","0","0")+IF($CG$28="RC","0","0"))</f>
        <v>00:00</v>
      </c>
      <c r="CJ28" t="str">
        <f>min_hour( hour_min($CI$28)+-2280 + hour_min($BY$28))</f>
        <v>-74:00</v>
      </c>
      <c r="CK28" s="16"/>
      <c r="CL28" t="s">
        <v>126</v>
      </c>
      <c r="CM28" t="s">
        <v>126</v>
      </c>
      <c r="CN28" t="s">
        <v>126</v>
      </c>
      <c r="CO28" t="s">
        <v>126</v>
      </c>
      <c r="CP28" t="s">
        <v>126</v>
      </c>
      <c r="CQ28" t="s">
        <v>73</v>
      </c>
      <c r="CR28" t="s">
        <v>126</v>
      </c>
      <c r="CS28" t="s">
        <v>1278</v>
      </c>
      <c r="CT28" t="str">
        <f>min_hour(+IF($CL$28="M","420","0")+IF($CL$28="P","420","0")+IF($CL$28="F","420","0")+IF($CL$28="N","600","0")+IF($CL$28="M1","380","0")+IF($CL$28="P1","380","0")+IF($CL$28="L104","0","0")+IF($CL$28="MAL","0","0")+IF($CL$28="RC","0","0")+IF($CM$28="M","420","0")+IF($CM$28="P","420","0")+IF($CM$28="F","420","0")+IF($CM$28="N","600","0")+IF($CM$28="M1","380","0")+IF($CM$28="P1","380","0")+IF($CM$28="L104","0","0")+IF($CM$28="MAL","0","0")+IF($CM$28="RC","0","0")+IF($CN$28="M","420","0")+IF($CN$28="P","420","0")+IF($CN$28="F","420","0")+IF($CN$28="N","600","0")+IF($CN$28="M1","380","0")+IF($CN$28="P1","380","0")+IF($CN$28="L104","0","0")+IF($CN$28="MAL","0","0")+IF($CN$28="RC","0","0")+IF($CO$28="M","420","0")+IF($CO$28="P","420","0")+IF($CO$28="F","420","0")+IF($CO$28="N","600","0")+IF($CO$28="M1","380","0")+IF($CO$28="P1","380","0")+IF($CO$28="L104","0","0")+IF($CO$28="MAL","0","0")+IF($CO$28="RC","0","0")+IF($CP$28="M","420","0")+IF($CP$28="P","420","0")+IF($CP$28="F","420","0")+IF($CP$28="N","600","0")+IF($CP$28="M1","380","0")+IF($CP$28="P1","380","0")+IF($CP$28="L104","0","0")+IF($CP$28="MAL","0","0")+IF($CP$28="RC","0","0")+IF($CQ$28="M","420","0")+IF($CQ$28="P","420","0")+IF($CQ$28="F","420","0")+IF($CQ$28="N","600","0")+IF($CQ$28="M1","380","0")+IF($CQ$28="P1","380","0")+IF($CQ$28="L104","0","0")+IF($CQ$28="MAL","0","0")+IF($CQ$28="RC","0","0")+IF($CR$28="M","420","0")+IF($CR$28="P","420","0")+IF($CR$28="F","420","0")+IF($CR$28="N","600","0")+IF($CR$28="M1","380","0")+IF($CR$28="P1","380","0")+IF($CR$28="L104","0","0")+IF($CR$28="MAL","0","0")+IF($CR$28="RC","0","0"))</f>
        <v>00:00</v>
      </c>
      <c r="CU28" t="str">
        <f>min_hour( hour_min($CT$28)+-2280 + hour_min($CJ$28))</f>
        <v>-112:00</v>
      </c>
      <c r="CV28" s="16"/>
      <c r="CW28" t="s">
        <v>126</v>
      </c>
      <c r="CX28" t="s">
        <v>126</v>
      </c>
      <c r="CY28" t="s">
        <v>126</v>
      </c>
      <c r="CZ28" t="s">
        <v>126</v>
      </c>
      <c r="DA28" t="s">
        <v>73</v>
      </c>
      <c r="DB28" t="s">
        <v>126</v>
      </c>
      <c r="DC28" t="s">
        <v>126</v>
      </c>
      <c r="DD28" t="s">
        <v>1279</v>
      </c>
      <c r="DE28" t="str">
        <f>min_hour(+IF($CW$28="M","420","0")+IF($CW$28="P","420","0")+IF($CW$28="F","420","0")+IF($CW$28="N","600","0")+IF($CW$28="M1","380","0")+IF($CW$28="P1","380","0")+IF($CW$28="L104","0","0")+IF($CW$28="MAL","0","0")+IF($CW$28="RC","0","0")+IF($CX$28="M","420","0")+IF($CX$28="P","420","0")+IF($CX$28="F","420","0")+IF($CX$28="N","600","0")+IF($CX$28="M1","380","0")+IF($CX$28="P1","380","0")+IF($CX$28="L104","0","0")+IF($CX$28="MAL","0","0")+IF($CX$28="RC","0","0")+IF($CY$28="M","420","0")+IF($CY$28="P","420","0")+IF($CY$28="F","420","0")+IF($CY$28="N","600","0")+IF($CY$28="M1","380","0")+IF($CY$28="P1","380","0")+IF($CY$28="L104","0","0")+IF($CY$28="MAL","0","0")+IF($CY$28="RC","0","0")+IF($CZ$28="M","420","0")+IF($CZ$28="P","420","0")+IF($CZ$28="F","420","0")+IF($CZ$28="N","600","0")+IF($CZ$28="M1","380","0")+IF($CZ$28="P1","380","0")+IF($CZ$28="L104","0","0")+IF($CZ$28="MAL","0","0")+IF($CZ$28="RC","0","0")+IF($DA$28="M","420","0")+IF($DA$28="P","420","0")+IF($DA$28="F","420","0")+IF($DA$28="N","600","0")+IF($DA$28="M1","380","0")+IF($DA$28="P1","380","0")+IF($DA$28="L104","0","0")+IF($DA$28="MAL","0","0")+IF($DA$28="RC","0","0")+IF($DB$28="M","420","0")+IF($DB$28="P","420","0")+IF($DB$28="F","420","0")+IF($DB$28="N","600","0")+IF($DB$28="M1","380","0")+IF($DB$28="P1","380","0")+IF($DB$28="L104","0","0")+IF($DB$28="MAL","0","0")+IF($DB$28="RC","0","0")+IF($DC$28="M","420","0")+IF($DC$28="P","420","0")+IF($DC$28="F","420","0")+IF($DC$28="N","600","0")+IF($DC$28="M1","380","0")+IF($DC$28="P1","380","0")+IF($DC$28="L104","0","0")+IF($DC$28="MAL","0","0")+IF($DC$28="RC","0","0"))</f>
        <v>00:00</v>
      </c>
      <c r="DF28" t="str">
        <f>min_hour( hour_min($DE$28)+-2280 + hour_min($CU$28))</f>
        <v>-150:00</v>
      </c>
    </row>
    <row r="29" spans="1:110">
      <c r="A29" t="s">
        <v>109</v>
      </c>
      <c r="B29" t="s">
        <v>32</v>
      </c>
      <c r="C29" t="s">
        <v>33</v>
      </c>
      <c r="I29" s="16"/>
      <c r="J29" t="s">
        <v>1272</v>
      </c>
      <c r="K29">
        <v>5</v>
      </c>
      <c r="L29" s="10">
        <v>41212</v>
      </c>
      <c r="M29">
        <v>44</v>
      </c>
      <c r="N29">
        <v>2016</v>
      </c>
      <c r="O29" t="s">
        <v>73</v>
      </c>
      <c r="P29" t="s">
        <v>75</v>
      </c>
      <c r="Q29" t="s">
        <v>74</v>
      </c>
      <c r="R29" t="s">
        <v>74</v>
      </c>
      <c r="S29" t="s">
        <v>75</v>
      </c>
      <c r="T29" t="s">
        <v>74</v>
      </c>
      <c r="U29" t="s">
        <v>73</v>
      </c>
      <c r="V29" t="str">
        <f>min_hour(840)</f>
        <v>14:00</v>
      </c>
      <c r="W29" s="16"/>
      <c r="X29" t="s">
        <v>75</v>
      </c>
      <c r="Y29" t="s">
        <v>74</v>
      </c>
      <c r="Z29" t="s">
        <v>75</v>
      </c>
      <c r="AA29" t="s">
        <v>74</v>
      </c>
      <c r="AB29" t="s">
        <v>134</v>
      </c>
      <c r="AC29" t="s">
        <v>73</v>
      </c>
      <c r="AD29" t="s">
        <v>75</v>
      </c>
      <c r="AE29" t="s">
        <v>1323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35:00</v>
      </c>
      <c r="AG29" t="str">
        <f>min_hour( hour_min($AF$29)+840-2280 )</f>
        <v>11:00</v>
      </c>
      <c r="AH29" s="16"/>
      <c r="AI29" t="s">
        <v>75</v>
      </c>
      <c r="AJ29" t="s">
        <v>75</v>
      </c>
      <c r="AK29" t="s">
        <v>76</v>
      </c>
      <c r="AL29" t="s">
        <v>77</v>
      </c>
      <c r="AM29" t="s">
        <v>73</v>
      </c>
      <c r="AN29" t="s">
        <v>74</v>
      </c>
      <c r="AO29" t="s">
        <v>74</v>
      </c>
      <c r="AP29" t="s">
        <v>1324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38:00</v>
      </c>
      <c r="AR29" t="str">
        <f>min_hour( hour_min($AQ$29)+-2280 + hour_min($AG$29))</f>
        <v>11:00</v>
      </c>
      <c r="AS29" s="16"/>
      <c r="AT29" t="s">
        <v>74</v>
      </c>
      <c r="AU29" t="s">
        <v>75</v>
      </c>
      <c r="AV29" t="s">
        <v>134</v>
      </c>
      <c r="AW29" t="s">
        <v>73</v>
      </c>
      <c r="AX29" t="s">
        <v>134</v>
      </c>
      <c r="AY29" t="s">
        <v>75</v>
      </c>
      <c r="AZ29" t="s">
        <v>74</v>
      </c>
      <c r="BA29" t="s">
        <v>1325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28:00</v>
      </c>
      <c r="BC29" t="str">
        <f>min_hour( hour_min($BB$29)+-2280 + hour_min($AR$29))</f>
        <v>01:00</v>
      </c>
      <c r="BD29" s="16"/>
      <c r="BE29" t="s">
        <v>74</v>
      </c>
      <c r="BF29" t="s">
        <v>75</v>
      </c>
      <c r="BG29" t="s">
        <v>73</v>
      </c>
      <c r="BH29" t="s">
        <v>75</v>
      </c>
      <c r="BI29" t="s">
        <v>75</v>
      </c>
      <c r="BJ29" t="s">
        <v>75</v>
      </c>
      <c r="BK29" t="s">
        <v>75</v>
      </c>
      <c r="BL29" t="s">
        <v>1326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05:00</v>
      </c>
      <c r="BO29" s="16"/>
      <c r="BP29" t="s">
        <v>75</v>
      </c>
      <c r="BQ29" t="s">
        <v>73</v>
      </c>
      <c r="BR29" t="s">
        <v>74</v>
      </c>
      <c r="BS29" t="s">
        <v>73</v>
      </c>
      <c r="BT29" t="s">
        <v>74</v>
      </c>
      <c r="BU29" t="s">
        <v>76</v>
      </c>
      <c r="BV29" t="s">
        <v>77</v>
      </c>
      <c r="BW29" t="s">
        <v>1321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31:00</v>
      </c>
      <c r="BY29" t="str">
        <f>min_hour( hour_min($BX$29)+-2280 + hour_min($BN$29))</f>
        <v>-02:00</v>
      </c>
      <c r="BZ29" s="16"/>
      <c r="CA29" t="s">
        <v>73</v>
      </c>
      <c r="CB29" t="s">
        <v>75</v>
      </c>
      <c r="CC29" t="s">
        <v>75</v>
      </c>
      <c r="CD29" t="s">
        <v>75</v>
      </c>
      <c r="CE29" t="s">
        <v>75</v>
      </c>
      <c r="CF29" t="s">
        <v>75</v>
      </c>
      <c r="CG29" t="s">
        <v>73</v>
      </c>
      <c r="CH29" t="s">
        <v>1322</v>
      </c>
      <c r="CI29" t="str">
        <f>min_hour(+IF($CA$29="M","420","0")+IF($CA$29="P","420","0")+IF($CA$29="F","420","0")+IF($CA$29="N","600","0")+IF($CA$29="M1","380","0")+IF($CA$29="P1","380","0")+IF($CA$29="L104","0","0")+IF($CA$29="MAL","0","0")+IF($CA$29="RC","0","0")+IF($CB$29="M","420","0")+IF($CB$29="P","420","0")+IF($CB$29="F","420","0")+IF($CB$29="N","600","0")+IF($CB$29="M1","380","0")+IF($CB$29="P1","380","0")+IF($CB$29="L104","0","0")+IF($CB$29="MAL","0","0")+IF($CB$29="RC","0","0")+IF($CC$29="M","420","0")+IF($CC$29="P","420","0")+IF($CC$29="F","420","0")+IF($CC$29="N","600","0")+IF($CC$29="M1","380","0")+IF($CC$29="P1","380","0")+IF($CC$29="L104","0","0")+IF($CC$29="MAL","0","0")+IF($CC$29="RC","0","0")+IF($CD$29="M","420","0")+IF($CD$29="P","420","0")+IF($CD$29="F","420","0")+IF($CD$29="N","600","0")+IF($CD$29="M1","380","0")+IF($CD$29="P1","380","0")+IF($CD$29="L104","0","0")+IF($CD$29="MAL","0","0")+IF($CD$29="RC","0","0")+IF($CE$29="M","420","0")+IF($CE$29="P","420","0")+IF($CE$29="F","420","0")+IF($CE$29="N","600","0")+IF($CE$29="M1","380","0")+IF($CE$29="P1","380","0")+IF($CE$29="L104","0","0")+IF($CE$29="MAL","0","0")+IF($CE$29="RC","0","0")+IF($CF$29="M","420","0")+IF($CF$29="P","420","0")+IF($CF$29="F","420","0")+IF($CF$29="N","600","0")+IF($CF$29="M1","380","0")+IF($CF$29="P1","380","0")+IF($CF$29="L104","0","0")+IF($CF$29="MAL","0","0")+IF($CF$29="RC","0","0")+IF($CG$29="M","420","0")+IF($CG$29="P","420","0")+IF($CG$29="F","420","0")+IF($CG$29="N","600","0")+IF($CG$29="M1","380","0")+IF($CG$29="P1","380","0")+IF($CG$29="L104","0","0")+IF($CG$29="MAL","0","0")+IF($CG$29="RC","0","0"))</f>
        <v>35:00</v>
      </c>
      <c r="CJ29" t="str">
        <f>min_hour( hour_min($CI$29)+-2280 + hour_min($BY$29))</f>
        <v>-05:00</v>
      </c>
      <c r="CK29" s="16"/>
      <c r="CL29" t="s">
        <v>134</v>
      </c>
      <c r="CM29" t="s">
        <v>75</v>
      </c>
      <c r="CN29" t="s">
        <v>75</v>
      </c>
      <c r="CO29" t="s">
        <v>74</v>
      </c>
      <c r="CP29" t="s">
        <v>134</v>
      </c>
      <c r="CQ29" t="s">
        <v>73</v>
      </c>
      <c r="CR29" t="s">
        <v>75</v>
      </c>
      <c r="CS29" t="s">
        <v>1323</v>
      </c>
      <c r="CT29" t="str">
        <f>min_hour(+IF($CL$29="M","420","0")+IF($CL$29="P","420","0")+IF($CL$29="F","420","0")+IF($CL$29="N","600","0")+IF($CL$29="M1","380","0")+IF($CL$29="P1","380","0")+IF($CL$29="L104","0","0")+IF($CL$29="MAL","0","0")+IF($CL$29="RC","0","0")+IF($CM$29="M","420","0")+IF($CM$29="P","420","0")+IF($CM$29="F","420","0")+IF($CM$29="N","600","0")+IF($CM$29="M1","380","0")+IF($CM$29="P1","380","0")+IF($CM$29="L104","0","0")+IF($CM$29="MAL","0","0")+IF($CM$29="RC","0","0")+IF($CN$29="M","420","0")+IF($CN$29="P","420","0")+IF($CN$29="F","420","0")+IF($CN$29="N","600","0")+IF($CN$29="M1","380","0")+IF($CN$29="P1","380","0")+IF($CN$29="L104","0","0")+IF($CN$29="MAL","0","0")+IF($CN$29="RC","0","0")+IF($CO$29="M","420","0")+IF($CO$29="P","420","0")+IF($CO$29="F","420","0")+IF($CO$29="N","600","0")+IF($CO$29="M1","380","0")+IF($CO$29="P1","380","0")+IF($CO$29="L104","0","0")+IF($CO$29="MAL","0","0")+IF($CO$29="RC","0","0")+IF($CP$29="M","420","0")+IF($CP$29="P","420","0")+IF($CP$29="F","420","0")+IF($CP$29="N","600","0")+IF($CP$29="M1","380","0")+IF($CP$29="P1","380","0")+IF($CP$29="L104","0","0")+IF($CP$29="MAL","0","0")+IF($CP$29="RC","0","0")+IF($CQ$29="M","420","0")+IF($CQ$29="P","420","0")+IF($CQ$29="F","420","0")+IF($CQ$29="N","600","0")+IF($CQ$29="M1","380","0")+IF($CQ$29="P1","380","0")+IF($CQ$29="L104","0","0")+IF($CQ$29="MAL","0","0")+IF($CQ$29="RC","0","0")+IF($CR$29="M","420","0")+IF($CR$29="P","420","0")+IF($CR$29="F","420","0")+IF($CR$29="N","600","0")+IF($CR$29="M1","380","0")+IF($CR$29="P1","380","0")+IF($CR$29="L104","0","0")+IF($CR$29="MAL","0","0")+IF($CR$29="RC","0","0"))</f>
        <v>28:00</v>
      </c>
      <c r="CU29" t="str">
        <f>min_hour( hour_min($CT$29)+-2280 + hour_min($CJ$29))</f>
        <v>-15:00</v>
      </c>
      <c r="CV29" s="16"/>
      <c r="CW29" t="s">
        <v>75</v>
      </c>
      <c r="CX29" t="s">
        <v>75</v>
      </c>
      <c r="CY29" t="s">
        <v>75</v>
      </c>
      <c r="CZ29" t="s">
        <v>75</v>
      </c>
      <c r="DA29" t="s">
        <v>73</v>
      </c>
      <c r="DB29" t="s">
        <v>75</v>
      </c>
      <c r="DC29" t="s">
        <v>73</v>
      </c>
      <c r="DD29" t="s">
        <v>1324</v>
      </c>
      <c r="DE29" t="str">
        <f>min_hour(+IF($CW$29="M","420","0")+IF($CW$29="P","420","0")+IF($CW$29="F","420","0")+IF($CW$29="N","600","0")+IF($CW$29="M1","380","0")+IF($CW$29="P1","380","0")+IF($CW$29="L104","0","0")+IF($CW$29="MAL","0","0")+IF($CW$29="RC","0","0")+IF($CX$29="M","420","0")+IF($CX$29="P","420","0")+IF($CX$29="F","420","0")+IF($CX$29="N","600","0")+IF($CX$29="M1","380","0")+IF($CX$29="P1","380","0")+IF($CX$29="L104","0","0")+IF($CX$29="MAL","0","0")+IF($CX$29="RC","0","0")+IF($CY$29="M","420","0")+IF($CY$29="P","420","0")+IF($CY$29="F","420","0")+IF($CY$29="N","600","0")+IF($CY$29="M1","380","0")+IF($CY$29="P1","380","0")+IF($CY$29="L104","0","0")+IF($CY$29="MAL","0","0")+IF($CY$29="RC","0","0")+IF($CZ$29="M","420","0")+IF($CZ$29="P","420","0")+IF($CZ$29="F","420","0")+IF($CZ$29="N","600","0")+IF($CZ$29="M1","380","0")+IF($CZ$29="P1","380","0")+IF($CZ$29="L104","0","0")+IF($CZ$29="MAL","0","0")+IF($CZ$29="RC","0","0")+IF($DA$29="M","420","0")+IF($DA$29="P","420","0")+IF($DA$29="F","420","0")+IF($DA$29="N","600","0")+IF($DA$29="M1","380","0")+IF($DA$29="P1","380","0")+IF($DA$29="L104","0","0")+IF($DA$29="MAL","0","0")+IF($DA$29="RC","0","0")+IF($DB$29="M","420","0")+IF($DB$29="P","420","0")+IF($DB$29="F","420","0")+IF($DB$29="N","600","0")+IF($DB$29="M1","380","0")+IF($DB$29="P1","380","0")+IF($DB$29="L104","0","0")+IF($DB$29="MAL","0","0")+IF($DB$29="RC","0","0")+IF($DC$29="M","420","0")+IF($DC$29="P","420","0")+IF($DC$29="F","420","0")+IF($DC$29="N","600","0")+IF($DC$29="M1","380","0")+IF($DC$29="P1","380","0")+IF($DC$29="L104","0","0")+IF($DC$29="MAL","0","0")+IF($DC$29="RC","0","0"))</f>
        <v>35:00</v>
      </c>
      <c r="DF29" t="str">
        <f>min_hour( hour_min($DE$29)+-2280 + hour_min($CU$29))</f>
        <v>-18:00</v>
      </c>
    </row>
    <row r="30" spans="1:110">
      <c r="A30" t="s">
        <v>122</v>
      </c>
      <c r="B30" t="s">
        <v>32</v>
      </c>
      <c r="C30" t="s">
        <v>34</v>
      </c>
      <c r="I30" s="16"/>
      <c r="J30" t="s">
        <v>1272</v>
      </c>
      <c r="K30">
        <v>4</v>
      </c>
      <c r="L30" s="10">
        <v>41212</v>
      </c>
      <c r="M30">
        <v>44</v>
      </c>
      <c r="N30">
        <v>2016</v>
      </c>
      <c r="O30" t="s">
        <v>75</v>
      </c>
      <c r="P30" t="s">
        <v>73</v>
      </c>
      <c r="Q30" t="s">
        <v>74</v>
      </c>
      <c r="R30" t="s">
        <v>74</v>
      </c>
      <c r="S30" t="s">
        <v>75</v>
      </c>
      <c r="T30" t="s">
        <v>75</v>
      </c>
      <c r="U30" t="s">
        <v>75</v>
      </c>
      <c r="V30" t="str">
        <f>min_hour(1500)</f>
        <v>25:00</v>
      </c>
      <c r="W30" s="16"/>
      <c r="X30" t="s">
        <v>126</v>
      </c>
      <c r="Y30" t="s">
        <v>126</v>
      </c>
      <c r="Z30" t="s">
        <v>126</v>
      </c>
      <c r="AA30" t="s">
        <v>126</v>
      </c>
      <c r="AB30" t="s">
        <v>126</v>
      </c>
      <c r="AC30" t="s">
        <v>126</v>
      </c>
      <c r="AD30" t="s">
        <v>126</v>
      </c>
      <c r="AE30" t="s">
        <v>1377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00:00</v>
      </c>
      <c r="AG30" t="str">
        <f>min_hour( hour_min($AF$30)+1500-2280 )</f>
        <v>-13:00</v>
      </c>
      <c r="AH30" s="16"/>
      <c r="AI30" t="s">
        <v>126</v>
      </c>
      <c r="AJ30" t="s">
        <v>126</v>
      </c>
      <c r="AK30" t="s">
        <v>126</v>
      </c>
      <c r="AL30" t="s">
        <v>126</v>
      </c>
      <c r="AM30" t="s">
        <v>126</v>
      </c>
      <c r="AN30" t="s">
        <v>126</v>
      </c>
      <c r="AO30" t="s">
        <v>126</v>
      </c>
      <c r="AP30" t="s">
        <v>1377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00:00</v>
      </c>
      <c r="AR30" t="str">
        <f>min_hour( hour_min($AQ$30)+-2280 + hour_min($AG$30))</f>
        <v>-51:00</v>
      </c>
      <c r="AS30" s="16"/>
      <c r="AT30" t="s">
        <v>126</v>
      </c>
      <c r="AU30" t="s">
        <v>126</v>
      </c>
      <c r="AV30" t="s">
        <v>126</v>
      </c>
      <c r="AW30" t="s">
        <v>126</v>
      </c>
      <c r="AX30" t="s">
        <v>126</v>
      </c>
      <c r="AY30" t="s">
        <v>126</v>
      </c>
      <c r="AZ30" t="s">
        <v>126</v>
      </c>
      <c r="BA30" t="s">
        <v>1377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00:00</v>
      </c>
      <c r="BC30" t="str">
        <f>min_hour( hour_min($BB$30)+-2280 + hour_min($AR$30))</f>
        <v>-89:00</v>
      </c>
      <c r="BD30" s="16"/>
      <c r="BE30" t="s">
        <v>126</v>
      </c>
      <c r="BF30" t="s">
        <v>126</v>
      </c>
      <c r="BG30" t="s">
        <v>126</v>
      </c>
      <c r="BH30" t="s">
        <v>126</v>
      </c>
      <c r="BI30" t="s">
        <v>126</v>
      </c>
      <c r="BJ30" t="s">
        <v>126</v>
      </c>
      <c r="BK30" t="s">
        <v>126</v>
      </c>
      <c r="BL30" t="s">
        <v>1377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00:00</v>
      </c>
      <c r="BN30" t="str">
        <f>min_hour( hour_min($BM$30)+-2280 + hour_min($BC$30))</f>
        <v>-127:00</v>
      </c>
      <c r="BO30" s="16"/>
      <c r="BP30" t="s">
        <v>126</v>
      </c>
      <c r="BQ30" t="s">
        <v>126</v>
      </c>
      <c r="BR30" t="s">
        <v>126</v>
      </c>
      <c r="BS30" t="s">
        <v>126</v>
      </c>
      <c r="BT30" t="s">
        <v>126</v>
      </c>
      <c r="BU30" t="s">
        <v>126</v>
      </c>
      <c r="BV30" t="s">
        <v>126</v>
      </c>
      <c r="BW30" t="s">
        <v>1377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00:00</v>
      </c>
      <c r="BY30" t="str">
        <f>min_hour( hour_min($BX$30)+-2280 + hour_min($BN$30))</f>
        <v>-165:00</v>
      </c>
      <c r="BZ30" s="16"/>
      <c r="CA30" t="s">
        <v>126</v>
      </c>
      <c r="CB30" t="s">
        <v>126</v>
      </c>
      <c r="CC30" t="s">
        <v>126</v>
      </c>
      <c r="CD30" t="s">
        <v>126</v>
      </c>
      <c r="CE30" t="s">
        <v>126</v>
      </c>
      <c r="CF30" t="s">
        <v>126</v>
      </c>
      <c r="CG30" t="s">
        <v>126</v>
      </c>
      <c r="CH30" t="s">
        <v>1377</v>
      </c>
      <c r="CI30" t="str">
        <f>min_hour(+IF($CA$30="M","420","0")+IF($CA$30="P","420","0")+IF($CA$30="F","420","0")+IF($CA$30="N","600","0")+IF($CA$30="M1","380","0")+IF($CA$30="P1","380","0")+IF($CA$30="L104","0","0")+IF($CA$30="MAL","0","0")+IF($CA$30="RC","0","0")+IF($CB$30="M","420","0")+IF($CB$30="P","420","0")+IF($CB$30="F","420","0")+IF($CB$30="N","600","0")+IF($CB$30="M1","380","0")+IF($CB$30="P1","380","0")+IF($CB$30="L104","0","0")+IF($CB$30="MAL","0","0")+IF($CB$30="RC","0","0")+IF($CC$30="M","420","0")+IF($CC$30="P","420","0")+IF($CC$30="F","420","0")+IF($CC$30="N","600","0")+IF($CC$30="M1","380","0")+IF($CC$30="P1","380","0")+IF($CC$30="L104","0","0")+IF($CC$30="MAL","0","0")+IF($CC$30="RC","0","0")+IF($CD$30="M","420","0")+IF($CD$30="P","420","0")+IF($CD$30="F","420","0")+IF($CD$30="N","600","0")+IF($CD$30="M1","380","0")+IF($CD$30="P1","380","0")+IF($CD$30="L104","0","0")+IF($CD$30="MAL","0","0")+IF($CD$30="RC","0","0")+IF($CE$30="M","420","0")+IF($CE$30="P","420","0")+IF($CE$30="F","420","0")+IF($CE$30="N","600","0")+IF($CE$30="M1","380","0")+IF($CE$30="P1","380","0")+IF($CE$30="L104","0","0")+IF($CE$30="MAL","0","0")+IF($CE$30="RC","0","0")+IF($CF$30="M","420","0")+IF($CF$30="P","420","0")+IF($CF$30="F","420","0")+IF($CF$30="N","600","0")+IF($CF$30="M1","380","0")+IF($CF$30="P1","380","0")+IF($CF$30="L104","0","0")+IF($CF$30="MAL","0","0")+IF($CF$30="RC","0","0")+IF($CG$30="M","420","0")+IF($CG$30="P","420","0")+IF($CG$30="F","420","0")+IF($CG$30="N","600","0")+IF($CG$30="M1","380","0")+IF($CG$30="P1","380","0")+IF($CG$30="L104","0","0")+IF($CG$30="MAL","0","0")+IF($CG$30="RC","0","0"))</f>
        <v>00:00</v>
      </c>
      <c r="CJ30" t="str">
        <f>min_hour( hour_min($CI$30)+-2280 + hour_min($BY$30))</f>
        <v>-203:00</v>
      </c>
      <c r="CK30" s="16"/>
      <c r="CL30" t="s">
        <v>126</v>
      </c>
      <c r="CM30" t="s">
        <v>126</v>
      </c>
      <c r="CN30" t="s">
        <v>126</v>
      </c>
      <c r="CO30" t="s">
        <v>126</v>
      </c>
      <c r="CP30" t="s">
        <v>126</v>
      </c>
      <c r="CQ30" t="s">
        <v>126</v>
      </c>
      <c r="CR30" t="s">
        <v>126</v>
      </c>
      <c r="CS30" t="s">
        <v>1377</v>
      </c>
      <c r="CT30" t="str">
        <f>min_hour(+IF($CL$30="M","420","0")+IF($CL$30="P","420","0")+IF($CL$30="F","420","0")+IF($CL$30="N","600","0")+IF($CL$30="M1","380","0")+IF($CL$30="P1","380","0")+IF($CL$30="L104","0","0")+IF($CL$30="MAL","0","0")+IF($CL$30="RC","0","0")+IF($CM$30="M","420","0")+IF($CM$30="P","420","0")+IF($CM$30="F","420","0")+IF($CM$30="N","600","0")+IF($CM$30="M1","380","0")+IF($CM$30="P1","380","0")+IF($CM$30="L104","0","0")+IF($CM$30="MAL","0","0")+IF($CM$30="RC","0","0")+IF($CN$30="M","420","0")+IF($CN$30="P","420","0")+IF($CN$30="F","420","0")+IF($CN$30="N","600","0")+IF($CN$30="M1","380","0")+IF($CN$30="P1","380","0")+IF($CN$30="L104","0","0")+IF($CN$30="MAL","0","0")+IF($CN$30="RC","0","0")+IF($CO$30="M","420","0")+IF($CO$30="P","420","0")+IF($CO$30="F","420","0")+IF($CO$30="N","600","0")+IF($CO$30="M1","380","0")+IF($CO$30="P1","380","0")+IF($CO$30="L104","0","0")+IF($CO$30="MAL","0","0")+IF($CO$30="RC","0","0")+IF($CP$30="M","420","0")+IF($CP$30="P","420","0")+IF($CP$30="F","420","0")+IF($CP$30="N","600","0")+IF($CP$30="M1","380","0")+IF($CP$30="P1","380","0")+IF($CP$30="L104","0","0")+IF($CP$30="MAL","0","0")+IF($CP$30="RC","0","0")+IF($CQ$30="M","420","0")+IF($CQ$30="P","420","0")+IF($CQ$30="F","420","0")+IF($CQ$30="N","600","0")+IF($CQ$30="M1","380","0")+IF($CQ$30="P1","380","0")+IF($CQ$30="L104","0","0")+IF($CQ$30="MAL","0","0")+IF($CQ$30="RC","0","0")+IF($CR$30="M","420","0")+IF($CR$30="P","420","0")+IF($CR$30="F","420","0")+IF($CR$30="N","600","0")+IF($CR$30="M1","380","0")+IF($CR$30="P1","380","0")+IF($CR$30="L104","0","0")+IF($CR$30="MAL","0","0")+IF($CR$30="RC","0","0"))</f>
        <v>00:00</v>
      </c>
      <c r="CU30" t="str">
        <f>min_hour( hour_min($CT$30)+-2280 + hour_min($CJ$30))</f>
        <v>-241:00</v>
      </c>
      <c r="CV30" s="16"/>
      <c r="CW30" t="s">
        <v>126</v>
      </c>
      <c r="CX30" t="s">
        <v>126</v>
      </c>
      <c r="CY30" t="s">
        <v>126</v>
      </c>
      <c r="CZ30" t="s">
        <v>126</v>
      </c>
      <c r="DA30" t="s">
        <v>126</v>
      </c>
      <c r="DB30" t="s">
        <v>126</v>
      </c>
      <c r="DC30" t="s">
        <v>126</v>
      </c>
      <c r="DD30" t="s">
        <v>1377</v>
      </c>
      <c r="DE30" t="str">
        <f>min_hour(+IF($CW$30="M","420","0")+IF($CW$30="P","420","0")+IF($CW$30="F","420","0")+IF($CW$30="N","600","0")+IF($CW$30="M1","380","0")+IF($CW$30="P1","380","0")+IF($CW$30="L104","0","0")+IF($CW$30="MAL","0","0")+IF($CW$30="RC","0","0")+IF($CX$30="M","420","0")+IF($CX$30="P","420","0")+IF($CX$30="F","420","0")+IF($CX$30="N","600","0")+IF($CX$30="M1","380","0")+IF($CX$30="P1","380","0")+IF($CX$30="L104","0","0")+IF($CX$30="MAL","0","0")+IF($CX$30="RC","0","0")+IF($CY$30="M","420","0")+IF($CY$30="P","420","0")+IF($CY$30="F","420","0")+IF($CY$30="N","600","0")+IF($CY$30="M1","380","0")+IF($CY$30="P1","380","0")+IF($CY$30="L104","0","0")+IF($CY$30="MAL","0","0")+IF($CY$30="RC","0","0")+IF($CZ$30="M","420","0")+IF($CZ$30="P","420","0")+IF($CZ$30="F","420","0")+IF($CZ$30="N","600","0")+IF($CZ$30="M1","380","0")+IF($CZ$30="P1","380","0")+IF($CZ$30="L104","0","0")+IF($CZ$30="MAL","0","0")+IF($CZ$30="RC","0","0")+IF($DA$30="M","420","0")+IF($DA$30="P","420","0")+IF($DA$30="F","420","0")+IF($DA$30="N","600","0")+IF($DA$30="M1","380","0")+IF($DA$30="P1","380","0")+IF($DA$30="L104","0","0")+IF($DA$30="MAL","0","0")+IF($DA$30="RC","0","0")+IF($DB$30="M","420","0")+IF($DB$30="P","420","0")+IF($DB$30="F","420","0")+IF($DB$30="N","600","0")+IF($DB$30="M1","380","0")+IF($DB$30="P1","380","0")+IF($DB$30="L104","0","0")+IF($DB$30="MAL","0","0")+IF($DB$30="RC","0","0")+IF($DC$30="M","420","0")+IF($DC$30="P","420","0")+IF($DC$30="F","420","0")+IF($DC$30="N","600","0")+IF($DC$30="M1","380","0")+IF($DC$30="P1","380","0")+IF($DC$30="L104","0","0")+IF($DC$30="MAL","0","0")+IF($DC$30="RC","0","0"))</f>
        <v>00:00</v>
      </c>
      <c r="DF30" t="str">
        <f>min_hour( hour_min($DE$30)+-2280 + hour_min($CU$30))</f>
        <v>-279:00</v>
      </c>
    </row>
    <row r="31" spans="1:110">
      <c r="A31" t="s">
        <v>110</v>
      </c>
      <c r="B31" t="s">
        <v>35</v>
      </c>
      <c r="C31" t="s">
        <v>36</v>
      </c>
      <c r="I31" s="16"/>
      <c r="J31" t="s">
        <v>1271</v>
      </c>
      <c r="K31">
        <v>11</v>
      </c>
      <c r="L31" s="10">
        <v>41212</v>
      </c>
      <c r="M31">
        <v>44</v>
      </c>
      <c r="N31">
        <v>2016</v>
      </c>
      <c r="O31" t="s">
        <v>75</v>
      </c>
      <c r="P31" t="s">
        <v>134</v>
      </c>
      <c r="Q31" t="s">
        <v>73</v>
      </c>
      <c r="R31" t="s">
        <v>74</v>
      </c>
      <c r="S31" t="s">
        <v>75</v>
      </c>
      <c r="T31" t="s">
        <v>76</v>
      </c>
      <c r="U31" t="s">
        <v>77</v>
      </c>
      <c r="V31" t="str">
        <f>min_hour(540)</f>
        <v>09:00</v>
      </c>
      <c r="W31" s="16"/>
      <c r="X31" t="s">
        <v>73</v>
      </c>
      <c r="Y31" t="s">
        <v>74</v>
      </c>
      <c r="Z31" t="s">
        <v>75</v>
      </c>
      <c r="AA31" t="s">
        <v>75</v>
      </c>
      <c r="AB31" t="s">
        <v>76</v>
      </c>
      <c r="AC31" t="s">
        <v>77</v>
      </c>
      <c r="AD31" t="s">
        <v>73</v>
      </c>
      <c r="AE31" t="s">
        <v>1288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31:00</v>
      </c>
      <c r="AG31" t="str">
        <f>min_hour( hour_min($AF$31)+540-2280 )</f>
        <v>02:00</v>
      </c>
      <c r="AH31" s="16"/>
      <c r="AI31" t="s">
        <v>74</v>
      </c>
      <c r="AJ31" t="s">
        <v>75</v>
      </c>
      <c r="AK31" t="s">
        <v>75</v>
      </c>
      <c r="AL31" t="s">
        <v>75</v>
      </c>
      <c r="AM31" t="s">
        <v>75</v>
      </c>
      <c r="AN31" t="s">
        <v>73</v>
      </c>
      <c r="AO31" t="s">
        <v>75</v>
      </c>
      <c r="AP31" t="s">
        <v>1278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42:00</v>
      </c>
      <c r="AR31" t="str">
        <f>min_hour( hour_min($AQ$31)+-2280 + hour_min($AG$31))</f>
        <v>06:00</v>
      </c>
      <c r="AS31" s="16"/>
      <c r="AT31" t="s">
        <v>74</v>
      </c>
      <c r="AU31" t="s">
        <v>75</v>
      </c>
      <c r="AV31" t="s">
        <v>76</v>
      </c>
      <c r="AW31" t="s">
        <v>77</v>
      </c>
      <c r="AX31" t="s">
        <v>73</v>
      </c>
      <c r="AY31" t="s">
        <v>74</v>
      </c>
      <c r="AZ31" t="s">
        <v>75</v>
      </c>
      <c r="BA31" t="s">
        <v>1279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38:00</v>
      </c>
      <c r="BC31" t="str">
        <f>min_hour( hour_min($BB$31)+-2280 + hour_min($AR$31))</f>
        <v>06:00</v>
      </c>
      <c r="BD31" s="16"/>
      <c r="BE31" t="s">
        <v>74</v>
      </c>
      <c r="BF31" t="s">
        <v>75</v>
      </c>
      <c r="BG31" t="s">
        <v>74</v>
      </c>
      <c r="BH31" t="s">
        <v>73</v>
      </c>
      <c r="BI31" t="s">
        <v>75</v>
      </c>
      <c r="BJ31" t="s">
        <v>134</v>
      </c>
      <c r="BK31" t="s">
        <v>75</v>
      </c>
      <c r="BL31" t="s">
        <v>1280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03:00</v>
      </c>
      <c r="BO31" s="16"/>
      <c r="BP31" t="s">
        <v>76</v>
      </c>
      <c r="BQ31" t="s">
        <v>77</v>
      </c>
      <c r="BR31" t="s">
        <v>73</v>
      </c>
      <c r="BS31" t="s">
        <v>74</v>
      </c>
      <c r="BT31" t="s">
        <v>75</v>
      </c>
      <c r="BU31" t="s">
        <v>75</v>
      </c>
      <c r="BV31" t="s">
        <v>76</v>
      </c>
      <c r="BW31" t="s">
        <v>1281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41:00</v>
      </c>
      <c r="BY31" t="str">
        <f>min_hour( hour_min($BX$31)+-2280 + hour_min($BN$31))</f>
        <v>06:00</v>
      </c>
      <c r="BZ31" s="16"/>
      <c r="CA31" t="s">
        <v>77</v>
      </c>
      <c r="CB31" t="s">
        <v>73</v>
      </c>
      <c r="CC31" t="s">
        <v>74</v>
      </c>
      <c r="CD31" t="s">
        <v>74</v>
      </c>
      <c r="CE31" t="s">
        <v>75</v>
      </c>
      <c r="CF31" t="s">
        <v>75</v>
      </c>
      <c r="CG31" t="s">
        <v>134</v>
      </c>
      <c r="CH31" t="s">
        <v>1282</v>
      </c>
      <c r="CI31" t="str">
        <f>min_hour(+IF($CA$31="M","420","0")+IF($CA$31="P","420","0")+IF($CA$31="F","420","0")+IF($CA$31="N","600","0")+IF($CA$31="M1","380","0")+IF($CA$31="P1","380","0")+IF($CA$31="L104","0","0")+IF($CA$31="MAL","0","0")+IF($CA$31="RC","0","0")+IF($CB$31="M","420","0")+IF($CB$31="P","420","0")+IF($CB$31="F","420","0")+IF($CB$31="N","600","0")+IF($CB$31="M1","380","0")+IF($CB$31="P1","380","0")+IF($CB$31="L104","0","0")+IF($CB$31="MAL","0","0")+IF($CB$31="RC","0","0")+IF($CC$31="M","420","0")+IF($CC$31="P","420","0")+IF($CC$31="F","420","0")+IF($CC$31="N","600","0")+IF($CC$31="M1","380","0")+IF($CC$31="P1","380","0")+IF($CC$31="L104","0","0")+IF($CC$31="MAL","0","0")+IF($CC$31="RC","0","0")+IF($CD$31="M","420","0")+IF($CD$31="P","420","0")+IF($CD$31="F","420","0")+IF($CD$31="N","600","0")+IF($CD$31="M1","380","0")+IF($CD$31="P1","380","0")+IF($CD$31="L104","0","0")+IF($CD$31="MAL","0","0")+IF($CD$31="RC","0","0")+IF($CE$31="M","420","0")+IF($CE$31="P","420","0")+IF($CE$31="F","420","0")+IF($CE$31="N","600","0")+IF($CE$31="M1","380","0")+IF($CE$31="P1","380","0")+IF($CE$31="L104","0","0")+IF($CE$31="MAL","0","0")+IF($CE$31="RC","0","0")+IF($CF$31="M","420","0")+IF($CF$31="P","420","0")+IF($CF$31="F","420","0")+IF($CF$31="N","600","0")+IF($CF$31="M1","380","0")+IF($CF$31="P1","380","0")+IF($CF$31="L104","0","0")+IF($CF$31="MAL","0","0")+IF($CF$31="RC","0","0")+IF($CG$31="M","420","0")+IF($CG$31="P","420","0")+IF($CG$31="F","420","0")+IF($CG$31="N","600","0")+IF($CG$31="M1","380","0")+IF($CG$31="P1","380","0")+IF($CG$31="L104","0","0")+IF($CG$31="MAL","0","0")+IF($CG$31="RC","0","0"))</f>
        <v>28:00</v>
      </c>
      <c r="CJ31" t="str">
        <f>min_hour( hour_min($CI$31)+-2280 + hour_min($BY$31))</f>
        <v>-04:00</v>
      </c>
      <c r="CK31" s="16"/>
      <c r="CL31" t="s">
        <v>73</v>
      </c>
      <c r="CM31" t="s">
        <v>74</v>
      </c>
      <c r="CN31" t="s">
        <v>75</v>
      </c>
      <c r="CO31" t="s">
        <v>74</v>
      </c>
      <c r="CP31" t="s">
        <v>74</v>
      </c>
      <c r="CQ31" t="s">
        <v>75</v>
      </c>
      <c r="CR31" t="s">
        <v>75</v>
      </c>
      <c r="CS31" t="s">
        <v>1283</v>
      </c>
      <c r="CT31" t="str">
        <f>min_hour(+IF($CL$31="M","420","0")+IF($CL$31="P","420","0")+IF($CL$31="F","420","0")+IF($CL$31="N","600","0")+IF($CL$31="M1","380","0")+IF($CL$31="P1","380","0")+IF($CL$31="L104","0","0")+IF($CL$31="MAL","0","0")+IF($CL$31="RC","0","0")+IF($CM$31="M","420","0")+IF($CM$31="P","420","0")+IF($CM$31="F","420","0")+IF($CM$31="N","600","0")+IF($CM$31="M1","380","0")+IF($CM$31="P1","380","0")+IF($CM$31="L104","0","0")+IF($CM$31="MAL","0","0")+IF($CM$31="RC","0","0")+IF($CN$31="M","420","0")+IF($CN$31="P","420","0")+IF($CN$31="F","420","0")+IF($CN$31="N","600","0")+IF($CN$31="M1","380","0")+IF($CN$31="P1","380","0")+IF($CN$31="L104","0","0")+IF($CN$31="MAL","0","0")+IF($CN$31="RC","0","0")+IF($CO$31="M","420","0")+IF($CO$31="P","420","0")+IF($CO$31="F","420","0")+IF($CO$31="N","600","0")+IF($CO$31="M1","380","0")+IF($CO$31="P1","380","0")+IF($CO$31="L104","0","0")+IF($CO$31="MAL","0","0")+IF($CO$31="RC","0","0")+IF($CP$31="M","420","0")+IF($CP$31="P","420","0")+IF($CP$31="F","420","0")+IF($CP$31="N","600","0")+IF($CP$31="M1","380","0")+IF($CP$31="P1","380","0")+IF($CP$31="L104","0","0")+IF($CP$31="MAL","0","0")+IF($CP$31="RC","0","0")+IF($CQ$31="M","420","0")+IF($CQ$31="P","420","0")+IF($CQ$31="F","420","0")+IF($CQ$31="N","600","0")+IF($CQ$31="M1","380","0")+IF($CQ$31="P1","380","0")+IF($CQ$31="L104","0","0")+IF($CQ$31="MAL","0","0")+IF($CQ$31="RC","0","0")+IF($CR$31="M","420","0")+IF($CR$31="P","420","0")+IF($CR$31="F","420","0")+IF($CR$31="N","600","0")+IF($CR$31="M1","380","0")+IF($CR$31="P1","380","0")+IF($CR$31="L104","0","0")+IF($CR$31="MAL","0","0")+IF($CR$31="RC","0","0"))</f>
        <v>42:00</v>
      </c>
      <c r="CU31" t="str">
        <f>min_hour( hour_min($CT$31)+-2280 + hour_min($CJ$31))</f>
        <v>00:00</v>
      </c>
      <c r="CV31" s="16"/>
      <c r="CW31" t="s">
        <v>73</v>
      </c>
      <c r="CX31" t="s">
        <v>75</v>
      </c>
      <c r="CY31" t="s">
        <v>75</v>
      </c>
      <c r="CZ31" t="s">
        <v>75</v>
      </c>
      <c r="DA31" t="s">
        <v>76</v>
      </c>
      <c r="DB31" t="s">
        <v>77</v>
      </c>
      <c r="DC31" t="s">
        <v>73</v>
      </c>
      <c r="DD31" t="s">
        <v>1284</v>
      </c>
      <c r="DE31" t="str">
        <f>min_hour(+IF($CW$31="M","420","0")+IF($CW$31="P","420","0")+IF($CW$31="F","420","0")+IF($CW$31="N","600","0")+IF($CW$31="M1","380","0")+IF($CW$31="P1","380","0")+IF($CW$31="L104","0","0")+IF($CW$31="MAL","0","0")+IF($CW$31="RC","0","0")+IF($CX$31="M","420","0")+IF($CX$31="P","420","0")+IF($CX$31="F","420","0")+IF($CX$31="N","600","0")+IF($CX$31="M1","380","0")+IF($CX$31="P1","380","0")+IF($CX$31="L104","0","0")+IF($CX$31="MAL","0","0")+IF($CX$31="RC","0","0")+IF($CY$31="M","420","0")+IF($CY$31="P","420","0")+IF($CY$31="F","420","0")+IF($CY$31="N","600","0")+IF($CY$31="M1","380","0")+IF($CY$31="P1","380","0")+IF($CY$31="L104","0","0")+IF($CY$31="MAL","0","0")+IF($CY$31="RC","0","0")+IF($CZ$31="M","420","0")+IF($CZ$31="P","420","0")+IF($CZ$31="F","420","0")+IF($CZ$31="N","600","0")+IF($CZ$31="M1","380","0")+IF($CZ$31="P1","380","0")+IF($CZ$31="L104","0","0")+IF($CZ$31="MAL","0","0")+IF($CZ$31="RC","0","0")+IF($DA$31="M","420","0")+IF($DA$31="P","420","0")+IF($DA$31="F","420","0")+IF($DA$31="N","600","0")+IF($DA$31="M1","380","0")+IF($DA$31="P1","380","0")+IF($DA$31="L104","0","0")+IF($DA$31="MAL","0","0")+IF($DA$31="RC","0","0")+IF($DB$31="M","420","0")+IF($DB$31="P","420","0")+IF($DB$31="F","420","0")+IF($DB$31="N","600","0")+IF($DB$31="M1","380","0")+IF($DB$31="P1","380","0")+IF($DB$31="L104","0","0")+IF($DB$31="MAL","0","0")+IF($DB$31="RC","0","0")+IF($DC$31="M","420","0")+IF($DC$31="P","420","0")+IF($DC$31="F","420","0")+IF($DC$31="N","600","0")+IF($DC$31="M1","380","0")+IF($DC$31="P1","380","0")+IF($DC$31="L104","0","0")+IF($DC$31="MAL","0","0")+IF($DC$31="RC","0","0"))</f>
        <v>31:00</v>
      </c>
      <c r="DF31" t="str">
        <f>min_hour( hour_min($DE$31)+-2280 + hour_min($CU$31))</f>
        <v>-07:00</v>
      </c>
    </row>
    <row r="32" spans="1:110">
      <c r="A32" t="s">
        <v>130</v>
      </c>
      <c r="B32" t="s">
        <v>58</v>
      </c>
      <c r="C32" t="s">
        <v>59</v>
      </c>
      <c r="I32" s="16"/>
      <c r="J32" t="s">
        <v>1272</v>
      </c>
      <c r="K32">
        <v>3</v>
      </c>
      <c r="L32" s="10">
        <v>41212</v>
      </c>
      <c r="M32">
        <v>44</v>
      </c>
      <c r="N32">
        <v>2016</v>
      </c>
      <c r="O32" t="s">
        <v>74</v>
      </c>
      <c r="P32" t="s">
        <v>75</v>
      </c>
      <c r="Q32" t="s">
        <v>73</v>
      </c>
      <c r="R32" t="s">
        <v>134</v>
      </c>
      <c r="S32" t="s">
        <v>75</v>
      </c>
      <c r="T32" t="s">
        <v>75</v>
      </c>
      <c r="U32" t="s">
        <v>75</v>
      </c>
      <c r="V32" t="str">
        <f>min_hour(1020)</f>
        <v>17:00</v>
      </c>
      <c r="W32" s="16"/>
      <c r="X32" t="s">
        <v>75</v>
      </c>
      <c r="Y32" t="s">
        <v>73</v>
      </c>
      <c r="Z32" t="s">
        <v>134</v>
      </c>
      <c r="AA32" t="s">
        <v>75</v>
      </c>
      <c r="AB32" t="s">
        <v>74</v>
      </c>
      <c r="AC32" t="s">
        <v>75</v>
      </c>
      <c r="AD32" t="s">
        <v>75</v>
      </c>
      <c r="AE32" t="s">
        <v>1321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6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1322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35:00</v>
      </c>
      <c r="AR32" t="str">
        <f>min_hour( hour_min($AQ$32)+-2280 + hour_min($AG$32))</f>
        <v>11:00</v>
      </c>
      <c r="AS32" s="16"/>
      <c r="AT32" t="s">
        <v>75</v>
      </c>
      <c r="AU32" t="s">
        <v>74</v>
      </c>
      <c r="AV32" t="s">
        <v>75</v>
      </c>
      <c r="AW32" t="s">
        <v>74</v>
      </c>
      <c r="AX32" t="s">
        <v>75</v>
      </c>
      <c r="AY32" t="s">
        <v>73</v>
      </c>
      <c r="AZ32" t="s">
        <v>134</v>
      </c>
      <c r="BA32" t="s">
        <v>1323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35:00</v>
      </c>
      <c r="BC32" t="str">
        <f>min_hour( hour_min($BB$32)+-2280 + hour_min($AR$32))</f>
        <v>08:00</v>
      </c>
      <c r="BD32" s="16"/>
      <c r="BE32" t="s">
        <v>75</v>
      </c>
      <c r="BF32" t="s">
        <v>75</v>
      </c>
      <c r="BG32" t="s">
        <v>75</v>
      </c>
      <c r="BH32" t="s">
        <v>75</v>
      </c>
      <c r="BI32" t="s">
        <v>73</v>
      </c>
      <c r="BJ32" t="s">
        <v>74</v>
      </c>
      <c r="BK32" t="s">
        <v>74</v>
      </c>
      <c r="BL32" t="s">
        <v>1324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42:00</v>
      </c>
      <c r="BN32" t="str">
        <f>min_hour( hour_min($BM$32)+-2280 + hour_min($BC$32))</f>
        <v>12:00</v>
      </c>
      <c r="BO32" s="16"/>
      <c r="BP32" t="s">
        <v>74</v>
      </c>
      <c r="BQ32" t="s">
        <v>134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1325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09:00</v>
      </c>
      <c r="BZ32" s="16"/>
      <c r="CA32" t="s">
        <v>74</v>
      </c>
      <c r="CB32" t="s">
        <v>75</v>
      </c>
      <c r="CC32" t="s">
        <v>73</v>
      </c>
      <c r="CD32" t="s">
        <v>134</v>
      </c>
      <c r="CE32" t="s">
        <v>75</v>
      </c>
      <c r="CF32" t="s">
        <v>74</v>
      </c>
      <c r="CG32" t="s">
        <v>75</v>
      </c>
      <c r="CH32" t="s">
        <v>1326</v>
      </c>
      <c r="CI32" t="str">
        <f>min_hour(+IF($CA$32="M","420","0")+IF($CA$32="P","420","0")+IF($CA$32="F","420","0")+IF($CA$32="N","600","0")+IF($CA$32="M1","380","0")+IF($CA$32="P1","380","0")+IF($CA$32="L104","0","0")+IF($CA$32="MAL","0","0")+IF($CA$32="RC","0","0")+IF($CB$32="M","420","0")+IF($CB$32="P","420","0")+IF($CB$32="F","420","0")+IF($CB$32="N","600","0")+IF($CB$32="M1","380","0")+IF($CB$32="P1","380","0")+IF($CB$32="L104","0","0")+IF($CB$32="MAL","0","0")+IF($CB$32="RC","0","0")+IF($CC$32="M","420","0")+IF($CC$32="P","420","0")+IF($CC$32="F","420","0")+IF($CC$32="N","600","0")+IF($CC$32="M1","380","0")+IF($CC$32="P1","380","0")+IF($CC$32="L104","0","0")+IF($CC$32="MAL","0","0")+IF($CC$32="RC","0","0")+IF($CD$32="M","420","0")+IF($CD$32="P","420","0")+IF($CD$32="F","420","0")+IF($CD$32="N","600","0")+IF($CD$32="M1","380","0")+IF($CD$32="P1","380","0")+IF($CD$32="L104","0","0")+IF($CD$32="MAL","0","0")+IF($CD$32="RC","0","0")+IF($CE$32="M","420","0")+IF($CE$32="P","420","0")+IF($CE$32="F","420","0")+IF($CE$32="N","600","0")+IF($CE$32="M1","380","0")+IF($CE$32="P1","380","0")+IF($CE$32="L104","0","0")+IF($CE$32="MAL","0","0")+IF($CE$32="RC","0","0")+IF($CF$32="M","420","0")+IF($CF$32="P","420","0")+IF($CF$32="F","420","0")+IF($CF$32="N","600","0")+IF($CF$32="M1","380","0")+IF($CF$32="P1","380","0")+IF($CF$32="L104","0","0")+IF($CF$32="MAL","0","0")+IF($CF$32="RC","0","0")+IF($CG$32="M","420","0")+IF($CG$32="P","420","0")+IF($CG$32="F","420","0")+IF($CG$32="N","600","0")+IF($CG$32="M1","380","0")+IF($CG$32="P1","380","0")+IF($CG$32="L104","0","0")+IF($CG$32="MAL","0","0")+IF($CG$32="RC","0","0"))</f>
        <v>35:00</v>
      </c>
      <c r="CJ32" t="str">
        <f>min_hour( hour_min($CI$32)+-2280 + hour_min($BY$32))</f>
        <v>06:00</v>
      </c>
      <c r="CK32" s="16"/>
      <c r="CL32" t="s">
        <v>75</v>
      </c>
      <c r="CM32" t="s">
        <v>73</v>
      </c>
      <c r="CN32" t="s">
        <v>74</v>
      </c>
      <c r="CO32" t="s">
        <v>75</v>
      </c>
      <c r="CP32" t="s">
        <v>74</v>
      </c>
      <c r="CQ32" t="s">
        <v>75</v>
      </c>
      <c r="CR32" t="s">
        <v>75</v>
      </c>
      <c r="CS32" t="s">
        <v>1321</v>
      </c>
      <c r="CT32" t="str">
        <f>min_hour(+IF($CL$32="M","420","0")+IF($CL$32="P","420","0")+IF($CL$32="F","420","0")+IF($CL$32="N","600","0")+IF($CL$32="M1","380","0")+IF($CL$32="P1","380","0")+IF($CL$32="L104","0","0")+IF($CL$32="MAL","0","0")+IF($CL$32="RC","0","0")+IF($CM$32="M","420","0")+IF($CM$32="P","420","0")+IF($CM$32="F","420","0")+IF($CM$32="N","600","0")+IF($CM$32="M1","380","0")+IF($CM$32="P1","380","0")+IF($CM$32="L104","0","0")+IF($CM$32="MAL","0","0")+IF($CM$32="RC","0","0")+IF($CN$32="M","420","0")+IF($CN$32="P","420","0")+IF($CN$32="F","420","0")+IF($CN$32="N","600","0")+IF($CN$32="M1","380","0")+IF($CN$32="P1","380","0")+IF($CN$32="L104","0","0")+IF($CN$32="MAL","0","0")+IF($CN$32="RC","0","0")+IF($CO$32="M","420","0")+IF($CO$32="P","420","0")+IF($CO$32="F","420","0")+IF($CO$32="N","600","0")+IF($CO$32="M1","380","0")+IF($CO$32="P1","380","0")+IF($CO$32="L104","0","0")+IF($CO$32="MAL","0","0")+IF($CO$32="RC","0","0")+IF($CP$32="M","420","0")+IF($CP$32="P","420","0")+IF($CP$32="F","420","0")+IF($CP$32="N","600","0")+IF($CP$32="M1","380","0")+IF($CP$32="P1","380","0")+IF($CP$32="L104","0","0")+IF($CP$32="MAL","0","0")+IF($CP$32="RC","0","0")+IF($CQ$32="M","420","0")+IF($CQ$32="P","420","0")+IF($CQ$32="F","420","0")+IF($CQ$32="N","600","0")+IF($CQ$32="M1","380","0")+IF($CQ$32="P1","380","0")+IF($CQ$32="L104","0","0")+IF($CQ$32="MAL","0","0")+IF($CQ$32="RC","0","0")+IF($CR$32="M","420","0")+IF($CR$32="P","420","0")+IF($CR$32="F","420","0")+IF($CR$32="N","600","0")+IF($CR$32="M1","380","0")+IF($CR$32="P1","380","0")+IF($CR$32="L104","0","0")+IF($CR$32="MAL","0","0")+IF($CR$32="RC","0","0"))</f>
        <v>42:00</v>
      </c>
      <c r="CU32" t="str">
        <f>min_hour( hour_min($CT$32)+-2280 + hour_min($CJ$32))</f>
        <v>10:00</v>
      </c>
      <c r="CV32" s="16"/>
      <c r="CW32" t="s">
        <v>73</v>
      </c>
      <c r="CX32" t="s">
        <v>75</v>
      </c>
      <c r="CY32" t="s">
        <v>75</v>
      </c>
      <c r="CZ32" t="s">
        <v>74</v>
      </c>
      <c r="DA32" t="s">
        <v>75</v>
      </c>
      <c r="DB32" t="s">
        <v>73</v>
      </c>
      <c r="DC32" t="s">
        <v>74</v>
      </c>
      <c r="DD32" t="s">
        <v>1322</v>
      </c>
      <c r="DE32" t="str">
        <f>min_hour(+IF($CW$32="M","420","0")+IF($CW$32="P","420","0")+IF($CW$32="F","420","0")+IF($CW$32="N","600","0")+IF($CW$32="M1","380","0")+IF($CW$32="P1","380","0")+IF($CW$32="L104","0","0")+IF($CW$32="MAL","0","0")+IF($CW$32="RC","0","0")+IF($CX$32="M","420","0")+IF($CX$32="P","420","0")+IF($CX$32="F","420","0")+IF($CX$32="N","600","0")+IF($CX$32="M1","380","0")+IF($CX$32="P1","380","0")+IF($CX$32="L104","0","0")+IF($CX$32="MAL","0","0")+IF($CX$32="RC","0","0")+IF($CY$32="M","420","0")+IF($CY$32="P","420","0")+IF($CY$32="F","420","0")+IF($CY$32="N","600","0")+IF($CY$32="M1","380","0")+IF($CY$32="P1","380","0")+IF($CY$32="L104","0","0")+IF($CY$32="MAL","0","0")+IF($CY$32="RC","0","0")+IF($CZ$32="M","420","0")+IF($CZ$32="P","420","0")+IF($CZ$32="F","420","0")+IF($CZ$32="N","600","0")+IF($CZ$32="M1","380","0")+IF($CZ$32="P1","380","0")+IF($CZ$32="L104","0","0")+IF($CZ$32="MAL","0","0")+IF($CZ$32="RC","0","0")+IF($DA$32="M","420","0")+IF($DA$32="P","420","0")+IF($DA$32="F","420","0")+IF($DA$32="N","600","0")+IF($DA$32="M1","380","0")+IF($DA$32="P1","380","0")+IF($DA$32="L104","0","0")+IF($DA$32="MAL","0","0")+IF($DA$32="RC","0","0")+IF($DB$32="M","420","0")+IF($DB$32="P","420","0")+IF($DB$32="F","420","0")+IF($DB$32="N","600","0")+IF($DB$32="M1","380","0")+IF($DB$32="P1","380","0")+IF($DB$32="L104","0","0")+IF($DB$32="MAL","0","0")+IF($DB$32="RC","0","0")+IF($DC$32="M","420","0")+IF($DC$32="P","420","0")+IF($DC$32="F","420","0")+IF($DC$32="N","600","0")+IF($DC$32="M1","380","0")+IF($DC$32="P1","380","0")+IF($DC$32="L104","0","0")+IF($DC$32="MAL","0","0")+IF($DC$32="RC","0","0"))</f>
        <v>35:00</v>
      </c>
      <c r="DF32" t="str">
        <f>min_hour( hour_min($DE$32)+-2280 + hour_min($CU$32))</f>
        <v>07:00</v>
      </c>
    </row>
    <row r="33" spans="1:110">
      <c r="A33" t="s">
        <v>111</v>
      </c>
      <c r="B33" t="s">
        <v>37</v>
      </c>
      <c r="C33" t="s">
        <v>38</v>
      </c>
      <c r="I33" s="16"/>
      <c r="J33" t="s">
        <v>1271</v>
      </c>
      <c r="K33">
        <v>1</v>
      </c>
      <c r="L33" s="10">
        <v>41212</v>
      </c>
      <c r="M33">
        <v>44</v>
      </c>
      <c r="N33">
        <v>2016</v>
      </c>
      <c r="O33" t="s">
        <v>73</v>
      </c>
      <c r="P33" t="s">
        <v>75</v>
      </c>
      <c r="Q33" t="s">
        <v>74</v>
      </c>
      <c r="R33" t="s">
        <v>75</v>
      </c>
      <c r="S33" t="s">
        <v>76</v>
      </c>
      <c r="T33" t="s">
        <v>77</v>
      </c>
      <c r="U33" t="s">
        <v>73</v>
      </c>
      <c r="V33" t="str">
        <f>min_hour(-600)</f>
        <v>-10:00</v>
      </c>
      <c r="W33" s="16"/>
      <c r="X33" t="s">
        <v>74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1278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hour_min($AF$33)+-600-2280 )</f>
        <v>-06:00</v>
      </c>
      <c r="AH33" s="16"/>
      <c r="AI33" t="s">
        <v>74</v>
      </c>
      <c r="AJ33" t="s">
        <v>75</v>
      </c>
      <c r="AK33" t="s">
        <v>92</v>
      </c>
      <c r="AL33" t="s">
        <v>92</v>
      </c>
      <c r="AM33" t="s">
        <v>73</v>
      </c>
      <c r="AN33" t="s">
        <v>92</v>
      </c>
      <c r="AO33" t="s">
        <v>92</v>
      </c>
      <c r="AP33" t="s">
        <v>1279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-02:00</v>
      </c>
      <c r="AS33" s="16"/>
      <c r="AT33" t="s">
        <v>92</v>
      </c>
      <c r="AU33" t="s">
        <v>92</v>
      </c>
      <c r="AV33" t="s">
        <v>92</v>
      </c>
      <c r="AW33" t="s">
        <v>73</v>
      </c>
      <c r="AX33" t="s">
        <v>74</v>
      </c>
      <c r="AY33" t="s">
        <v>74</v>
      </c>
      <c r="AZ33" t="s">
        <v>75</v>
      </c>
      <c r="BA33" t="s">
        <v>1280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42:00</v>
      </c>
      <c r="BC33" t="str">
        <f>min_hour( hour_min($BB$33)+-2280 + hour_min($AR$33))</f>
        <v>02:00</v>
      </c>
      <c r="BD33" s="16"/>
      <c r="BE33" t="s">
        <v>76</v>
      </c>
      <c r="BF33" t="s">
        <v>77</v>
      </c>
      <c r="BG33" t="s">
        <v>73</v>
      </c>
      <c r="BH33" t="s">
        <v>74</v>
      </c>
      <c r="BI33" t="s">
        <v>75</v>
      </c>
      <c r="BJ33" t="s">
        <v>75</v>
      </c>
      <c r="BK33" t="s">
        <v>76</v>
      </c>
      <c r="BL33" t="s">
        <v>1281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41:00</v>
      </c>
      <c r="BN33" t="str">
        <f>min_hour( hour_min($BM$33)+-2280 + hour_min($BC$33))</f>
        <v>05:00</v>
      </c>
      <c r="BO33" s="16"/>
      <c r="BP33" t="s">
        <v>77</v>
      </c>
      <c r="BQ33" t="s">
        <v>73</v>
      </c>
      <c r="BR33" t="s">
        <v>74</v>
      </c>
      <c r="BS33" t="s">
        <v>73</v>
      </c>
      <c r="BT33" t="s">
        <v>75</v>
      </c>
      <c r="BU33" t="s">
        <v>75</v>
      </c>
      <c r="BV33" t="s">
        <v>74</v>
      </c>
      <c r="BW33" t="s">
        <v>1282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28:00</v>
      </c>
      <c r="BY33" t="str">
        <f>min_hour( hour_min($BX$33)+-2280 + hour_min($BN$33))</f>
        <v>-05:00</v>
      </c>
      <c r="BZ33" s="16"/>
      <c r="CA33" t="s">
        <v>73</v>
      </c>
      <c r="CB33" t="s">
        <v>75</v>
      </c>
      <c r="CC33" t="s">
        <v>75</v>
      </c>
      <c r="CD33" t="s">
        <v>74</v>
      </c>
      <c r="CE33" t="s">
        <v>76</v>
      </c>
      <c r="CF33" t="s">
        <v>77</v>
      </c>
      <c r="CG33" t="s">
        <v>73</v>
      </c>
      <c r="CH33" t="s">
        <v>1283</v>
      </c>
      <c r="CI33" t="str">
        <f>min_hour(+IF($CA$33="M","420","0")+IF($CA$33="P","420","0")+IF($CA$33="F","420","0")+IF($CA$33="N","600","0")+IF($CA$33="M1","380","0")+IF($CA$33="P1","380","0")+IF($CA$33="L104","0","0")+IF($CA$33="MAL","0","0")+IF($CA$33="RC","0","0")+IF($CB$33="M","420","0")+IF($CB$33="P","420","0")+IF($CB$33="F","420","0")+IF($CB$33="N","600","0")+IF($CB$33="M1","380","0")+IF($CB$33="P1","380","0")+IF($CB$33="L104","0","0")+IF($CB$33="MAL","0","0")+IF($CB$33="RC","0","0")+IF($CC$33="M","420","0")+IF($CC$33="P","420","0")+IF($CC$33="F","420","0")+IF($CC$33="N","600","0")+IF($CC$33="M1","380","0")+IF($CC$33="P1","380","0")+IF($CC$33="L104","0","0")+IF($CC$33="MAL","0","0")+IF($CC$33="RC","0","0")+IF($CD$33="M","420","0")+IF($CD$33="P","420","0")+IF($CD$33="F","420","0")+IF($CD$33="N","600","0")+IF($CD$33="M1","380","0")+IF($CD$33="P1","380","0")+IF($CD$33="L104","0","0")+IF($CD$33="MAL","0","0")+IF($CD$33="RC","0","0")+IF($CE$33="M","420","0")+IF($CE$33="P","420","0")+IF($CE$33="F","420","0")+IF($CE$33="N","600","0")+IF($CE$33="M1","380","0")+IF($CE$33="P1","380","0")+IF($CE$33="L104","0","0")+IF($CE$33="MAL","0","0")+IF($CE$33="RC","0","0")+IF($CF$33="M","420","0")+IF($CF$33="P","420","0")+IF($CF$33="F","420","0")+IF($CF$33="N","600","0")+IF($CF$33="M1","380","0")+IF($CF$33="P1","380","0")+IF($CF$33="L104","0","0")+IF($CF$33="MAL","0","0")+IF($CF$33="RC","0","0")+IF($CG$33="M","420","0")+IF($CG$33="P","420","0")+IF($CG$33="F","420","0")+IF($CG$33="N","600","0")+IF($CG$33="M1","380","0")+IF($CG$33="P1","380","0")+IF($CG$33="L104","0","0")+IF($CG$33="MAL","0","0")+IF($CG$33="RC","0","0"))</f>
        <v>31:00</v>
      </c>
      <c r="CJ33" t="str">
        <f>min_hour( hour_min($CI$33)+-2280 + hour_min($BY$33))</f>
        <v>-12:00</v>
      </c>
      <c r="CK33" s="16"/>
      <c r="CL33" t="s">
        <v>75</v>
      </c>
      <c r="CM33" t="s">
        <v>75</v>
      </c>
      <c r="CN33" t="s">
        <v>75</v>
      </c>
      <c r="CO33" t="s">
        <v>76</v>
      </c>
      <c r="CP33" t="s">
        <v>77</v>
      </c>
      <c r="CQ33" t="s">
        <v>73</v>
      </c>
      <c r="CR33" t="s">
        <v>73</v>
      </c>
      <c r="CS33" t="s">
        <v>1284</v>
      </c>
      <c r="CT33" t="str">
        <f>min_hour(+IF($CL$33="M","420","0")+IF($CL$33="P","420","0")+IF($CL$33="F","420","0")+IF($CL$33="N","600","0")+IF($CL$33="M1","380","0")+IF($CL$33="P1","380","0")+IF($CL$33="L104","0","0")+IF($CL$33="MAL","0","0")+IF($CL$33="RC","0","0")+IF($CM$33="M","420","0")+IF($CM$33="P","420","0")+IF($CM$33="F","420","0")+IF($CM$33="N","600","0")+IF($CM$33="M1","380","0")+IF($CM$33="P1","380","0")+IF($CM$33="L104","0","0")+IF($CM$33="MAL","0","0")+IF($CM$33="RC","0","0")+IF($CN$33="M","420","0")+IF($CN$33="P","420","0")+IF($CN$33="F","420","0")+IF($CN$33="N","600","0")+IF($CN$33="M1","380","0")+IF($CN$33="P1","380","0")+IF($CN$33="L104","0","0")+IF($CN$33="MAL","0","0")+IF($CN$33="RC","0","0")+IF($CO$33="M","420","0")+IF($CO$33="P","420","0")+IF($CO$33="F","420","0")+IF($CO$33="N","600","0")+IF($CO$33="M1","380","0")+IF($CO$33="P1","380","0")+IF($CO$33="L104","0","0")+IF($CO$33="MAL","0","0")+IF($CO$33="RC","0","0")+IF($CP$33="M","420","0")+IF($CP$33="P","420","0")+IF($CP$33="F","420","0")+IF($CP$33="N","600","0")+IF($CP$33="M1","380","0")+IF($CP$33="P1","380","0")+IF($CP$33="L104","0","0")+IF($CP$33="MAL","0","0")+IF($CP$33="RC","0","0")+IF($CQ$33="M","420","0")+IF($CQ$33="P","420","0")+IF($CQ$33="F","420","0")+IF($CQ$33="N","600","0")+IF($CQ$33="M1","380","0")+IF($CQ$33="P1","380","0")+IF($CQ$33="L104","0","0")+IF($CQ$33="MAL","0","0")+IF($CQ$33="RC","0","0")+IF($CR$33="M","420","0")+IF($CR$33="P","420","0")+IF($CR$33="F","420","0")+IF($CR$33="N","600","0")+IF($CR$33="M1","380","0")+IF($CR$33="P1","380","0")+IF($CR$33="L104","0","0")+IF($CR$33="MAL","0","0")+IF($CR$33="RC","0","0"))</f>
        <v>31:00</v>
      </c>
      <c r="CU33" t="str">
        <f>min_hour( hour_min($CT$33)+-2280 + hour_min($CJ$33))</f>
        <v>-19:00</v>
      </c>
      <c r="CV33" s="16"/>
      <c r="CW33" t="s">
        <v>75</v>
      </c>
      <c r="CX33" t="s">
        <v>75</v>
      </c>
      <c r="CY33" t="s">
        <v>76</v>
      </c>
      <c r="CZ33" t="s">
        <v>77</v>
      </c>
      <c r="DA33" t="s">
        <v>73</v>
      </c>
      <c r="DB33" t="s">
        <v>74</v>
      </c>
      <c r="DC33" t="s">
        <v>74</v>
      </c>
      <c r="DD33" t="s">
        <v>1285</v>
      </c>
      <c r="DE33" t="str">
        <f>min_hour(+IF($CW$33="M","420","0")+IF($CW$33="P","420","0")+IF($CW$33="F","420","0")+IF($CW$33="N","600","0")+IF($CW$33="M1","380","0")+IF($CW$33="P1","380","0")+IF($CW$33="L104","0","0")+IF($CW$33="MAL","0","0")+IF($CW$33="RC","0","0")+IF($CX$33="M","420","0")+IF($CX$33="P","420","0")+IF($CX$33="F","420","0")+IF($CX$33="N","600","0")+IF($CX$33="M1","380","0")+IF($CX$33="P1","380","0")+IF($CX$33="L104","0","0")+IF($CX$33="MAL","0","0")+IF($CX$33="RC","0","0")+IF($CY$33="M","420","0")+IF($CY$33="P","420","0")+IF($CY$33="F","420","0")+IF($CY$33="N","600","0")+IF($CY$33="M1","380","0")+IF($CY$33="P1","380","0")+IF($CY$33="L104","0","0")+IF($CY$33="MAL","0","0")+IF($CY$33="RC","0","0")+IF($CZ$33="M","420","0")+IF($CZ$33="P","420","0")+IF($CZ$33="F","420","0")+IF($CZ$33="N","600","0")+IF($CZ$33="M1","380","0")+IF($CZ$33="P1","380","0")+IF($CZ$33="L104","0","0")+IF($CZ$33="MAL","0","0")+IF($CZ$33="RC","0","0")+IF($DA$33="M","420","0")+IF($DA$33="P","420","0")+IF($DA$33="F","420","0")+IF($DA$33="N","600","0")+IF($DA$33="M1","380","0")+IF($DA$33="P1","380","0")+IF($DA$33="L104","0","0")+IF($DA$33="MAL","0","0")+IF($DA$33="RC","0","0")+IF($DB$33="M","420","0")+IF($DB$33="P","420","0")+IF($DB$33="F","420","0")+IF($DB$33="N","600","0")+IF($DB$33="M1","380","0")+IF($DB$33="P1","380","0")+IF($DB$33="L104","0","0")+IF($DB$33="MAL","0","0")+IF($DB$33="RC","0","0")+IF($DC$33="M","420","0")+IF($DC$33="P","420","0")+IF($DC$33="F","420","0")+IF($DC$33="N","600","0")+IF($DC$33="M1","380","0")+IF($DC$33="P1","380","0")+IF($DC$33="L104","0","0")+IF($DC$33="MAL","0","0")+IF($DC$33="RC","0","0"))</f>
        <v>38:00</v>
      </c>
      <c r="DF33" t="str">
        <f>min_hour( hour_min($DE$33)+-2280 + hour_min($CU$33))</f>
        <v>-19:00</v>
      </c>
    </row>
    <row r="34" spans="1:110">
      <c r="A34" t="s">
        <v>112</v>
      </c>
      <c r="B34" t="s">
        <v>39</v>
      </c>
      <c r="C34" t="s">
        <v>40</v>
      </c>
      <c r="I34" s="16"/>
      <c r="J34" t="s">
        <v>1272</v>
      </c>
      <c r="K34">
        <v>2</v>
      </c>
      <c r="L34" s="10">
        <v>41212</v>
      </c>
      <c r="M34">
        <v>44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75</v>
      </c>
      <c r="U34" t="s">
        <v>75</v>
      </c>
      <c r="V34" t="str">
        <f>min_hour(300)</f>
        <v>05:00</v>
      </c>
      <c r="W34" s="16"/>
      <c r="X34" t="s">
        <v>74</v>
      </c>
      <c r="Y34" t="s">
        <v>74</v>
      </c>
      <c r="Z34" t="s">
        <v>73</v>
      </c>
      <c r="AA34" t="s">
        <v>75</v>
      </c>
      <c r="AB34" t="s">
        <v>75</v>
      </c>
      <c r="AC34" t="s">
        <v>74</v>
      </c>
      <c r="AD34" t="s">
        <v>75</v>
      </c>
      <c r="AE34" t="s">
        <v>1326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42:00</v>
      </c>
      <c r="AG34" t="str">
        <f>min_hour( hour_min($AF$34)+300-2280 )</f>
        <v>09:00</v>
      </c>
      <c r="AH34" s="16"/>
      <c r="AI34" t="s">
        <v>75</v>
      </c>
      <c r="AJ34" t="s">
        <v>73</v>
      </c>
      <c r="AK34" t="s">
        <v>74</v>
      </c>
      <c r="AL34" t="s">
        <v>75</v>
      </c>
      <c r="AM34" t="s">
        <v>74</v>
      </c>
      <c r="AN34" t="s">
        <v>75</v>
      </c>
      <c r="AO34" t="s">
        <v>75</v>
      </c>
      <c r="AP34" t="s">
        <v>1321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13:00</v>
      </c>
      <c r="AS34" s="16"/>
      <c r="AT34" t="s">
        <v>73</v>
      </c>
      <c r="AU34" t="s">
        <v>134</v>
      </c>
      <c r="AV34" t="s">
        <v>75</v>
      </c>
      <c r="AW34" t="s">
        <v>74</v>
      </c>
      <c r="AX34" t="s">
        <v>75</v>
      </c>
      <c r="AY34" t="s">
        <v>75</v>
      </c>
      <c r="AZ34" t="s">
        <v>73</v>
      </c>
      <c r="BA34" t="s">
        <v>1322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28:00</v>
      </c>
      <c r="BC34" t="str">
        <f>min_hour( hour_min($BB$34)+-2280 + hour_min($AR$34))</f>
        <v>03:00</v>
      </c>
      <c r="BD34" s="16"/>
      <c r="BE34" t="s">
        <v>75</v>
      </c>
      <c r="BF34" t="s">
        <v>134</v>
      </c>
      <c r="BG34" t="s">
        <v>75</v>
      </c>
      <c r="BH34" t="s">
        <v>74</v>
      </c>
      <c r="BI34" t="s">
        <v>75</v>
      </c>
      <c r="BJ34" t="s">
        <v>73</v>
      </c>
      <c r="BK34" t="s">
        <v>75</v>
      </c>
      <c r="BL34" t="s">
        <v>1323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35:00</v>
      </c>
      <c r="BN34" t="str">
        <f>min_hour( hour_min($BM$34)+-2280 + hour_min($BC$34))</f>
        <v>00:00</v>
      </c>
      <c r="BO34" s="16"/>
      <c r="BP34" t="s">
        <v>75</v>
      </c>
      <c r="BQ34" t="s">
        <v>74</v>
      </c>
      <c r="BR34" t="s">
        <v>75</v>
      </c>
      <c r="BS34" t="s">
        <v>75</v>
      </c>
      <c r="BT34" t="s">
        <v>73</v>
      </c>
      <c r="BU34" t="s">
        <v>74</v>
      </c>
      <c r="BV34" t="s">
        <v>74</v>
      </c>
      <c r="BW34" t="s">
        <v>1324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04:00</v>
      </c>
      <c r="BZ34" s="16"/>
      <c r="CA34" t="s">
        <v>74</v>
      </c>
      <c r="CB34" t="s">
        <v>75</v>
      </c>
      <c r="CC34" t="s">
        <v>74</v>
      </c>
      <c r="CD34" t="s">
        <v>73</v>
      </c>
      <c r="CE34" t="s">
        <v>134</v>
      </c>
      <c r="CF34" t="s">
        <v>75</v>
      </c>
      <c r="CG34" t="s">
        <v>74</v>
      </c>
      <c r="CH34" t="s">
        <v>1325</v>
      </c>
      <c r="CI34" t="str">
        <f>min_hour(+IF($CA$34="M","420","0")+IF($CA$34="P","420","0")+IF($CA$34="F","420","0")+IF($CA$34="N","600","0")+IF($CA$34="M1","380","0")+IF($CA$34="P1","380","0")+IF($CA$34="L104","0","0")+IF($CA$34="MAL","0","0")+IF($CA$34="RC","0","0")+IF($CB$34="M","420","0")+IF($CB$34="P","420","0")+IF($CB$34="F","420","0")+IF($CB$34="N","600","0")+IF($CB$34="M1","380","0")+IF($CB$34="P1","380","0")+IF($CB$34="L104","0","0")+IF($CB$34="MAL","0","0")+IF($CB$34="RC","0","0")+IF($CC$34="M","420","0")+IF($CC$34="P","420","0")+IF($CC$34="F","420","0")+IF($CC$34="N","600","0")+IF($CC$34="M1","380","0")+IF($CC$34="P1","380","0")+IF($CC$34="L104","0","0")+IF($CC$34="MAL","0","0")+IF($CC$34="RC","0","0")+IF($CD$34="M","420","0")+IF($CD$34="P","420","0")+IF($CD$34="F","420","0")+IF($CD$34="N","600","0")+IF($CD$34="M1","380","0")+IF($CD$34="P1","380","0")+IF($CD$34="L104","0","0")+IF($CD$34="MAL","0","0")+IF($CD$34="RC","0","0")+IF($CE$34="M","420","0")+IF($CE$34="P","420","0")+IF($CE$34="F","420","0")+IF($CE$34="N","600","0")+IF($CE$34="M1","380","0")+IF($CE$34="P1","380","0")+IF($CE$34="L104","0","0")+IF($CE$34="MAL","0","0")+IF($CE$34="RC","0","0")+IF($CF$34="M","420","0")+IF($CF$34="P","420","0")+IF($CF$34="F","420","0")+IF($CF$34="N","600","0")+IF($CF$34="M1","380","0")+IF($CF$34="P1","380","0")+IF($CF$34="L104","0","0")+IF($CF$34="MAL","0","0")+IF($CF$34="RC","0","0")+IF($CG$34="M","420","0")+IF($CG$34="P","420","0")+IF($CG$34="F","420","0")+IF($CG$34="N","600","0")+IF($CG$34="M1","380","0")+IF($CG$34="P1","380","0")+IF($CG$34="L104","0","0")+IF($CG$34="MAL","0","0")+IF($CG$34="RC","0","0"))</f>
        <v>35:00</v>
      </c>
      <c r="CJ34" t="str">
        <f>min_hour( hour_min($CI$34)+-2280 + hour_min($BY$34))</f>
        <v>01:00</v>
      </c>
      <c r="CK34" s="16"/>
      <c r="CL34" t="s">
        <v>74</v>
      </c>
      <c r="CM34" t="s">
        <v>74</v>
      </c>
      <c r="CN34" t="s">
        <v>73</v>
      </c>
      <c r="CO34" t="s">
        <v>92</v>
      </c>
      <c r="CP34" t="s">
        <v>92</v>
      </c>
      <c r="CQ34" t="s">
        <v>92</v>
      </c>
      <c r="CR34" t="s">
        <v>73</v>
      </c>
      <c r="CS34" t="s">
        <v>1326</v>
      </c>
      <c r="CT34" t="str">
        <f>min_hour(+IF($CL$34="M","420","0")+IF($CL$34="P","420","0")+IF($CL$34="F","420","0")+IF($CL$34="N","600","0")+IF($CL$34="M1","380","0")+IF($CL$34="P1","380","0")+IF($CL$34="L104","0","0")+IF($CL$34="MAL","0","0")+IF($CL$34="RC","0","0")+IF($CM$34="M","420","0")+IF($CM$34="P","420","0")+IF($CM$34="F","420","0")+IF($CM$34="N","600","0")+IF($CM$34="M1","380","0")+IF($CM$34="P1","380","0")+IF($CM$34="L104","0","0")+IF($CM$34="MAL","0","0")+IF($CM$34="RC","0","0")+IF($CN$34="M","420","0")+IF($CN$34="P","420","0")+IF($CN$34="F","420","0")+IF($CN$34="N","600","0")+IF($CN$34="M1","380","0")+IF($CN$34="P1","380","0")+IF($CN$34="L104","0","0")+IF($CN$34="MAL","0","0")+IF($CN$34="RC","0","0")+IF($CO$34="M","420","0")+IF($CO$34="P","420","0")+IF($CO$34="F","420","0")+IF($CO$34="N","600","0")+IF($CO$34="M1","380","0")+IF($CO$34="P1","380","0")+IF($CO$34="L104","0","0")+IF($CO$34="MAL","0","0")+IF($CO$34="RC","0","0")+IF($CP$34="M","420","0")+IF($CP$34="P","420","0")+IF($CP$34="F","420","0")+IF($CP$34="N","600","0")+IF($CP$34="M1","380","0")+IF($CP$34="P1","380","0")+IF($CP$34="L104","0","0")+IF($CP$34="MAL","0","0")+IF($CP$34="RC","0","0")+IF($CQ$34="M","420","0")+IF($CQ$34="P","420","0")+IF($CQ$34="F","420","0")+IF($CQ$34="N","600","0")+IF($CQ$34="M1","380","0")+IF($CQ$34="P1","380","0")+IF($CQ$34="L104","0","0")+IF($CQ$34="MAL","0","0")+IF($CQ$34="RC","0","0")+IF($CR$34="M","420","0")+IF($CR$34="P","420","0")+IF($CR$34="F","420","0")+IF($CR$34="N","600","0")+IF($CR$34="M1","380","0")+IF($CR$34="P1","380","0")+IF($CR$34="L104","0","0")+IF($CR$34="MAL","0","0")+IF($CR$34="RC","0","0"))</f>
        <v>35:00</v>
      </c>
      <c r="CU34" t="str">
        <f>min_hour( hour_min($CT$34)+-2280 + hour_min($CJ$34))</f>
        <v>-02:00</v>
      </c>
      <c r="CV34" s="16"/>
      <c r="CW34" t="s">
        <v>73</v>
      </c>
      <c r="CX34" t="s">
        <v>73</v>
      </c>
      <c r="CY34" t="s">
        <v>134</v>
      </c>
      <c r="CZ34" t="s">
        <v>92</v>
      </c>
      <c r="DA34" t="s">
        <v>74</v>
      </c>
      <c r="DB34" t="s">
        <v>75</v>
      </c>
      <c r="DC34" t="s">
        <v>75</v>
      </c>
      <c r="DD34" t="s">
        <v>1321</v>
      </c>
      <c r="DE34" t="str">
        <f>min_hour(+IF($CW$34="M","420","0")+IF($CW$34="P","420","0")+IF($CW$34="F","420","0")+IF($CW$34="N","600","0")+IF($CW$34="M1","380","0")+IF($CW$34="P1","380","0")+IF($CW$34="L104","0","0")+IF($CW$34="MAL","0","0")+IF($CW$34="RC","0","0")+IF($CX$34="M","420","0")+IF($CX$34="P","420","0")+IF($CX$34="F","420","0")+IF($CX$34="N","600","0")+IF($CX$34="M1","380","0")+IF($CX$34="P1","380","0")+IF($CX$34="L104","0","0")+IF($CX$34="MAL","0","0")+IF($CX$34="RC","0","0")+IF($CY$34="M","420","0")+IF($CY$34="P","420","0")+IF($CY$34="F","420","0")+IF($CY$34="N","600","0")+IF($CY$34="M1","380","0")+IF($CY$34="P1","380","0")+IF($CY$34="L104","0","0")+IF($CY$34="MAL","0","0")+IF($CY$34="RC","0","0")+IF($CZ$34="M","420","0")+IF($CZ$34="P","420","0")+IF($CZ$34="F","420","0")+IF($CZ$34="N","600","0")+IF($CZ$34="M1","380","0")+IF($CZ$34="P1","380","0")+IF($CZ$34="L104","0","0")+IF($CZ$34="MAL","0","0")+IF($CZ$34="RC","0","0")+IF($DA$34="M","420","0")+IF($DA$34="P","420","0")+IF($DA$34="F","420","0")+IF($DA$34="N","600","0")+IF($DA$34="M1","380","0")+IF($DA$34="P1","380","0")+IF($DA$34="L104","0","0")+IF($DA$34="MAL","0","0")+IF($DA$34="RC","0","0")+IF($DB$34="M","420","0")+IF($DB$34="P","420","0")+IF($DB$34="F","420","0")+IF($DB$34="N","600","0")+IF($DB$34="M1","380","0")+IF($DB$34="P1","380","0")+IF($DB$34="L104","0","0")+IF($DB$34="MAL","0","0")+IF($DB$34="RC","0","0")+IF($DC$34="M","420","0")+IF($DC$34="P","420","0")+IF($DC$34="F","420","0")+IF($DC$34="N","600","0")+IF($DC$34="M1","380","0")+IF($DC$34="P1","380","0")+IF($DC$34="L104","0","0")+IF($DC$34="MAL","0","0")+IF($DC$34="RC","0","0"))</f>
        <v>28:00</v>
      </c>
      <c r="DF34" t="str">
        <f>min_hour( hour_min($DE$34)+-2280 + hour_min($CU$34))</f>
        <v>-12:00</v>
      </c>
    </row>
    <row r="35" spans="1:110">
      <c r="A35" t="s">
        <v>113</v>
      </c>
      <c r="B35" t="s">
        <v>41</v>
      </c>
      <c r="C35" t="s">
        <v>42</v>
      </c>
      <c r="I35" s="16"/>
      <c r="J35" t="s">
        <v>1271</v>
      </c>
      <c r="K35">
        <v>5</v>
      </c>
      <c r="L35" s="10">
        <v>41212</v>
      </c>
      <c r="M35">
        <v>44</v>
      </c>
      <c r="N35">
        <v>2016</v>
      </c>
      <c r="O35" t="s">
        <v>76</v>
      </c>
      <c r="P35" t="s">
        <v>77</v>
      </c>
      <c r="Q35" t="s">
        <v>73</v>
      </c>
      <c r="R35" t="s">
        <v>74</v>
      </c>
      <c r="S35" t="s">
        <v>74</v>
      </c>
      <c r="T35" t="s">
        <v>75</v>
      </c>
      <c r="U35" t="s">
        <v>76</v>
      </c>
      <c r="V35" t="str">
        <f>min_hour(480)</f>
        <v>08:00</v>
      </c>
      <c r="W35" s="16"/>
      <c r="X35" t="s">
        <v>77</v>
      </c>
      <c r="Y35" t="s">
        <v>73</v>
      </c>
      <c r="Z35" t="s">
        <v>74</v>
      </c>
      <c r="AA35" t="s">
        <v>74</v>
      </c>
      <c r="AB35" t="s">
        <v>75</v>
      </c>
      <c r="AC35" t="s">
        <v>75</v>
      </c>
      <c r="AD35" t="s">
        <v>74</v>
      </c>
      <c r="AE35" t="s">
        <v>1282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hour_min($AF$35)+480-2280 )</f>
        <v>05:00</v>
      </c>
      <c r="AH35" s="16"/>
      <c r="AI35" t="s">
        <v>73</v>
      </c>
      <c r="AJ35" t="s">
        <v>75</v>
      </c>
      <c r="AK35" t="s">
        <v>75</v>
      </c>
      <c r="AL35" t="s">
        <v>74</v>
      </c>
      <c r="AM35" t="s">
        <v>74</v>
      </c>
      <c r="AN35" t="s">
        <v>75</v>
      </c>
      <c r="AO35" t="s">
        <v>73</v>
      </c>
      <c r="AP35" t="s">
        <v>1283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35:00</v>
      </c>
      <c r="AR35" t="str">
        <f>min_hour( hour_min($AQ$35)+-2280 + hour_min($AG$35))</f>
        <v>02:00</v>
      </c>
      <c r="AS35" s="16"/>
      <c r="AT35" t="s">
        <v>75</v>
      </c>
      <c r="AU35" t="s">
        <v>75</v>
      </c>
      <c r="AV35" t="s">
        <v>75</v>
      </c>
      <c r="AW35" t="s">
        <v>76</v>
      </c>
      <c r="AX35" t="s">
        <v>77</v>
      </c>
      <c r="AY35" t="s">
        <v>73</v>
      </c>
      <c r="AZ35" t="s">
        <v>74</v>
      </c>
      <c r="BA35" t="s">
        <v>1284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02:00</v>
      </c>
      <c r="BD35" s="16"/>
      <c r="BE35" t="s">
        <v>75</v>
      </c>
      <c r="BF35" t="s">
        <v>74</v>
      </c>
      <c r="BG35" t="s">
        <v>74</v>
      </c>
      <c r="BH35" t="s">
        <v>134</v>
      </c>
      <c r="BI35" t="s">
        <v>73</v>
      </c>
      <c r="BJ35" t="s">
        <v>74</v>
      </c>
      <c r="BK35" t="s">
        <v>74</v>
      </c>
      <c r="BL35" t="s">
        <v>1285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35:00</v>
      </c>
      <c r="BN35" t="str">
        <f>min_hour( hour_min($BM$35)+-2280 + hour_min($BC$35))</f>
        <v>-01:00</v>
      </c>
      <c r="BO35" s="16"/>
      <c r="BP35" t="s">
        <v>75</v>
      </c>
      <c r="BQ35" t="s">
        <v>76</v>
      </c>
      <c r="BR35" t="s">
        <v>77</v>
      </c>
      <c r="BS35" t="s">
        <v>73</v>
      </c>
      <c r="BT35" t="s">
        <v>74</v>
      </c>
      <c r="BU35" t="s">
        <v>75</v>
      </c>
      <c r="BV35" t="s">
        <v>75</v>
      </c>
      <c r="BW35" t="s">
        <v>1286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38:00</v>
      </c>
      <c r="BY35" t="str">
        <f>min_hour( hour_min($BX$35)+-2280 + hour_min($BN$35))</f>
        <v>-01:00</v>
      </c>
      <c r="BZ35" s="16"/>
      <c r="CA35" t="s">
        <v>75</v>
      </c>
      <c r="CB35" t="s">
        <v>73</v>
      </c>
      <c r="CC35" t="s">
        <v>75</v>
      </c>
      <c r="CD35" t="s">
        <v>75</v>
      </c>
      <c r="CE35" t="s">
        <v>75</v>
      </c>
      <c r="CF35" t="s">
        <v>76</v>
      </c>
      <c r="CG35" t="s">
        <v>77</v>
      </c>
      <c r="CH35" t="s">
        <v>1287</v>
      </c>
      <c r="CI35" t="str">
        <f>min_hour(+IF($CA$35="M","420","0")+IF($CA$35="P","420","0")+IF($CA$35="F","420","0")+IF($CA$35="N","600","0")+IF($CA$35="M1","380","0")+IF($CA$35="P1","380","0")+IF($CA$35="L104","0","0")+IF($CA$35="MAL","0","0")+IF($CA$35="RC","0","0")+IF($CB$35="M","420","0")+IF($CB$35="P","420","0")+IF($CB$35="F","420","0")+IF($CB$35="N","600","0")+IF($CB$35="M1","380","0")+IF($CB$35="P1","380","0")+IF($CB$35="L104","0","0")+IF($CB$35="MAL","0","0")+IF($CB$35="RC","0","0")+IF($CC$35="M","420","0")+IF($CC$35="P","420","0")+IF($CC$35="F","420","0")+IF($CC$35="N","600","0")+IF($CC$35="M1","380","0")+IF($CC$35="P1","380","0")+IF($CC$35="L104","0","0")+IF($CC$35="MAL","0","0")+IF($CC$35="RC","0","0")+IF($CD$35="M","420","0")+IF($CD$35="P","420","0")+IF($CD$35="F","420","0")+IF($CD$35="N","600","0")+IF($CD$35="M1","380","0")+IF($CD$35="P1","380","0")+IF($CD$35="L104","0","0")+IF($CD$35="MAL","0","0")+IF($CD$35="RC","0","0")+IF($CE$35="M","420","0")+IF($CE$35="P","420","0")+IF($CE$35="F","420","0")+IF($CE$35="N","600","0")+IF($CE$35="M1","380","0")+IF($CE$35="P1","380","0")+IF($CE$35="L104","0","0")+IF($CE$35="MAL","0","0")+IF($CE$35="RC","0","0")+IF($CF$35="M","420","0")+IF($CF$35="P","420","0")+IF($CF$35="F","420","0")+IF($CF$35="N","600","0")+IF($CF$35="M1","380","0")+IF($CF$35="P1","380","0")+IF($CF$35="L104","0","0")+IF($CF$35="MAL","0","0")+IF($CF$35="RC","0","0")+IF($CG$35="M","420","0")+IF($CG$35="P","420","0")+IF($CG$35="F","420","0")+IF($CG$35="N","600","0")+IF($CG$35="M1","380","0")+IF($CG$35="P1","380","0")+IF($CG$35="L104","0","0")+IF($CG$35="MAL","0","0")+IF($CG$35="RC","0","0"))</f>
        <v>38:00</v>
      </c>
      <c r="CJ35" t="str">
        <f>min_hour( hour_min($CI$35)+-2280 + hour_min($BY$35))</f>
        <v>-01:00</v>
      </c>
      <c r="CK35" s="16"/>
      <c r="CL35" t="s">
        <v>73</v>
      </c>
      <c r="CM35" t="s">
        <v>74</v>
      </c>
      <c r="CN35" t="s">
        <v>75</v>
      </c>
      <c r="CO35" t="s">
        <v>75</v>
      </c>
      <c r="CP35" t="s">
        <v>76</v>
      </c>
      <c r="CQ35" t="s">
        <v>77</v>
      </c>
      <c r="CR35" t="s">
        <v>73</v>
      </c>
      <c r="CS35" t="s">
        <v>1288</v>
      </c>
      <c r="CT35" t="str">
        <f>min_hour(+IF($CL$35="M","420","0")+IF($CL$35="P","420","0")+IF($CL$35="F","420","0")+IF($CL$35="N","600","0")+IF($CL$35="M1","380","0")+IF($CL$35="P1","380","0")+IF($CL$35="L104","0","0")+IF($CL$35="MAL","0","0")+IF($CL$35="RC","0","0")+IF($CM$35="M","420","0")+IF($CM$35="P","420","0")+IF($CM$35="F","420","0")+IF($CM$35="N","600","0")+IF($CM$35="M1","380","0")+IF($CM$35="P1","380","0")+IF($CM$35="L104","0","0")+IF($CM$35="MAL","0","0")+IF($CM$35="RC","0","0")+IF($CN$35="M","420","0")+IF($CN$35="P","420","0")+IF($CN$35="F","420","0")+IF($CN$35="N","600","0")+IF($CN$35="M1","380","0")+IF($CN$35="P1","380","0")+IF($CN$35="L104","0","0")+IF($CN$35="MAL","0","0")+IF($CN$35="RC","0","0")+IF($CO$35="M","420","0")+IF($CO$35="P","420","0")+IF($CO$35="F","420","0")+IF($CO$35="N","600","0")+IF($CO$35="M1","380","0")+IF($CO$35="P1","380","0")+IF($CO$35="L104","0","0")+IF($CO$35="MAL","0","0")+IF($CO$35="RC","0","0")+IF($CP$35="M","420","0")+IF($CP$35="P","420","0")+IF($CP$35="F","420","0")+IF($CP$35="N","600","0")+IF($CP$35="M1","380","0")+IF($CP$35="P1","380","0")+IF($CP$35="L104","0","0")+IF($CP$35="MAL","0","0")+IF($CP$35="RC","0","0")+IF($CQ$35="M","420","0")+IF($CQ$35="P","420","0")+IF($CQ$35="F","420","0")+IF($CQ$35="N","600","0")+IF($CQ$35="M1","380","0")+IF($CQ$35="P1","380","0")+IF($CQ$35="L104","0","0")+IF($CQ$35="MAL","0","0")+IF($CQ$35="RC","0","0")+IF($CR$35="M","420","0")+IF($CR$35="P","420","0")+IF($CR$35="F","420","0")+IF($CR$35="N","600","0")+IF($CR$35="M1","380","0")+IF($CR$35="P1","380","0")+IF($CR$35="L104","0","0")+IF($CR$35="MAL","0","0")+IF($CR$35="RC","0","0"))</f>
        <v>31:00</v>
      </c>
      <c r="CU35" t="str">
        <f>min_hour( hour_min($CT$35)+-2280 + hour_min($CJ$35))</f>
        <v>-08:00</v>
      </c>
      <c r="CV35" s="16"/>
      <c r="CW35" t="s">
        <v>74</v>
      </c>
      <c r="CX35" t="s">
        <v>75</v>
      </c>
      <c r="CY35" t="s">
        <v>75</v>
      </c>
      <c r="CZ35" t="s">
        <v>75</v>
      </c>
      <c r="DA35" t="s">
        <v>75</v>
      </c>
      <c r="DB35" t="s">
        <v>73</v>
      </c>
      <c r="DC35" t="s">
        <v>75</v>
      </c>
      <c r="DD35" t="s">
        <v>1278</v>
      </c>
      <c r="DE35" t="str">
        <f>min_hour(+IF($CW$35="M","420","0")+IF($CW$35="P","420","0")+IF($CW$35="F","420","0")+IF($CW$35="N","600","0")+IF($CW$35="M1","380","0")+IF($CW$35="P1","380","0")+IF($CW$35="L104","0","0")+IF($CW$35="MAL","0","0")+IF($CW$35="RC","0","0")+IF($CX$35="M","420","0")+IF($CX$35="P","420","0")+IF($CX$35="F","420","0")+IF($CX$35="N","600","0")+IF($CX$35="M1","380","0")+IF($CX$35="P1","380","0")+IF($CX$35="L104","0","0")+IF($CX$35="MAL","0","0")+IF($CX$35="RC","0","0")+IF($CY$35="M","420","0")+IF($CY$35="P","420","0")+IF($CY$35="F","420","0")+IF($CY$35="N","600","0")+IF($CY$35="M1","380","0")+IF($CY$35="P1","380","0")+IF($CY$35="L104","0","0")+IF($CY$35="MAL","0","0")+IF($CY$35="RC","0","0")+IF($CZ$35="M","420","0")+IF($CZ$35="P","420","0")+IF($CZ$35="F","420","0")+IF($CZ$35="N","600","0")+IF($CZ$35="M1","380","0")+IF($CZ$35="P1","380","0")+IF($CZ$35="L104","0","0")+IF($CZ$35="MAL","0","0")+IF($CZ$35="RC","0","0")+IF($DA$35="M","420","0")+IF($DA$35="P","420","0")+IF($DA$35="F","420","0")+IF($DA$35="N","600","0")+IF($DA$35="M1","380","0")+IF($DA$35="P1","380","0")+IF($DA$35="L104","0","0")+IF($DA$35="MAL","0","0")+IF($DA$35="RC","0","0")+IF($DB$35="M","420","0")+IF($DB$35="P","420","0")+IF($DB$35="F","420","0")+IF($DB$35="N","600","0")+IF($DB$35="M1","380","0")+IF($DB$35="P1","380","0")+IF($DB$35="L104","0","0")+IF($DB$35="MAL","0","0")+IF($DB$35="RC","0","0")+IF($DC$35="M","420","0")+IF($DC$35="P","420","0")+IF($DC$35="F","420","0")+IF($DC$35="N","600","0")+IF($DC$35="M1","380","0")+IF($DC$35="P1","380","0")+IF($DC$35="L104","0","0")+IF($DC$35="MAL","0","0")+IF($DC$35="RC","0","0"))</f>
        <v>42:00</v>
      </c>
      <c r="DF35" t="str">
        <f>min_hour( hour_min($DE$35)+-2280 + hour_min($CU$35))</f>
        <v>-04:00</v>
      </c>
    </row>
    <row r="36" spans="1:110">
      <c r="A36" t="s">
        <v>114</v>
      </c>
      <c r="B36" t="s">
        <v>43</v>
      </c>
      <c r="C36" t="s">
        <v>44</v>
      </c>
      <c r="I36" s="16"/>
      <c r="J36" t="s">
        <v>1271</v>
      </c>
      <c r="K36">
        <v>8</v>
      </c>
      <c r="L36" s="10">
        <v>41212</v>
      </c>
      <c r="M36">
        <v>44</v>
      </c>
      <c r="N36">
        <v>2016</v>
      </c>
      <c r="O36" t="s">
        <v>75</v>
      </c>
      <c r="P36" t="s">
        <v>75</v>
      </c>
      <c r="Q36" t="s">
        <v>75</v>
      </c>
      <c r="R36" t="s">
        <v>76</v>
      </c>
      <c r="S36" t="s">
        <v>77</v>
      </c>
      <c r="T36" t="s">
        <v>73</v>
      </c>
      <c r="U36" t="s">
        <v>74</v>
      </c>
      <c r="V36" t="str">
        <f>min_hour(360)</f>
        <v>06:00</v>
      </c>
      <c r="W36" s="16"/>
      <c r="X36" t="s">
        <v>75</v>
      </c>
      <c r="Y36" t="s">
        <v>74</v>
      </c>
      <c r="Z36" t="s">
        <v>74</v>
      </c>
      <c r="AA36" t="s">
        <v>75</v>
      </c>
      <c r="AB36" t="s">
        <v>73</v>
      </c>
      <c r="AC36" t="s">
        <v>74</v>
      </c>
      <c r="AD36" t="s">
        <v>74</v>
      </c>
      <c r="AE36" t="s">
        <v>1285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hour_min($AF$36)+360-2280 )</f>
        <v>10:00</v>
      </c>
      <c r="AH36" s="16"/>
      <c r="AI36" t="s">
        <v>75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75</v>
      </c>
      <c r="AP36" t="s">
        <v>1286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14:00</v>
      </c>
      <c r="AS36" s="16"/>
      <c r="AT36" t="s">
        <v>75</v>
      </c>
      <c r="AU36" t="s">
        <v>134</v>
      </c>
      <c r="AV36" t="s">
        <v>73</v>
      </c>
      <c r="AW36" t="s">
        <v>75</v>
      </c>
      <c r="AX36" t="s">
        <v>75</v>
      </c>
      <c r="AY36" t="s">
        <v>76</v>
      </c>
      <c r="AZ36" t="s">
        <v>77</v>
      </c>
      <c r="BA36" t="s">
        <v>1287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07:00</v>
      </c>
      <c r="BD36" s="16"/>
      <c r="BE36" t="s">
        <v>73</v>
      </c>
      <c r="BF36" t="s">
        <v>74</v>
      </c>
      <c r="BG36" t="s">
        <v>75</v>
      </c>
      <c r="BH36" t="s">
        <v>75</v>
      </c>
      <c r="BI36" t="s">
        <v>76</v>
      </c>
      <c r="BJ36" t="s">
        <v>77</v>
      </c>
      <c r="BK36" t="s">
        <v>73</v>
      </c>
      <c r="BL36" t="s">
        <v>1288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31:00</v>
      </c>
      <c r="BN36" t="str">
        <f>min_hour( hour_min($BM$36)+-2280 + hour_min($BC$36))</f>
        <v>00:00</v>
      </c>
      <c r="BO36" s="16"/>
      <c r="BP36" t="s">
        <v>74</v>
      </c>
      <c r="BQ36" t="s">
        <v>75</v>
      </c>
      <c r="BR36" t="s">
        <v>75</v>
      </c>
      <c r="BS36" t="s">
        <v>73</v>
      </c>
      <c r="BT36" t="s">
        <v>92</v>
      </c>
      <c r="BU36" t="s">
        <v>73</v>
      </c>
      <c r="BV36" t="s">
        <v>75</v>
      </c>
      <c r="BW36" t="s">
        <v>1278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35:00</v>
      </c>
      <c r="BY36" t="str">
        <f>min_hour( hour_min($BX$36)+-2280 + hour_min($BN$36))</f>
        <v>-03:00</v>
      </c>
      <c r="BZ36" s="16"/>
      <c r="CA36" t="s">
        <v>74</v>
      </c>
      <c r="CB36" t="s">
        <v>75</v>
      </c>
      <c r="CC36" t="s">
        <v>76</v>
      </c>
      <c r="CD36" t="s">
        <v>77</v>
      </c>
      <c r="CE36" t="s">
        <v>73</v>
      </c>
      <c r="CF36" t="s">
        <v>74</v>
      </c>
      <c r="CG36" t="s">
        <v>75</v>
      </c>
      <c r="CH36" t="s">
        <v>1279</v>
      </c>
      <c r="CI36" t="str">
        <f>min_hour(+IF($CA$36="M","420","0")+IF($CA$36="P","420","0")+IF($CA$36="F","420","0")+IF($CA$36="N","600","0")+IF($CA$36="M1","380","0")+IF($CA$36="P1","380","0")+IF($CA$36="L104","0","0")+IF($CA$36="MAL","0","0")+IF($CA$36="RC","0","0")+IF($CB$36="M","420","0")+IF($CB$36="P","420","0")+IF($CB$36="F","420","0")+IF($CB$36="N","600","0")+IF($CB$36="M1","380","0")+IF($CB$36="P1","380","0")+IF($CB$36="L104","0","0")+IF($CB$36="MAL","0","0")+IF($CB$36="RC","0","0")+IF($CC$36="M","420","0")+IF($CC$36="P","420","0")+IF($CC$36="F","420","0")+IF($CC$36="N","600","0")+IF($CC$36="M1","380","0")+IF($CC$36="P1","380","0")+IF($CC$36="L104","0","0")+IF($CC$36="MAL","0","0")+IF($CC$36="RC","0","0")+IF($CD$36="M","420","0")+IF($CD$36="P","420","0")+IF($CD$36="F","420","0")+IF($CD$36="N","600","0")+IF($CD$36="M1","380","0")+IF($CD$36="P1","380","0")+IF($CD$36="L104","0","0")+IF($CD$36="MAL","0","0")+IF($CD$36="RC","0","0")+IF($CE$36="M","420","0")+IF($CE$36="P","420","0")+IF($CE$36="F","420","0")+IF($CE$36="N","600","0")+IF($CE$36="M1","380","0")+IF($CE$36="P1","380","0")+IF($CE$36="L104","0","0")+IF($CE$36="MAL","0","0")+IF($CE$36="RC","0","0")+IF($CF$36="M","420","0")+IF($CF$36="P","420","0")+IF($CF$36="F","420","0")+IF($CF$36="N","600","0")+IF($CF$36="M1","380","0")+IF($CF$36="P1","380","0")+IF($CF$36="L104","0","0")+IF($CF$36="MAL","0","0")+IF($CF$36="RC","0","0")+IF($CG$36="M","420","0")+IF($CG$36="P","420","0")+IF($CG$36="F","420","0")+IF($CG$36="N","600","0")+IF($CG$36="M1","380","0")+IF($CG$36="P1","380","0")+IF($CG$36="L104","0","0")+IF($CG$36="MAL","0","0")+IF($CG$36="RC","0","0"))</f>
        <v>38:00</v>
      </c>
      <c r="CJ36" t="str">
        <f>min_hour( hour_min($CI$36)+-2280 + hour_min($BY$36))</f>
        <v>-03:00</v>
      </c>
      <c r="CK36" s="16"/>
      <c r="CL36" t="s">
        <v>74</v>
      </c>
      <c r="CM36" t="s">
        <v>75</v>
      </c>
      <c r="CN36" t="s">
        <v>74</v>
      </c>
      <c r="CO36" t="s">
        <v>73</v>
      </c>
      <c r="CP36" t="s">
        <v>134</v>
      </c>
      <c r="CQ36" t="s">
        <v>74</v>
      </c>
      <c r="CR36" t="s">
        <v>73</v>
      </c>
      <c r="CS36" t="s">
        <v>1280</v>
      </c>
      <c r="CT36" t="str">
        <f>min_hour(+IF($CL$36="M","420","0")+IF($CL$36="P","420","0")+IF($CL$36="F","420","0")+IF($CL$36="N","600","0")+IF($CL$36="M1","380","0")+IF($CL$36="P1","380","0")+IF($CL$36="L104","0","0")+IF($CL$36="MAL","0","0")+IF($CL$36="RC","0","0")+IF($CM$36="M","420","0")+IF($CM$36="P","420","0")+IF($CM$36="F","420","0")+IF($CM$36="N","600","0")+IF($CM$36="M1","380","0")+IF($CM$36="P1","380","0")+IF($CM$36="L104","0","0")+IF($CM$36="MAL","0","0")+IF($CM$36="RC","0","0")+IF($CN$36="M","420","0")+IF($CN$36="P","420","0")+IF($CN$36="F","420","0")+IF($CN$36="N","600","0")+IF($CN$36="M1","380","0")+IF($CN$36="P1","380","0")+IF($CN$36="L104","0","0")+IF($CN$36="MAL","0","0")+IF($CN$36="RC","0","0")+IF($CO$36="M","420","0")+IF($CO$36="P","420","0")+IF($CO$36="F","420","0")+IF($CO$36="N","600","0")+IF($CO$36="M1","380","0")+IF($CO$36="P1","380","0")+IF($CO$36="L104","0","0")+IF($CO$36="MAL","0","0")+IF($CO$36="RC","0","0")+IF($CP$36="M","420","0")+IF($CP$36="P","420","0")+IF($CP$36="F","420","0")+IF($CP$36="N","600","0")+IF($CP$36="M1","380","0")+IF($CP$36="P1","380","0")+IF($CP$36="L104","0","0")+IF($CP$36="MAL","0","0")+IF($CP$36="RC","0","0")+IF($CQ$36="M","420","0")+IF($CQ$36="P","420","0")+IF($CQ$36="F","420","0")+IF($CQ$36="N","600","0")+IF($CQ$36="M1","380","0")+IF($CQ$36="P1","380","0")+IF($CQ$36="L104","0","0")+IF($CQ$36="MAL","0","0")+IF($CQ$36="RC","0","0")+IF($CR$36="M","420","0")+IF($CR$36="P","420","0")+IF($CR$36="F","420","0")+IF($CR$36="N","600","0")+IF($CR$36="M1","380","0")+IF($CR$36="P1","380","0")+IF($CR$36="L104","0","0")+IF($CR$36="MAL","0","0")+IF($CR$36="RC","0","0"))</f>
        <v>28:00</v>
      </c>
      <c r="CU36" t="str">
        <f>min_hour( hour_min($CT$36)+-2280 + hour_min($CJ$36))</f>
        <v>-13:00</v>
      </c>
      <c r="CV36" s="16"/>
      <c r="CW36" t="s">
        <v>75</v>
      </c>
      <c r="CX36" t="s">
        <v>75</v>
      </c>
      <c r="CY36" t="s">
        <v>73</v>
      </c>
      <c r="CZ36" t="s">
        <v>74</v>
      </c>
      <c r="DA36" t="s">
        <v>75</v>
      </c>
      <c r="DB36" t="s">
        <v>75</v>
      </c>
      <c r="DC36" t="s">
        <v>76</v>
      </c>
      <c r="DD36" t="s">
        <v>1281</v>
      </c>
      <c r="DE36" t="str">
        <f>min_hour(+IF($CW$36="M","420","0")+IF($CW$36="P","420","0")+IF($CW$36="F","420","0")+IF($CW$36="N","600","0")+IF($CW$36="M1","380","0")+IF($CW$36="P1","380","0")+IF($CW$36="L104","0","0")+IF($CW$36="MAL","0","0")+IF($CW$36="RC","0","0")+IF($CX$36="M","420","0")+IF($CX$36="P","420","0")+IF($CX$36="F","420","0")+IF($CX$36="N","600","0")+IF($CX$36="M1","380","0")+IF($CX$36="P1","380","0")+IF($CX$36="L104","0","0")+IF($CX$36="MAL","0","0")+IF($CX$36="RC","0","0")+IF($CY$36="M","420","0")+IF($CY$36="P","420","0")+IF($CY$36="F","420","0")+IF($CY$36="N","600","0")+IF($CY$36="M1","380","0")+IF($CY$36="P1","380","0")+IF($CY$36="L104","0","0")+IF($CY$36="MAL","0","0")+IF($CY$36="RC","0","0")+IF($CZ$36="M","420","0")+IF($CZ$36="P","420","0")+IF($CZ$36="F","420","0")+IF($CZ$36="N","600","0")+IF($CZ$36="M1","380","0")+IF($CZ$36="P1","380","0")+IF($CZ$36="L104","0","0")+IF($CZ$36="MAL","0","0")+IF($CZ$36="RC","0","0")+IF($DA$36="M","420","0")+IF($DA$36="P","420","0")+IF($DA$36="F","420","0")+IF($DA$36="N","600","0")+IF($DA$36="M1","380","0")+IF($DA$36="P1","380","0")+IF($DA$36="L104","0","0")+IF($DA$36="MAL","0","0")+IF($DA$36="RC","0","0")+IF($DB$36="M","420","0")+IF($DB$36="P","420","0")+IF($DB$36="F","420","0")+IF($DB$36="N","600","0")+IF($DB$36="M1","380","0")+IF($DB$36="P1","380","0")+IF($DB$36="L104","0","0")+IF($DB$36="MAL","0","0")+IF($DB$36="RC","0","0")+IF($DC$36="M","420","0")+IF($DC$36="P","420","0")+IF($DC$36="F","420","0")+IF($DC$36="N","600","0")+IF($DC$36="M1","380","0")+IF($DC$36="P1","380","0")+IF($DC$36="L104","0","0")+IF($DC$36="MAL","0","0")+IF($DC$36="RC","0","0"))</f>
        <v>45:00</v>
      </c>
      <c r="DF36" t="str">
        <f>min_hour( hour_min($DE$36)+-2280 + hour_min($CU$36))</f>
        <v>-06:00</v>
      </c>
    </row>
    <row r="37" spans="1:110">
      <c r="A37" t="s">
        <v>115</v>
      </c>
      <c r="B37" t="s">
        <v>45</v>
      </c>
      <c r="C37" t="s">
        <v>46</v>
      </c>
      <c r="I37" s="16"/>
      <c r="J37" t="s">
        <v>1271</v>
      </c>
      <c r="K37">
        <v>4</v>
      </c>
      <c r="L37" s="10">
        <v>41212</v>
      </c>
      <c r="M37">
        <v>44</v>
      </c>
      <c r="N37">
        <v>2016</v>
      </c>
      <c r="O37" t="s">
        <v>74</v>
      </c>
      <c r="P37" t="s">
        <v>75</v>
      </c>
      <c r="Q37" t="s">
        <v>75</v>
      </c>
      <c r="R37" t="s">
        <v>73</v>
      </c>
      <c r="S37" t="s">
        <v>74</v>
      </c>
      <c r="T37" t="s">
        <v>75</v>
      </c>
      <c r="U37" t="s">
        <v>75</v>
      </c>
      <c r="V37" t="str">
        <f>min_hour(300)</f>
        <v>05:00</v>
      </c>
      <c r="W37" s="16"/>
      <c r="X37" t="s">
        <v>76</v>
      </c>
      <c r="Y37" t="s">
        <v>77</v>
      </c>
      <c r="Z37" t="s">
        <v>73</v>
      </c>
      <c r="AA37" t="s">
        <v>74</v>
      </c>
      <c r="AB37" t="s">
        <v>75</v>
      </c>
      <c r="AC37" t="s">
        <v>75</v>
      </c>
      <c r="AD37" t="s">
        <v>76</v>
      </c>
      <c r="AE37" t="s">
        <v>1281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41:00</v>
      </c>
      <c r="AG37" t="str">
        <f>min_hour( hour_min($AF$37)+300-2280 )</f>
        <v>08:00</v>
      </c>
      <c r="AH37" s="16"/>
      <c r="AI37" t="s">
        <v>77</v>
      </c>
      <c r="AJ37" t="s">
        <v>73</v>
      </c>
      <c r="AK37" t="s">
        <v>74</v>
      </c>
      <c r="AL37" t="s">
        <v>74</v>
      </c>
      <c r="AM37" t="s">
        <v>75</v>
      </c>
      <c r="AN37" t="s">
        <v>75</v>
      </c>
      <c r="AO37" t="s">
        <v>74</v>
      </c>
      <c r="AP37" t="s">
        <v>1282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35:00</v>
      </c>
      <c r="AR37" t="str">
        <f>min_hour( hour_min($AQ$37)+-2280 + hour_min($AG$37))</f>
        <v>05:00</v>
      </c>
      <c r="AS37" s="16"/>
      <c r="AT37" t="s">
        <v>73</v>
      </c>
      <c r="AU37" t="s">
        <v>74</v>
      </c>
      <c r="AV37" t="s">
        <v>75</v>
      </c>
      <c r="AW37" t="s">
        <v>74</v>
      </c>
      <c r="AX37" t="s">
        <v>74</v>
      </c>
      <c r="AY37" t="s">
        <v>75</v>
      </c>
      <c r="AZ37" t="s">
        <v>73</v>
      </c>
      <c r="BA37" t="s">
        <v>1283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35:00</v>
      </c>
      <c r="BC37" t="str">
        <f>min_hour( hour_min($BB$37)+-2280 + hour_min($AR$37))</f>
        <v>02:00</v>
      </c>
      <c r="BD37" s="16"/>
      <c r="BE37" t="s">
        <v>75</v>
      </c>
      <c r="BF37" t="s">
        <v>75</v>
      </c>
      <c r="BG37" t="s">
        <v>75</v>
      </c>
      <c r="BH37" t="s">
        <v>76</v>
      </c>
      <c r="BI37" t="s">
        <v>77</v>
      </c>
      <c r="BJ37" t="s">
        <v>73</v>
      </c>
      <c r="BK37" t="s">
        <v>74</v>
      </c>
      <c r="BL37" t="s">
        <v>1284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6"/>
      <c r="BP37" t="s">
        <v>75</v>
      </c>
      <c r="BQ37" t="s">
        <v>74</v>
      </c>
      <c r="BR37" t="s">
        <v>74</v>
      </c>
      <c r="BS37" t="s">
        <v>75</v>
      </c>
      <c r="BT37" t="s">
        <v>73</v>
      </c>
      <c r="BU37" t="s">
        <v>74</v>
      </c>
      <c r="BV37" t="s">
        <v>74</v>
      </c>
      <c r="BW37" t="s">
        <v>1285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  <c r="BZ37" s="16"/>
      <c r="CA37" t="s">
        <v>75</v>
      </c>
      <c r="CB37" t="s">
        <v>76</v>
      </c>
      <c r="CC37" t="s">
        <v>77</v>
      </c>
      <c r="CD37" t="s">
        <v>73</v>
      </c>
      <c r="CE37" t="s">
        <v>74</v>
      </c>
      <c r="CF37" t="s">
        <v>75</v>
      </c>
      <c r="CG37" t="s">
        <v>75</v>
      </c>
      <c r="CH37" t="s">
        <v>1286</v>
      </c>
      <c r="CI37" t="str">
        <f>min_hour(+IF($CA$37="M","420","0")+IF($CA$37="P","420","0")+IF($CA$37="F","420","0")+IF($CA$37="N","600","0")+IF($CA$37="M1","380","0")+IF($CA$37="P1","380","0")+IF($CA$37="L104","0","0")+IF($CA$37="MAL","0","0")+IF($CA$37="RC","0","0")+IF($CB$37="M","420","0")+IF($CB$37="P","420","0")+IF($CB$37="F","420","0")+IF($CB$37="N","600","0")+IF($CB$37="M1","380","0")+IF($CB$37="P1","380","0")+IF($CB$37="L104","0","0")+IF($CB$37="MAL","0","0")+IF($CB$37="RC","0","0")+IF($CC$37="M","420","0")+IF($CC$37="P","420","0")+IF($CC$37="F","420","0")+IF($CC$37="N","600","0")+IF($CC$37="M1","380","0")+IF($CC$37="P1","380","0")+IF($CC$37="L104","0","0")+IF($CC$37="MAL","0","0")+IF($CC$37="RC","0","0")+IF($CD$37="M","420","0")+IF($CD$37="P","420","0")+IF($CD$37="F","420","0")+IF($CD$37="N","600","0")+IF($CD$37="M1","380","0")+IF($CD$37="P1","380","0")+IF($CD$37="L104","0","0")+IF($CD$37="MAL","0","0")+IF($CD$37="RC","0","0")+IF($CE$37="M","420","0")+IF($CE$37="P","420","0")+IF($CE$37="F","420","0")+IF($CE$37="N","600","0")+IF($CE$37="M1","380","0")+IF($CE$37="P1","380","0")+IF($CE$37="L104","0","0")+IF($CE$37="MAL","0","0")+IF($CE$37="RC","0","0")+IF($CF$37="M","420","0")+IF($CF$37="P","420","0")+IF($CF$37="F","420","0")+IF($CF$37="N","600","0")+IF($CF$37="M1","380","0")+IF($CF$37="P1","380","0")+IF($CF$37="L104","0","0")+IF($CF$37="MAL","0","0")+IF($CF$37="RC","0","0")+IF($CG$37="M","420","0")+IF($CG$37="P","420","0")+IF($CG$37="F","420","0")+IF($CG$37="N","600","0")+IF($CG$37="M1","380","0")+IF($CG$37="P1","380","0")+IF($CG$37="L104","0","0")+IF($CG$37="MAL","0","0")+IF($CG$37="RC","0","0"))</f>
        <v>38:00</v>
      </c>
      <c r="CJ37" t="str">
        <f>min_hour( hour_min($CI$37)+-2280 + hour_min($BY$37))</f>
        <v>06:00</v>
      </c>
      <c r="CK37" s="16"/>
      <c r="CL37" t="s">
        <v>75</v>
      </c>
      <c r="CM37" t="s">
        <v>75</v>
      </c>
      <c r="CN37" t="s">
        <v>73</v>
      </c>
      <c r="CO37" t="s">
        <v>75</v>
      </c>
      <c r="CP37" t="s">
        <v>75</v>
      </c>
      <c r="CQ37" t="s">
        <v>75</v>
      </c>
      <c r="CR37" t="s">
        <v>75</v>
      </c>
      <c r="CS37" t="s">
        <v>1287</v>
      </c>
      <c r="CT37" t="str">
        <f>min_hour(+IF($CL$37="M","420","0")+IF($CL$37="P","420","0")+IF($CL$37="F","420","0")+IF($CL$37="N","600","0")+IF($CL$37="M1","380","0")+IF($CL$37="P1","380","0")+IF($CL$37="L104","0","0")+IF($CL$37="MAL","0","0")+IF($CL$37="RC","0","0")+IF($CM$37="M","420","0")+IF($CM$37="P","420","0")+IF($CM$37="F","420","0")+IF($CM$37="N","600","0")+IF($CM$37="M1","380","0")+IF($CM$37="P1","380","0")+IF($CM$37="L104","0","0")+IF($CM$37="MAL","0","0")+IF($CM$37="RC","0","0")+IF($CN$37="M","420","0")+IF($CN$37="P","420","0")+IF($CN$37="F","420","0")+IF($CN$37="N","600","0")+IF($CN$37="M1","380","0")+IF($CN$37="P1","380","0")+IF($CN$37="L104","0","0")+IF($CN$37="MAL","0","0")+IF($CN$37="RC","0","0")+IF($CO$37="M","420","0")+IF($CO$37="P","420","0")+IF($CO$37="F","420","0")+IF($CO$37="N","600","0")+IF($CO$37="M1","380","0")+IF($CO$37="P1","380","0")+IF($CO$37="L104","0","0")+IF($CO$37="MAL","0","0")+IF($CO$37="RC","0","0")+IF($CP$37="M","420","0")+IF($CP$37="P","420","0")+IF($CP$37="F","420","0")+IF($CP$37="N","600","0")+IF($CP$37="M1","380","0")+IF($CP$37="P1","380","0")+IF($CP$37="L104","0","0")+IF($CP$37="MAL","0","0")+IF($CP$37="RC","0","0")+IF($CQ$37="M","420","0")+IF($CQ$37="P","420","0")+IF($CQ$37="F","420","0")+IF($CQ$37="N","600","0")+IF($CQ$37="M1","380","0")+IF($CQ$37="P1","380","0")+IF($CQ$37="L104","0","0")+IF($CQ$37="MAL","0","0")+IF($CQ$37="RC","0","0")+IF($CR$37="M","420","0")+IF($CR$37="P","420","0")+IF($CR$37="F","420","0")+IF($CR$37="N","600","0")+IF($CR$37="M1","380","0")+IF($CR$37="P1","380","0")+IF($CR$37="L104","0","0")+IF($CR$37="MAL","0","0")+IF($CR$37="RC","0","0"))</f>
        <v>42:00</v>
      </c>
      <c r="CU37" t="str">
        <f>min_hour( hour_min($CT$37)+-2280 + hour_min($CJ$37))</f>
        <v>10:00</v>
      </c>
      <c r="CV37" s="16"/>
      <c r="CW37" t="s">
        <v>73</v>
      </c>
      <c r="CX37" t="s">
        <v>74</v>
      </c>
      <c r="CY37" t="s">
        <v>75</v>
      </c>
      <c r="CZ37" t="s">
        <v>75</v>
      </c>
      <c r="DA37" t="s">
        <v>76</v>
      </c>
      <c r="DB37" t="s">
        <v>77</v>
      </c>
      <c r="DC37" t="s">
        <v>73</v>
      </c>
      <c r="DD37" t="s">
        <v>1288</v>
      </c>
      <c r="DE37" t="str">
        <f>min_hour(+IF($CW$37="M","420","0")+IF($CW$37="P","420","0")+IF($CW$37="F","420","0")+IF($CW$37="N","600","0")+IF($CW$37="M1","380","0")+IF($CW$37="P1","380","0")+IF($CW$37="L104","0","0")+IF($CW$37="MAL","0","0")+IF($CW$37="RC","0","0")+IF($CX$37="M","420","0")+IF($CX$37="P","420","0")+IF($CX$37="F","420","0")+IF($CX$37="N","600","0")+IF($CX$37="M1","380","0")+IF($CX$37="P1","380","0")+IF($CX$37="L104","0","0")+IF($CX$37="MAL","0","0")+IF($CX$37="RC","0","0")+IF($CY$37="M","420","0")+IF($CY$37="P","420","0")+IF($CY$37="F","420","0")+IF($CY$37="N","600","0")+IF($CY$37="M1","380","0")+IF($CY$37="P1","380","0")+IF($CY$37="L104","0","0")+IF($CY$37="MAL","0","0")+IF($CY$37="RC","0","0")+IF($CZ$37="M","420","0")+IF($CZ$37="P","420","0")+IF($CZ$37="F","420","0")+IF($CZ$37="N","600","0")+IF($CZ$37="M1","380","0")+IF($CZ$37="P1","380","0")+IF($CZ$37="L104","0","0")+IF($CZ$37="MAL","0","0")+IF($CZ$37="RC","0","0")+IF($DA$37="M","420","0")+IF($DA$37="P","420","0")+IF($DA$37="F","420","0")+IF($DA$37="N","600","0")+IF($DA$37="M1","380","0")+IF($DA$37="P1","380","0")+IF($DA$37="L104","0","0")+IF($DA$37="MAL","0","0")+IF($DA$37="RC","0","0")+IF($DB$37="M","420","0")+IF($DB$37="P","420","0")+IF($DB$37="F","420","0")+IF($DB$37="N","600","0")+IF($DB$37="M1","380","0")+IF($DB$37="P1","380","0")+IF($DB$37="L104","0","0")+IF($DB$37="MAL","0","0")+IF($DB$37="RC","0","0")+IF($DC$37="M","420","0")+IF($DC$37="P","420","0")+IF($DC$37="F","420","0")+IF($DC$37="N","600","0")+IF($DC$37="M1","380","0")+IF($DC$37="P1","380","0")+IF($DC$37="L104","0","0")+IF($DC$37="MAL","0","0")+IF($DC$37="RC","0","0"))</f>
        <v>31:00</v>
      </c>
      <c r="DF37" t="str">
        <f>min_hour( hour_min($DE$37)+-2280 + hour_min($CU$37))</f>
        <v>03:00</v>
      </c>
    </row>
    <row r="38" spans="1:110">
      <c r="A38" t="s">
        <v>116</v>
      </c>
      <c r="B38" t="s">
        <v>47</v>
      </c>
      <c r="C38" t="s">
        <v>48</v>
      </c>
      <c r="I38" s="16"/>
      <c r="J38" t="s">
        <v>1271</v>
      </c>
      <c r="K38">
        <v>4</v>
      </c>
      <c r="L38" s="10">
        <v>41212</v>
      </c>
      <c r="M38">
        <v>44</v>
      </c>
      <c r="N38">
        <v>2016</v>
      </c>
      <c r="O38" t="s">
        <v>134</v>
      </c>
      <c r="P38" t="s">
        <v>75</v>
      </c>
      <c r="Q38" t="s">
        <v>74</v>
      </c>
      <c r="R38" t="s">
        <v>73</v>
      </c>
      <c r="S38" t="s">
        <v>74</v>
      </c>
      <c r="T38" t="s">
        <v>75</v>
      </c>
      <c r="U38" t="s">
        <v>74</v>
      </c>
      <c r="V38" t="str">
        <f>min_hour(1500)</f>
        <v>25:00</v>
      </c>
      <c r="W38" s="16"/>
      <c r="X38" t="s">
        <v>76</v>
      </c>
      <c r="Y38" t="s">
        <v>77</v>
      </c>
      <c r="Z38" t="s">
        <v>73</v>
      </c>
      <c r="AA38" t="s">
        <v>134</v>
      </c>
      <c r="AB38" t="s">
        <v>75</v>
      </c>
      <c r="AC38" t="s">
        <v>75</v>
      </c>
      <c r="AD38" t="s">
        <v>76</v>
      </c>
      <c r="AE38" t="s">
        <v>1281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34:00</v>
      </c>
      <c r="AG38" t="str">
        <f>min_hour( hour_min($AF$38)+1500-2280 )</f>
        <v>21:00</v>
      </c>
      <c r="AH38" s="16"/>
      <c r="AI38" t="s">
        <v>77</v>
      </c>
      <c r="AJ38" t="s">
        <v>73</v>
      </c>
      <c r="AK38" t="s">
        <v>134</v>
      </c>
      <c r="AL38" t="s">
        <v>74</v>
      </c>
      <c r="AM38" t="s">
        <v>75</v>
      </c>
      <c r="AN38" t="s">
        <v>75</v>
      </c>
      <c r="AO38" t="s">
        <v>74</v>
      </c>
      <c r="AP38" t="s">
        <v>1282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28:00</v>
      </c>
      <c r="AR38" t="str">
        <f>min_hour( hour_min($AQ$38)+-2280 + hour_min($AG$38))</f>
        <v>11:00</v>
      </c>
      <c r="AS38" s="16"/>
      <c r="AT38" t="s">
        <v>73</v>
      </c>
      <c r="AU38" t="s">
        <v>134</v>
      </c>
      <c r="AV38" t="s">
        <v>75</v>
      </c>
      <c r="AW38" t="s">
        <v>74</v>
      </c>
      <c r="AX38" t="s">
        <v>74</v>
      </c>
      <c r="AY38" t="s">
        <v>75</v>
      </c>
      <c r="AZ38" t="s">
        <v>73</v>
      </c>
      <c r="BA38" t="s">
        <v>1283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28:00</v>
      </c>
      <c r="BC38" t="str">
        <f>min_hour( hour_min($BB$38)+-2280 + hour_min($AR$38))</f>
        <v>01:00</v>
      </c>
      <c r="BD38" s="16"/>
      <c r="BE38" t="s">
        <v>75</v>
      </c>
      <c r="BF38" t="s">
        <v>74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1284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01:00</v>
      </c>
      <c r="BO38" s="16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1285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42:00</v>
      </c>
      <c r="BY38" t="str">
        <f>min_hour( hour_min($BX$38)+-2280 + hour_min($BN$38))</f>
        <v>05:00</v>
      </c>
      <c r="BZ38" s="16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1286</v>
      </c>
      <c r="CI38" t="str">
        <f>min_hour(+IF($CA$38="M","420","0")+IF($CA$38="P","420","0")+IF($CA$38="F","420","0")+IF($CA$38="N","600","0")+IF($CA$38="M1","380","0")+IF($CA$38="P1","380","0")+IF($CA$38="L104","0","0")+IF($CA$38="MAL","0","0")+IF($CA$38="RC","0","0")+IF($CB$38="M","420","0")+IF($CB$38="P","420","0")+IF($CB$38="F","420","0")+IF($CB$38="N","600","0")+IF($CB$38="M1","380","0")+IF($CB$38="P1","380","0")+IF($CB$38="L104","0","0")+IF($CB$38="MAL","0","0")+IF($CB$38="RC","0","0")+IF($CC$38="M","420","0")+IF($CC$38="P","420","0")+IF($CC$38="F","420","0")+IF($CC$38="N","600","0")+IF($CC$38="M1","380","0")+IF($CC$38="P1","380","0")+IF($CC$38="L104","0","0")+IF($CC$38="MAL","0","0")+IF($CC$38="RC","0","0")+IF($CD$38="M","420","0")+IF($CD$38="P","420","0")+IF($CD$38="F","420","0")+IF($CD$38="N","600","0")+IF($CD$38="M1","380","0")+IF($CD$38="P1","380","0")+IF($CD$38="L104","0","0")+IF($CD$38="MAL","0","0")+IF($CD$38="RC","0","0")+IF($CE$38="M","420","0")+IF($CE$38="P","420","0")+IF($CE$38="F","420","0")+IF($CE$38="N","600","0")+IF($CE$38="M1","380","0")+IF($CE$38="P1","380","0")+IF($CE$38="L104","0","0")+IF($CE$38="MAL","0","0")+IF($CE$38="RC","0","0")+IF($CF$38="M","420","0")+IF($CF$38="P","420","0")+IF($CF$38="F","420","0")+IF($CF$38="N","600","0")+IF($CF$38="M1","380","0")+IF($CF$38="P1","380","0")+IF($CF$38="L104","0","0")+IF($CF$38="MAL","0","0")+IF($CF$38="RC","0","0")+IF($CG$38="M","420","0")+IF($CG$38="P","420","0")+IF($CG$38="F","420","0")+IF($CG$38="N","600","0")+IF($CG$38="M1","380","0")+IF($CG$38="P1","380","0")+IF($CG$38="L104","0","0")+IF($CG$38="MAL","0","0")+IF($CG$38="RC","0","0"))</f>
        <v>38:00</v>
      </c>
      <c r="CJ38" t="str">
        <f>min_hour( hour_min($CI$38)+-2280 + hour_min($BY$38))</f>
        <v>05:00</v>
      </c>
      <c r="CK38" s="16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1287</v>
      </c>
      <c r="CT38" t="str">
        <f>min_hour(+IF($CL$38="M","420","0")+IF($CL$38="P","420","0")+IF($CL$38="F","420","0")+IF($CL$38="N","600","0")+IF($CL$38="M1","380","0")+IF($CL$38="P1","380","0")+IF($CL$38="L104","0","0")+IF($CL$38="MAL","0","0")+IF($CL$38="RC","0","0")+IF($CM$38="M","420","0")+IF($CM$38="P","420","0")+IF($CM$38="F","420","0")+IF($CM$38="N","600","0")+IF($CM$38="M1","380","0")+IF($CM$38="P1","380","0")+IF($CM$38="L104","0","0")+IF($CM$38="MAL","0","0")+IF($CM$38="RC","0","0")+IF($CN$38="M","420","0")+IF($CN$38="P","420","0")+IF($CN$38="F","420","0")+IF($CN$38="N","600","0")+IF($CN$38="M1","380","0")+IF($CN$38="P1","380","0")+IF($CN$38="L104","0","0")+IF($CN$38="MAL","0","0")+IF($CN$38="RC","0","0")+IF($CO$38="M","420","0")+IF($CO$38="P","420","0")+IF($CO$38="F","420","0")+IF($CO$38="N","600","0")+IF($CO$38="M1","380","0")+IF($CO$38="P1","380","0")+IF($CO$38="L104","0","0")+IF($CO$38="MAL","0","0")+IF($CO$38="RC","0","0")+IF($CP$38="M","420","0")+IF($CP$38="P","420","0")+IF($CP$38="F","420","0")+IF($CP$38="N","600","0")+IF($CP$38="M1","380","0")+IF($CP$38="P1","380","0")+IF($CP$38="L104","0","0")+IF($CP$38="MAL","0","0")+IF($CP$38="RC","0","0")+IF($CQ$38="M","420","0")+IF($CQ$38="P","420","0")+IF($CQ$38="F","420","0")+IF($CQ$38="N","600","0")+IF($CQ$38="M1","380","0")+IF($CQ$38="P1","380","0")+IF($CQ$38="L104","0","0")+IF($CQ$38="MAL","0","0")+IF($CQ$38="RC","0","0")+IF($CR$38="M","420","0")+IF($CR$38="P","420","0")+IF($CR$38="F","420","0")+IF($CR$38="N","600","0")+IF($CR$38="M1","380","0")+IF($CR$38="P1","380","0")+IF($CR$38="L104","0","0")+IF($CR$38="MAL","0","0")+IF($CR$38="RC","0","0"))</f>
        <v>38:00</v>
      </c>
      <c r="CU38" t="str">
        <f>min_hour( hour_min($CT$38)+-2280 + hour_min($CJ$38))</f>
        <v>05:00</v>
      </c>
      <c r="CV38" s="16"/>
      <c r="CW38" t="s">
        <v>73</v>
      </c>
      <c r="CX38" t="s">
        <v>74</v>
      </c>
      <c r="CY38" t="s">
        <v>75</v>
      </c>
      <c r="CZ38" t="s">
        <v>76</v>
      </c>
      <c r="DA38" t="s">
        <v>77</v>
      </c>
      <c r="DB38" t="s">
        <v>73</v>
      </c>
      <c r="DC38" t="s">
        <v>74</v>
      </c>
      <c r="DD38" t="s">
        <v>1288</v>
      </c>
      <c r="DE38" t="str">
        <f>min_hour(+IF($CW$38="M","420","0")+IF($CW$38="P","420","0")+IF($CW$38="F","420","0")+IF($CW$38="N","600","0")+IF($CW$38="M1","380","0")+IF($CW$38="P1","380","0")+IF($CW$38="L104","0","0")+IF($CW$38="MAL","0","0")+IF($CW$38="RC","0","0")+IF($CX$38="M","420","0")+IF($CX$38="P","420","0")+IF($CX$38="F","420","0")+IF($CX$38="N","600","0")+IF($CX$38="M1","380","0")+IF($CX$38="P1","380","0")+IF($CX$38="L104","0","0")+IF($CX$38="MAL","0","0")+IF($CX$38="RC","0","0")+IF($CY$38="M","420","0")+IF($CY$38="P","420","0")+IF($CY$38="F","420","0")+IF($CY$38="N","600","0")+IF($CY$38="M1","380","0")+IF($CY$38="P1","380","0")+IF($CY$38="L104","0","0")+IF($CY$38="MAL","0","0")+IF($CY$38="RC","0","0")+IF($CZ$38="M","420","0")+IF($CZ$38="P","420","0")+IF($CZ$38="F","420","0")+IF($CZ$38="N","600","0")+IF($CZ$38="M1","380","0")+IF($CZ$38="P1","380","0")+IF($CZ$38="L104","0","0")+IF($CZ$38="MAL","0","0")+IF($CZ$38="RC","0","0")+IF($DA$38="M","420","0")+IF($DA$38="P","420","0")+IF($DA$38="F","420","0")+IF($DA$38="N","600","0")+IF($DA$38="M1","380","0")+IF($DA$38="P1","380","0")+IF($DA$38="L104","0","0")+IF($DA$38="MAL","0","0")+IF($DA$38="RC","0","0")+IF($DB$38="M","420","0")+IF($DB$38="P","420","0")+IF($DB$38="F","420","0")+IF($DB$38="N","600","0")+IF($DB$38="M1","380","0")+IF($DB$38="P1","380","0")+IF($DB$38="L104","0","0")+IF($DB$38="MAL","0","0")+IF($DB$38="RC","0","0")+IF($DC$38="M","420","0")+IF($DC$38="P","420","0")+IF($DC$38="F","420","0")+IF($DC$38="N","600","0")+IF($DC$38="M1","380","0")+IF($DC$38="P1","380","0")+IF($DC$38="L104","0","0")+IF($DC$38="MAL","0","0")+IF($DC$38="RC","0","0"))</f>
        <v>31:00</v>
      </c>
      <c r="DF38" t="str">
        <f>min_hour( hour_min($DE$38)+-2280 + hour_min($CU$38))</f>
        <v>-02:00</v>
      </c>
    </row>
    <row r="39" spans="1:110">
      <c r="A39" t="s">
        <v>117</v>
      </c>
      <c r="B39" t="s">
        <v>49</v>
      </c>
      <c r="C39" t="s">
        <v>50</v>
      </c>
      <c r="I39" s="16"/>
      <c r="J39" t="s">
        <v>1271</v>
      </c>
      <c r="K39">
        <v>3</v>
      </c>
      <c r="L39" s="10">
        <v>41212</v>
      </c>
      <c r="M39">
        <v>44</v>
      </c>
      <c r="N39">
        <v>2016</v>
      </c>
      <c r="O39" t="s">
        <v>75</v>
      </c>
      <c r="P39" t="s">
        <v>75</v>
      </c>
      <c r="Q39" t="s">
        <v>76</v>
      </c>
      <c r="R39" t="s">
        <v>77</v>
      </c>
      <c r="S39" t="s">
        <v>73</v>
      </c>
      <c r="T39" t="s">
        <v>74</v>
      </c>
      <c r="U39" t="s">
        <v>75</v>
      </c>
      <c r="V39" t="str">
        <f>min_hour(-300)</f>
        <v>-05:00</v>
      </c>
      <c r="W39" s="16"/>
      <c r="X39" t="s">
        <v>74</v>
      </c>
      <c r="Y39" t="s">
        <v>75</v>
      </c>
      <c r="Z39" t="s">
        <v>74</v>
      </c>
      <c r="AA39" t="s">
        <v>73</v>
      </c>
      <c r="AB39" t="s">
        <v>74</v>
      </c>
      <c r="AC39" t="s">
        <v>74</v>
      </c>
      <c r="AD39" t="s">
        <v>75</v>
      </c>
      <c r="AE39" t="s">
        <v>1280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hour_min($AF$39)+-300-2280 )</f>
        <v>-01:00</v>
      </c>
      <c r="AH39" s="16"/>
      <c r="AI39" t="s">
        <v>76</v>
      </c>
      <c r="AJ39" t="s">
        <v>77</v>
      </c>
      <c r="AK39" t="s">
        <v>73</v>
      </c>
      <c r="AL39" t="s">
        <v>74</v>
      </c>
      <c r="AM39" t="s">
        <v>75</v>
      </c>
      <c r="AN39" t="s">
        <v>75</v>
      </c>
      <c r="AO39" t="s">
        <v>76</v>
      </c>
      <c r="AP39" t="s">
        <v>1281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41:00</v>
      </c>
      <c r="AR39" t="str">
        <f>min_hour( hour_min($AQ$39)+-2280 + hour_min($AG$39))</f>
        <v>02:00</v>
      </c>
      <c r="AS39" s="16"/>
      <c r="AT39" t="s">
        <v>77</v>
      </c>
      <c r="AU39" t="s">
        <v>73</v>
      </c>
      <c r="AV39" t="s">
        <v>74</v>
      </c>
      <c r="AW39" t="s">
        <v>74</v>
      </c>
      <c r="AX39" t="s">
        <v>75</v>
      </c>
      <c r="AY39" t="s">
        <v>75</v>
      </c>
      <c r="AZ39" t="s">
        <v>74</v>
      </c>
      <c r="BA39" t="s">
        <v>1282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35:00</v>
      </c>
      <c r="BC39" t="str">
        <f>min_hour( hour_min($BB$39)+-2280 + hour_min($AR$39))</f>
        <v>-01:00</v>
      </c>
      <c r="BD39" s="16"/>
      <c r="BE39" t="s">
        <v>73</v>
      </c>
      <c r="BF39" t="s">
        <v>74</v>
      </c>
      <c r="BG39" t="s">
        <v>75</v>
      </c>
      <c r="BH39" t="s">
        <v>74</v>
      </c>
      <c r="BI39" t="s">
        <v>74</v>
      </c>
      <c r="BJ39" t="s">
        <v>75</v>
      </c>
      <c r="BK39" t="s">
        <v>73</v>
      </c>
      <c r="BL39" t="s">
        <v>1283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-04:00</v>
      </c>
      <c r="BO39" s="16"/>
      <c r="BP39" t="s">
        <v>75</v>
      </c>
      <c r="BQ39" t="s">
        <v>75</v>
      </c>
      <c r="BR39" t="s">
        <v>75</v>
      </c>
      <c r="BS39" t="s">
        <v>76</v>
      </c>
      <c r="BT39" t="s">
        <v>77</v>
      </c>
      <c r="BU39" t="s">
        <v>73</v>
      </c>
      <c r="BV39" t="s">
        <v>74</v>
      </c>
      <c r="BW39" t="s">
        <v>1284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-04:00</v>
      </c>
      <c r="BZ39" s="16"/>
      <c r="CA39" t="s">
        <v>75</v>
      </c>
      <c r="CB39" t="s">
        <v>74</v>
      </c>
      <c r="CC39" t="s">
        <v>74</v>
      </c>
      <c r="CD39" t="s">
        <v>75</v>
      </c>
      <c r="CE39" t="s">
        <v>73</v>
      </c>
      <c r="CF39" t="s">
        <v>74</v>
      </c>
      <c r="CG39" t="s">
        <v>74</v>
      </c>
      <c r="CH39" t="s">
        <v>1285</v>
      </c>
      <c r="CI39" t="str">
        <f>min_hour(+IF($CA$39="M","420","0")+IF($CA$39="P","420","0")+IF($CA$39="F","420","0")+IF($CA$39="N","600","0")+IF($CA$39="M1","380","0")+IF($CA$39="P1","380","0")+IF($CA$39="L104","0","0")+IF($CA$39="MAL","0","0")+IF($CA$39="RC","0","0")+IF($CB$39="M","420","0")+IF($CB$39="P","420","0")+IF($CB$39="F","420","0")+IF($CB$39="N","600","0")+IF($CB$39="M1","380","0")+IF($CB$39="P1","380","0")+IF($CB$39="L104","0","0")+IF($CB$39="MAL","0","0")+IF($CB$39="RC","0","0")+IF($CC$39="M","420","0")+IF($CC$39="P","420","0")+IF($CC$39="F","420","0")+IF($CC$39="N","600","0")+IF($CC$39="M1","380","0")+IF($CC$39="P1","380","0")+IF($CC$39="L104","0","0")+IF($CC$39="MAL","0","0")+IF($CC$39="RC","0","0")+IF($CD$39="M","420","0")+IF($CD$39="P","420","0")+IF($CD$39="F","420","0")+IF($CD$39="N","600","0")+IF($CD$39="M1","380","0")+IF($CD$39="P1","380","0")+IF($CD$39="L104","0","0")+IF($CD$39="MAL","0","0")+IF($CD$39="RC","0","0")+IF($CE$39="M","420","0")+IF($CE$39="P","420","0")+IF($CE$39="F","420","0")+IF($CE$39="N","600","0")+IF($CE$39="M1","380","0")+IF($CE$39="P1","380","0")+IF($CE$39="L104","0","0")+IF($CE$39="MAL","0","0")+IF($CE$39="RC","0","0")+IF($CF$39="M","420","0")+IF($CF$39="P","420","0")+IF($CF$39="F","420","0")+IF($CF$39="N","600","0")+IF($CF$39="M1","380","0")+IF($CF$39="P1","380","0")+IF($CF$39="L104","0","0")+IF($CF$39="MAL","0","0")+IF($CF$39="RC","0","0")+IF($CG$39="M","420","0")+IF($CG$39="P","420","0")+IF($CG$39="F","420","0")+IF($CG$39="N","600","0")+IF($CG$39="M1","380","0")+IF($CG$39="P1","380","0")+IF($CG$39="L104","0","0")+IF($CG$39="MAL","0","0")+IF($CG$39="RC","0","0"))</f>
        <v>42:00</v>
      </c>
      <c r="CJ39" t="str">
        <f>min_hour( hour_min($CI$39)+-2280 + hour_min($BY$39))</f>
        <v>00:00</v>
      </c>
      <c r="CK39" s="16"/>
      <c r="CL39" t="s">
        <v>92</v>
      </c>
      <c r="CM39" t="s">
        <v>76</v>
      </c>
      <c r="CN39" t="s">
        <v>77</v>
      </c>
      <c r="CO39" t="s">
        <v>73</v>
      </c>
      <c r="CP39" t="s">
        <v>74</v>
      </c>
      <c r="CQ39" t="s">
        <v>76</v>
      </c>
      <c r="CR39" t="s">
        <v>77</v>
      </c>
      <c r="CS39" t="s">
        <v>1286</v>
      </c>
      <c r="CT39" t="str">
        <f>min_hour(+IF($CL$39="M","420","0")+IF($CL$39="P","420","0")+IF($CL$39="F","420","0")+IF($CL$39="N","600","0")+IF($CL$39="M1","380","0")+IF($CL$39="P1","380","0")+IF($CL$39="L104","0","0")+IF($CL$39="MAL","0","0")+IF($CL$39="RC","0","0")+IF($CM$39="M","420","0")+IF($CM$39="P","420","0")+IF($CM$39="F","420","0")+IF($CM$39="N","600","0")+IF($CM$39="M1","380","0")+IF($CM$39="P1","380","0")+IF($CM$39="L104","0","0")+IF($CM$39="MAL","0","0")+IF($CM$39="RC","0","0")+IF($CN$39="M","420","0")+IF($CN$39="P","420","0")+IF($CN$39="F","420","0")+IF($CN$39="N","600","0")+IF($CN$39="M1","380","0")+IF($CN$39="P1","380","0")+IF($CN$39="L104","0","0")+IF($CN$39="MAL","0","0")+IF($CN$39="RC","0","0")+IF($CO$39="M","420","0")+IF($CO$39="P","420","0")+IF($CO$39="F","420","0")+IF($CO$39="N","600","0")+IF($CO$39="M1","380","0")+IF($CO$39="P1","380","0")+IF($CO$39="L104","0","0")+IF($CO$39="MAL","0","0")+IF($CO$39="RC","0","0")+IF($CP$39="M","420","0")+IF($CP$39="P","420","0")+IF($CP$39="F","420","0")+IF($CP$39="N","600","0")+IF($CP$39="M1","380","0")+IF($CP$39="P1","380","0")+IF($CP$39="L104","0","0")+IF($CP$39="MAL","0","0")+IF($CP$39="RC","0","0")+IF($CQ$39="M","420","0")+IF($CQ$39="P","420","0")+IF($CQ$39="F","420","0")+IF($CQ$39="N","600","0")+IF($CQ$39="M1","380","0")+IF($CQ$39="P1","380","0")+IF($CQ$39="L104","0","0")+IF($CQ$39="MAL","0","0")+IF($CQ$39="RC","0","0")+IF($CR$39="M","420","0")+IF($CR$39="P","420","0")+IF($CR$39="F","420","0")+IF($CR$39="N","600","0")+IF($CR$39="M1","380","0")+IF($CR$39="P1","380","0")+IF($CR$39="L104","0","0")+IF($CR$39="MAL","0","0")+IF($CR$39="RC","0","0"))</f>
        <v>34:00</v>
      </c>
      <c r="CU39" t="str">
        <f>min_hour( hour_min($CT$39)+-2280 + hour_min($CJ$39))</f>
        <v>-04:00</v>
      </c>
      <c r="CV39" s="16"/>
      <c r="CW39" t="s">
        <v>73</v>
      </c>
      <c r="CX39" t="s">
        <v>75</v>
      </c>
      <c r="CY39" t="s">
        <v>75</v>
      </c>
      <c r="CZ39" t="s">
        <v>75</v>
      </c>
      <c r="DA39" t="s">
        <v>75</v>
      </c>
      <c r="DB39" t="s">
        <v>73</v>
      </c>
      <c r="DC39" t="s">
        <v>74</v>
      </c>
      <c r="DD39" t="s">
        <v>1287</v>
      </c>
      <c r="DE39" t="str">
        <f>min_hour(+IF($CW$39="M","420","0")+IF($CW$39="P","420","0")+IF($CW$39="F","420","0")+IF($CW$39="N","600","0")+IF($CW$39="M1","380","0")+IF($CW$39="P1","380","0")+IF($CW$39="L104","0","0")+IF($CW$39="MAL","0","0")+IF($CW$39="RC","0","0")+IF($CX$39="M","420","0")+IF($CX$39="P","420","0")+IF($CX$39="F","420","0")+IF($CX$39="N","600","0")+IF($CX$39="M1","380","0")+IF($CX$39="P1","380","0")+IF($CX$39="L104","0","0")+IF($CX$39="MAL","0","0")+IF($CX$39="RC","0","0")+IF($CY$39="M","420","0")+IF($CY$39="P","420","0")+IF($CY$39="F","420","0")+IF($CY$39="N","600","0")+IF($CY$39="M1","380","0")+IF($CY$39="P1","380","0")+IF($CY$39="L104","0","0")+IF($CY$39="MAL","0","0")+IF($CY$39="RC","0","0")+IF($CZ$39="M","420","0")+IF($CZ$39="P","420","0")+IF($CZ$39="F","420","0")+IF($CZ$39="N","600","0")+IF($CZ$39="M1","380","0")+IF($CZ$39="P1","380","0")+IF($CZ$39="L104","0","0")+IF($CZ$39="MAL","0","0")+IF($CZ$39="RC","0","0")+IF($DA$39="M","420","0")+IF($DA$39="P","420","0")+IF($DA$39="F","420","0")+IF($DA$39="N","600","0")+IF($DA$39="M1","380","0")+IF($DA$39="P1","380","0")+IF($DA$39="L104","0","0")+IF($DA$39="MAL","0","0")+IF($DA$39="RC","0","0")+IF($DB$39="M","420","0")+IF($DB$39="P","420","0")+IF($DB$39="F","420","0")+IF($DB$39="N","600","0")+IF($DB$39="M1","380","0")+IF($DB$39="P1","380","0")+IF($DB$39="L104","0","0")+IF($DB$39="MAL","0","0")+IF($DB$39="RC","0","0")+IF($DC$39="M","420","0")+IF($DC$39="P","420","0")+IF($DC$39="F","420","0")+IF($DC$39="N","600","0")+IF($DC$39="M1","380","0")+IF($DC$39="P1","380","0")+IF($DC$39="L104","0","0")+IF($DC$39="MAL","0","0")+IF($DC$39="RC","0","0"))</f>
        <v>35:00</v>
      </c>
      <c r="DF39" t="str">
        <f>min_hour( hour_min($DE$39)+-2280 + hour_min($CU$39))</f>
        <v>-07:00</v>
      </c>
    </row>
    <row r="40" spans="1:110">
      <c r="A40" t="s">
        <v>118</v>
      </c>
      <c r="B40" t="s">
        <v>51</v>
      </c>
      <c r="C40" t="s">
        <v>52</v>
      </c>
      <c r="I40" s="16"/>
      <c r="J40" t="s">
        <v>1271</v>
      </c>
      <c r="K40">
        <v>10</v>
      </c>
      <c r="L40" s="10">
        <v>41212</v>
      </c>
      <c r="M40">
        <v>44</v>
      </c>
      <c r="N40">
        <v>2016</v>
      </c>
      <c r="O40" t="s">
        <v>75</v>
      </c>
      <c r="P40" t="s">
        <v>76</v>
      </c>
      <c r="Q40" t="s">
        <v>77</v>
      </c>
      <c r="R40" t="s">
        <v>73</v>
      </c>
      <c r="S40" t="s">
        <v>74</v>
      </c>
      <c r="T40" t="s">
        <v>75</v>
      </c>
      <c r="U40" t="s">
        <v>75</v>
      </c>
      <c r="V40" t="str">
        <f>min_hour(300)</f>
        <v>05:00</v>
      </c>
      <c r="W40" s="16"/>
      <c r="X40" t="s">
        <v>75</v>
      </c>
      <c r="Y40" t="s">
        <v>75</v>
      </c>
      <c r="Z40" t="s">
        <v>73</v>
      </c>
      <c r="AA40" t="s">
        <v>75</v>
      </c>
      <c r="AB40" t="s">
        <v>75</v>
      </c>
      <c r="AC40" t="s">
        <v>76</v>
      </c>
      <c r="AD40" t="s">
        <v>77</v>
      </c>
      <c r="AE40" t="s">
        <v>1287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hour_min($AF$40)+300-2280 )</f>
        <v>05:00</v>
      </c>
      <c r="AH40" s="16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1288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31:00</v>
      </c>
      <c r="AR40" t="str">
        <f>min_hour( hour_min($AQ$40)+-2280 + hour_min($AG$40))</f>
        <v>-02:00</v>
      </c>
      <c r="AS40" s="16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1278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02:00</v>
      </c>
      <c r="BD40" s="16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1279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02:00</v>
      </c>
      <c r="BO40" s="16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1280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42:00</v>
      </c>
      <c r="BY40" t="str">
        <f>min_hour( hour_min($BX$40)+-2280 + hour_min($BN$40))</f>
        <v>06:00</v>
      </c>
      <c r="BZ40" s="16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1281</v>
      </c>
      <c r="CI40" t="str">
        <f>min_hour(+IF($CA$40="M","420","0")+IF($CA$40="P","420","0")+IF($CA$40="F","420","0")+IF($CA$40="N","600","0")+IF($CA$40="M1","380","0")+IF($CA$40="P1","380","0")+IF($CA$40="L104","0","0")+IF($CA$40="MAL","0","0")+IF($CA$40="RC","0","0")+IF($CB$40="M","420","0")+IF($CB$40="P","420","0")+IF($CB$40="F","420","0")+IF($CB$40="N","600","0")+IF($CB$40="M1","380","0")+IF($CB$40="P1","380","0")+IF($CB$40="L104","0","0")+IF($CB$40="MAL","0","0")+IF($CB$40="RC","0","0")+IF($CC$40="M","420","0")+IF($CC$40="P","420","0")+IF($CC$40="F","420","0")+IF($CC$40="N","600","0")+IF($CC$40="M1","380","0")+IF($CC$40="P1","380","0")+IF($CC$40="L104","0","0")+IF($CC$40="MAL","0","0")+IF($CC$40="RC","0","0")+IF($CD$40="M","420","0")+IF($CD$40="P","420","0")+IF($CD$40="F","420","0")+IF($CD$40="N","600","0")+IF($CD$40="M1","380","0")+IF($CD$40="P1","380","0")+IF($CD$40="L104","0","0")+IF($CD$40="MAL","0","0")+IF($CD$40="RC","0","0")+IF($CE$40="M","420","0")+IF($CE$40="P","420","0")+IF($CE$40="F","420","0")+IF($CE$40="N","600","0")+IF($CE$40="M1","380","0")+IF($CE$40="P1","380","0")+IF($CE$40="L104","0","0")+IF($CE$40="MAL","0","0")+IF($CE$40="RC","0","0")+IF($CF$40="M","420","0")+IF($CF$40="P","420","0")+IF($CF$40="F","420","0")+IF($CF$40="N","600","0")+IF($CF$40="M1","380","0")+IF($CF$40="P1","380","0")+IF($CF$40="L104","0","0")+IF($CF$40="MAL","0","0")+IF($CF$40="RC","0","0")+IF($CG$40="M","420","0")+IF($CG$40="P","420","0")+IF($CG$40="F","420","0")+IF($CG$40="N","600","0")+IF($CG$40="M1","380","0")+IF($CG$40="P1","380","0")+IF($CG$40="L104","0","0")+IF($CG$40="MAL","0","0")+IF($CG$40="RC","0","0"))</f>
        <v>41:00</v>
      </c>
      <c r="CJ40" t="str">
        <f>min_hour( hour_min($CI$40)+-2280 + hour_min($BY$40))</f>
        <v>09:00</v>
      </c>
      <c r="CK40" s="16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1282</v>
      </c>
      <c r="CT40" t="str">
        <f>min_hour(+IF($CL$40="M","420","0")+IF($CL$40="P","420","0")+IF($CL$40="F","420","0")+IF($CL$40="N","600","0")+IF($CL$40="M1","380","0")+IF($CL$40="P1","380","0")+IF($CL$40="L104","0","0")+IF($CL$40="MAL","0","0")+IF($CL$40="RC","0","0")+IF($CM$40="M","420","0")+IF($CM$40="P","420","0")+IF($CM$40="F","420","0")+IF($CM$40="N","600","0")+IF($CM$40="M1","380","0")+IF($CM$40="P1","380","0")+IF($CM$40="L104","0","0")+IF($CM$40="MAL","0","0")+IF($CM$40="RC","0","0")+IF($CN$40="M","420","0")+IF($CN$40="P","420","0")+IF($CN$40="F","420","0")+IF($CN$40="N","600","0")+IF($CN$40="M1","380","0")+IF($CN$40="P1","380","0")+IF($CN$40="L104","0","0")+IF($CN$40="MAL","0","0")+IF($CN$40="RC","0","0")+IF($CO$40="M","420","0")+IF($CO$40="P","420","0")+IF($CO$40="F","420","0")+IF($CO$40="N","600","0")+IF($CO$40="M1","380","0")+IF($CO$40="P1","380","0")+IF($CO$40="L104","0","0")+IF($CO$40="MAL","0","0")+IF($CO$40="RC","0","0")+IF($CP$40="M","420","0")+IF($CP$40="P","420","0")+IF($CP$40="F","420","0")+IF($CP$40="N","600","0")+IF($CP$40="M1","380","0")+IF($CP$40="P1","380","0")+IF($CP$40="L104","0","0")+IF($CP$40="MAL","0","0")+IF($CP$40="RC","0","0")+IF($CQ$40="M","420","0")+IF($CQ$40="P","420","0")+IF($CQ$40="F","420","0")+IF($CQ$40="N","600","0")+IF($CQ$40="M1","380","0")+IF($CQ$40="P1","380","0")+IF($CQ$40="L104","0","0")+IF($CQ$40="MAL","0","0")+IF($CQ$40="RC","0","0")+IF($CR$40="M","420","0")+IF($CR$40="P","420","0")+IF($CR$40="F","420","0")+IF($CR$40="N","600","0")+IF($CR$40="M1","380","0")+IF($CR$40="P1","380","0")+IF($CR$40="L104","0","0")+IF($CR$40="MAL","0","0")+IF($CR$40="RC","0","0"))</f>
        <v>35:00</v>
      </c>
      <c r="CU40" t="str">
        <f>min_hour( hour_min($CT$40)+-2280 + hour_min($CJ$40))</f>
        <v>06:00</v>
      </c>
      <c r="CV40" s="16"/>
      <c r="CW40" t="s">
        <v>75</v>
      </c>
      <c r="CX40" t="s">
        <v>73</v>
      </c>
      <c r="CY40" t="s">
        <v>75</v>
      </c>
      <c r="CZ40" t="s">
        <v>74</v>
      </c>
      <c r="DA40" t="s">
        <v>74</v>
      </c>
      <c r="DB40" t="s">
        <v>75</v>
      </c>
      <c r="DC40" t="s">
        <v>73</v>
      </c>
      <c r="DD40" t="s">
        <v>1283</v>
      </c>
      <c r="DE40" t="str">
        <f>min_hour(+IF($CW$40="M","420","0")+IF($CW$40="P","420","0")+IF($CW$40="F","420","0")+IF($CW$40="N","600","0")+IF($CW$40="M1","380","0")+IF($CW$40="P1","380","0")+IF($CW$40="L104","0","0")+IF($CW$40="MAL","0","0")+IF($CW$40="RC","0","0")+IF($CX$40="M","420","0")+IF($CX$40="P","420","0")+IF($CX$40="F","420","0")+IF($CX$40="N","600","0")+IF($CX$40="M1","380","0")+IF($CX$40="P1","380","0")+IF($CX$40="L104","0","0")+IF($CX$40="MAL","0","0")+IF($CX$40="RC","0","0")+IF($CY$40="M","420","0")+IF($CY$40="P","420","0")+IF($CY$40="F","420","0")+IF($CY$40="N","600","0")+IF($CY$40="M1","380","0")+IF($CY$40="P1","380","0")+IF($CY$40="L104","0","0")+IF($CY$40="MAL","0","0")+IF($CY$40="RC","0","0")+IF($CZ$40="M","420","0")+IF($CZ$40="P","420","0")+IF($CZ$40="F","420","0")+IF($CZ$40="N","600","0")+IF($CZ$40="M1","380","0")+IF($CZ$40="P1","380","0")+IF($CZ$40="L104","0","0")+IF($CZ$40="MAL","0","0")+IF($CZ$40="RC","0","0")+IF($DA$40="M","420","0")+IF($DA$40="P","420","0")+IF($DA$40="F","420","0")+IF($DA$40="N","600","0")+IF($DA$40="M1","380","0")+IF($DA$40="P1","380","0")+IF($DA$40="L104","0","0")+IF($DA$40="MAL","0","0")+IF($DA$40="RC","0","0")+IF($DB$40="M","420","0")+IF($DB$40="P","420","0")+IF($DB$40="F","420","0")+IF($DB$40="N","600","0")+IF($DB$40="M1","380","0")+IF($DB$40="P1","380","0")+IF($DB$40="L104","0","0")+IF($DB$40="MAL","0","0")+IF($DB$40="RC","0","0")+IF($DC$40="M","420","0")+IF($DC$40="P","420","0")+IF($DC$40="F","420","0")+IF($DC$40="N","600","0")+IF($DC$40="M1","380","0")+IF($DC$40="P1","380","0")+IF($DC$40="L104","0","0")+IF($DC$40="MAL","0","0")+IF($DC$40="RC","0","0"))</f>
        <v>35:00</v>
      </c>
      <c r="DF40" t="str">
        <f>min_hour( hour_min($DE$40)+-2280 + hour_min($CU$40))</f>
        <v>03:00</v>
      </c>
    </row>
    <row r="41" spans="1:110">
      <c r="A41" t="s">
        <v>119</v>
      </c>
      <c r="B41" t="s">
        <v>53</v>
      </c>
      <c r="C41" t="s">
        <v>54</v>
      </c>
      <c r="I41" s="16"/>
      <c r="J41" t="s">
        <v>1272</v>
      </c>
      <c r="K41">
        <v>1</v>
      </c>
      <c r="L41" s="10">
        <v>41212</v>
      </c>
      <c r="M41">
        <v>44</v>
      </c>
      <c r="N41">
        <v>2016</v>
      </c>
      <c r="O41" t="s">
        <v>75</v>
      </c>
      <c r="P41" t="s">
        <v>74</v>
      </c>
      <c r="Q41" t="s">
        <v>75</v>
      </c>
      <c r="R41" t="s">
        <v>75</v>
      </c>
      <c r="S41" t="s">
        <v>73</v>
      </c>
      <c r="T41" t="s">
        <v>74</v>
      </c>
      <c r="U41" t="s">
        <v>75</v>
      </c>
      <c r="V41" t="str">
        <f>min_hour(1020)</f>
        <v>17:00</v>
      </c>
      <c r="W41" s="16"/>
      <c r="X41" t="s">
        <v>74</v>
      </c>
      <c r="Y41" t="s">
        <v>75</v>
      </c>
      <c r="Z41" t="s">
        <v>74</v>
      </c>
      <c r="AA41" t="s">
        <v>73</v>
      </c>
      <c r="AB41" t="s">
        <v>134</v>
      </c>
      <c r="AC41" t="s">
        <v>75</v>
      </c>
      <c r="AD41" t="s">
        <v>74</v>
      </c>
      <c r="AE41" t="s">
        <v>1325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35:00</v>
      </c>
      <c r="AG41" t="str">
        <f>min_hour( hour_min($AF$41)+1020-2280 )</f>
        <v>14:00</v>
      </c>
      <c r="AH41" s="16"/>
      <c r="AI41" t="s">
        <v>74</v>
      </c>
      <c r="AJ41" t="s">
        <v>74</v>
      </c>
      <c r="AK41" t="s">
        <v>73</v>
      </c>
      <c r="AL41" t="s">
        <v>134</v>
      </c>
      <c r="AM41" t="s">
        <v>134</v>
      </c>
      <c r="AN41" t="s">
        <v>74</v>
      </c>
      <c r="AO41" t="s">
        <v>75</v>
      </c>
      <c r="AP41" t="s">
        <v>1326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28:00</v>
      </c>
      <c r="AR41" t="str">
        <f>min_hour( hour_min($AQ$41)+-2280 + hour_min($AG$41))</f>
        <v>04:00</v>
      </c>
      <c r="AS41" s="16"/>
      <c r="AT41" t="s">
        <v>75</v>
      </c>
      <c r="AU41" t="s">
        <v>73</v>
      </c>
      <c r="AV41" t="s">
        <v>75</v>
      </c>
      <c r="AW41" t="s">
        <v>75</v>
      </c>
      <c r="AX41" t="s">
        <v>74</v>
      </c>
      <c r="AY41" t="s">
        <v>75</v>
      </c>
      <c r="AZ41" t="s">
        <v>134</v>
      </c>
      <c r="BA41" t="s">
        <v>1321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35:00</v>
      </c>
      <c r="BC41" t="str">
        <f>min_hour( hour_min($BB$41)+-2280 + hour_min($AR$41))</f>
        <v>01:00</v>
      </c>
      <c r="BD41" s="16"/>
      <c r="BE41" t="s">
        <v>73</v>
      </c>
      <c r="BF41" t="s">
        <v>75</v>
      </c>
      <c r="BG41" t="s">
        <v>75</v>
      </c>
      <c r="BH41" t="s">
        <v>74</v>
      </c>
      <c r="BI41" t="s">
        <v>75</v>
      </c>
      <c r="BJ41" t="s">
        <v>75</v>
      </c>
      <c r="BK41" t="s">
        <v>73</v>
      </c>
      <c r="BL41" t="s">
        <v>1322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35:00</v>
      </c>
      <c r="BN41" t="str">
        <f>min_hour( hour_min($BM$41)+-2280 + hour_min($BC$41))</f>
        <v>-02:00</v>
      </c>
      <c r="BO41" s="16"/>
      <c r="BP41" t="s">
        <v>75</v>
      </c>
      <c r="BQ41" t="s">
        <v>74</v>
      </c>
      <c r="BR41" t="s">
        <v>75</v>
      </c>
      <c r="BS41" t="s">
        <v>74</v>
      </c>
      <c r="BT41" t="s">
        <v>75</v>
      </c>
      <c r="BU41" t="s">
        <v>73</v>
      </c>
      <c r="BV41" t="s">
        <v>75</v>
      </c>
      <c r="BW41" t="s">
        <v>1323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02:00</v>
      </c>
      <c r="BZ41" s="16"/>
      <c r="CA41" t="s">
        <v>75</v>
      </c>
      <c r="CB41" t="s">
        <v>134</v>
      </c>
      <c r="CC41" t="s">
        <v>92</v>
      </c>
      <c r="CD41" t="s">
        <v>75</v>
      </c>
      <c r="CE41" t="s">
        <v>73</v>
      </c>
      <c r="CF41" t="s">
        <v>74</v>
      </c>
      <c r="CG41" t="s">
        <v>74</v>
      </c>
      <c r="CH41" t="s">
        <v>1324</v>
      </c>
      <c r="CI41" t="str">
        <f>min_hour(+IF($CA$41="M","420","0")+IF($CA$41="P","420","0")+IF($CA$41="F","420","0")+IF($CA$41="N","600","0")+IF($CA$41="M1","380","0")+IF($CA$41="P1","380","0")+IF($CA$41="L104","0","0")+IF($CA$41="MAL","0","0")+IF($CA$41="RC","0","0")+IF($CB$41="M","420","0")+IF($CB$41="P","420","0")+IF($CB$41="F","420","0")+IF($CB$41="N","600","0")+IF($CB$41="M1","380","0")+IF($CB$41="P1","380","0")+IF($CB$41="L104","0","0")+IF($CB$41="MAL","0","0")+IF($CB$41="RC","0","0")+IF($CC$41="M","420","0")+IF($CC$41="P","420","0")+IF($CC$41="F","420","0")+IF($CC$41="N","600","0")+IF($CC$41="M1","380","0")+IF($CC$41="P1","380","0")+IF($CC$41="L104","0","0")+IF($CC$41="MAL","0","0")+IF($CC$41="RC","0","0")+IF($CD$41="M","420","0")+IF($CD$41="P","420","0")+IF($CD$41="F","420","0")+IF($CD$41="N","600","0")+IF($CD$41="M1","380","0")+IF($CD$41="P1","380","0")+IF($CD$41="L104","0","0")+IF($CD$41="MAL","0","0")+IF($CD$41="RC","0","0")+IF($CE$41="M","420","0")+IF($CE$41="P","420","0")+IF($CE$41="F","420","0")+IF($CE$41="N","600","0")+IF($CE$41="M1","380","0")+IF($CE$41="P1","380","0")+IF($CE$41="L104","0","0")+IF($CE$41="MAL","0","0")+IF($CE$41="RC","0","0")+IF($CF$41="M","420","0")+IF($CF$41="P","420","0")+IF($CF$41="F","420","0")+IF($CF$41="N","600","0")+IF($CF$41="M1","380","0")+IF($CF$41="P1","380","0")+IF($CF$41="L104","0","0")+IF($CF$41="MAL","0","0")+IF($CF$41="RC","0","0")+IF($CG$41="M","420","0")+IF($CG$41="P","420","0")+IF($CG$41="F","420","0")+IF($CG$41="N","600","0")+IF($CG$41="M1","380","0")+IF($CG$41="P1","380","0")+IF($CG$41="L104","0","0")+IF($CG$41="MAL","0","0")+IF($CG$41="RC","0","0"))</f>
        <v>35:00</v>
      </c>
      <c r="CJ41" t="str">
        <f>min_hour( hour_min($CI$41)+-2280 + hour_min($BY$41))</f>
        <v>-01:00</v>
      </c>
      <c r="CK41" s="16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75</v>
      </c>
      <c r="CR41" t="s">
        <v>74</v>
      </c>
      <c r="CS41" t="s">
        <v>1325</v>
      </c>
      <c r="CT41" t="str">
        <f>min_hour(+IF($CL$41="M","420","0")+IF($CL$41="P","420","0")+IF($CL$41="F","420","0")+IF($CL$41="N","600","0")+IF($CL$41="M1","380","0")+IF($CL$41="P1","380","0")+IF($CL$41="L104","0","0")+IF($CL$41="MAL","0","0")+IF($CL$41="RC","0","0")+IF($CM$41="M","420","0")+IF($CM$41="P","420","0")+IF($CM$41="F","420","0")+IF($CM$41="N","600","0")+IF($CM$41="M1","380","0")+IF($CM$41="P1","380","0")+IF($CM$41="L104","0","0")+IF($CM$41="MAL","0","0")+IF($CM$41="RC","0","0")+IF($CN$41="M","420","0")+IF($CN$41="P","420","0")+IF($CN$41="F","420","0")+IF($CN$41="N","600","0")+IF($CN$41="M1","380","0")+IF($CN$41="P1","380","0")+IF($CN$41="L104","0","0")+IF($CN$41="MAL","0","0")+IF($CN$41="RC","0","0")+IF($CO$41="M","420","0")+IF($CO$41="P","420","0")+IF($CO$41="F","420","0")+IF($CO$41="N","600","0")+IF($CO$41="M1","380","0")+IF($CO$41="P1","380","0")+IF($CO$41="L104","0","0")+IF($CO$41="MAL","0","0")+IF($CO$41="RC","0","0")+IF($CP$41="M","420","0")+IF($CP$41="P","420","0")+IF($CP$41="F","420","0")+IF($CP$41="N","600","0")+IF($CP$41="M1","380","0")+IF($CP$41="P1","380","0")+IF($CP$41="L104","0","0")+IF($CP$41="MAL","0","0")+IF($CP$41="RC","0","0")+IF($CQ$41="M","420","0")+IF($CQ$41="P","420","0")+IF($CQ$41="F","420","0")+IF($CQ$41="N","600","0")+IF($CQ$41="M1","380","0")+IF($CQ$41="P1","380","0")+IF($CQ$41="L104","0","0")+IF($CQ$41="MAL","0","0")+IF($CQ$41="RC","0","0")+IF($CR$41="M","420","0")+IF($CR$41="P","420","0")+IF($CR$41="F","420","0")+IF($CR$41="N","600","0")+IF($CR$41="M1","380","0")+IF($CR$41="P1","380","0")+IF($CR$41="L104","0","0")+IF($CR$41="MAL","0","0")+IF($CR$41="RC","0","0"))</f>
        <v>42:00</v>
      </c>
      <c r="CU41" t="str">
        <f>min_hour( hour_min($CT$41)+-2280 + hour_min($CJ$41))</f>
        <v>03:00</v>
      </c>
      <c r="CV41" s="16"/>
      <c r="CW41" t="s">
        <v>74</v>
      </c>
      <c r="CX41" t="s">
        <v>134</v>
      </c>
      <c r="CY41" t="s">
        <v>73</v>
      </c>
      <c r="CZ41" t="s">
        <v>75</v>
      </c>
      <c r="DA41" t="s">
        <v>75</v>
      </c>
      <c r="DB41" t="s">
        <v>74</v>
      </c>
      <c r="DC41" t="s">
        <v>73</v>
      </c>
      <c r="DD41" t="s">
        <v>1326</v>
      </c>
      <c r="DE41" t="str">
        <f>min_hour(+IF($CW$41="M","420","0")+IF($CW$41="P","420","0")+IF($CW$41="F","420","0")+IF($CW$41="N","600","0")+IF($CW$41="M1","380","0")+IF($CW$41="P1","380","0")+IF($CW$41="L104","0","0")+IF($CW$41="MAL","0","0")+IF($CW$41="RC","0","0")+IF($CX$41="M","420","0")+IF($CX$41="P","420","0")+IF($CX$41="F","420","0")+IF($CX$41="N","600","0")+IF($CX$41="M1","380","0")+IF($CX$41="P1","380","0")+IF($CX$41="L104","0","0")+IF($CX$41="MAL","0","0")+IF($CX$41="RC","0","0")+IF($CY$41="M","420","0")+IF($CY$41="P","420","0")+IF($CY$41="F","420","0")+IF($CY$41="N","600","0")+IF($CY$41="M1","380","0")+IF($CY$41="P1","380","0")+IF($CY$41="L104","0","0")+IF($CY$41="MAL","0","0")+IF($CY$41="RC","0","0")+IF($CZ$41="M","420","0")+IF($CZ$41="P","420","0")+IF($CZ$41="F","420","0")+IF($CZ$41="N","600","0")+IF($CZ$41="M1","380","0")+IF($CZ$41="P1","380","0")+IF($CZ$41="L104","0","0")+IF($CZ$41="MAL","0","0")+IF($CZ$41="RC","0","0")+IF($DA$41="M","420","0")+IF($DA$41="P","420","0")+IF($DA$41="F","420","0")+IF($DA$41="N","600","0")+IF($DA$41="M1","380","0")+IF($DA$41="P1","380","0")+IF($DA$41="L104","0","0")+IF($DA$41="MAL","0","0")+IF($DA$41="RC","0","0")+IF($DB$41="M","420","0")+IF($DB$41="P","420","0")+IF($DB$41="F","420","0")+IF($DB$41="N","600","0")+IF($DB$41="M1","380","0")+IF($DB$41="P1","380","0")+IF($DB$41="L104","0","0")+IF($DB$41="MAL","0","0")+IF($DB$41="RC","0","0")+IF($DC$41="M","420","0")+IF($DC$41="P","420","0")+IF($DC$41="F","420","0")+IF($DC$41="N","600","0")+IF($DC$41="M1","380","0")+IF($DC$41="P1","380","0")+IF($DC$41="L104","0","0")+IF($DC$41="MAL","0","0")+IF($DC$41="RC","0","0"))</f>
        <v>28:00</v>
      </c>
      <c r="DF41" t="str">
        <f>min_hour( hour_min($DE$41)+-2280 + hour_min($CU$41))</f>
        <v>-07:00</v>
      </c>
    </row>
    <row r="42" spans="1:110">
      <c r="A42" t="s">
        <v>1292</v>
      </c>
      <c r="B42" t="s">
        <v>1289</v>
      </c>
      <c r="C42" t="s">
        <v>132</v>
      </c>
      <c r="I42" s="16"/>
      <c r="J42" t="s">
        <v>1272</v>
      </c>
      <c r="K42">
        <v>3</v>
      </c>
      <c r="L42" s="10">
        <v>41212</v>
      </c>
      <c r="M42">
        <v>44</v>
      </c>
      <c r="N42">
        <v>2016</v>
      </c>
      <c r="O42" t="s">
        <v>74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75</v>
      </c>
      <c r="V42" t="str">
        <f>min_hour(-60)</f>
        <v>-01:00</v>
      </c>
      <c r="W42" s="16"/>
      <c r="X42" t="s">
        <v>75</v>
      </c>
      <c r="Y42" t="s">
        <v>73</v>
      </c>
      <c r="Z42" t="s">
        <v>74</v>
      </c>
      <c r="AA42" t="s">
        <v>75</v>
      </c>
      <c r="AB42" t="s">
        <v>74</v>
      </c>
      <c r="AC42" t="s">
        <v>75</v>
      </c>
      <c r="AD42" t="s">
        <v>75</v>
      </c>
      <c r="AE42" t="s">
        <v>1321</v>
      </c>
      <c r="AF42" t="str">
        <f>min_hour(+IF($X$42="M","420","0")+IF($X$42="P","420","0")+IF($X$42="F","420","0")+IF($X$42="N","600","0")+IF($X$42="M1","380","0")+IF($X$42="P1","380","0")+IF($X$42="L104","0","0")+IF($X$42="MAL","0","0")+IF($X$42="RC","0","0")+IF($Y$42="M","420","0")+IF($Y$42="P","420","0")+IF($Y$42="F","420","0")+IF($Y$42="N","600","0")+IF($Y$42="M1","380","0")+IF($Y$42="P1","380","0")+IF($Y$42="L104","0","0")+IF($Y$42="MAL","0","0")+IF($Y$42="RC","0","0")+IF($Z$42="M","420","0")+IF($Z$42="P","420","0")+IF($Z$42="F","420","0")+IF($Z$42="N","600","0")+IF($Z$42="M1","380","0")+IF($Z$42="P1","380","0")+IF($Z$42="L104","0","0")+IF($Z$42="MAL","0","0")+IF($Z$42="RC","0","0")+IF($AA$42="M","420","0")+IF($AA$42="P","420","0")+IF($AA$42="F","420","0")+IF($AA$42="N","600","0")+IF($AA$42="M1","380","0")+IF($AA$42="P1","380","0")+IF($AA$42="L104","0","0")+IF($AA$42="MAL","0","0")+IF($AA$42="RC","0","0")+IF($AB$42="M","420","0")+IF($AB$42="P","420","0")+IF($AB$42="F","420","0")+IF($AB$42="N","600","0")+IF($AB$42="M1","380","0")+IF($AB$42="P1","380","0")+IF($AB$42="L104","0","0")+IF($AB$42="MAL","0","0")+IF($AB$42="RC","0","0")+IF($AC$42="M","420","0")+IF($AC$42="P","420","0")+IF($AC$42="F","420","0")+IF($AC$42="N","600","0")+IF($AC$42="M1","380","0")+IF($AC$42="P1","380","0")+IF($AC$42="L104","0","0")+IF($AC$42="MAL","0","0")+IF($AC$42="RC","0","0")+IF($AD$42="M","420","0")+IF($AD$42="P","420","0")+IF($AD$42="F","420","0")+IF($AD$42="N","600","0")+IF($AD$42="M1","380","0")+IF($AD$42="P1","380","0")+IF($AD$42="L104","0","0")+IF($AD$42="MAL","0","0")+IF($AD$42="RC","0","0"))</f>
        <v>42:00</v>
      </c>
      <c r="AG42" t="str">
        <f>min_hour( hour_min($AF$42)+-60-2280 )</f>
        <v>03:00</v>
      </c>
      <c r="AH42" s="16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1322</v>
      </c>
      <c r="AQ42" t="str">
        <f>min_hour(+IF($AI$42="M","420","0")+IF($AI$42="P","420","0")+IF($AI$42="F","420","0")+IF($AI$42="N","600","0")+IF($AI$42="M1","380","0")+IF($AI$42="P1","380","0")+IF($AI$42="L104","0","0")+IF($AI$42="MAL","0","0")+IF($AI$42="RC","0","0")+IF($AJ$42="M","420","0")+IF($AJ$42="P","420","0")+IF($AJ$42="F","420","0")+IF($AJ$42="N","600","0")+IF($AJ$42="M1","380","0")+IF($AJ$42="P1","380","0")+IF($AJ$42="L104","0","0")+IF($AJ$42="MAL","0","0")+IF($AJ$42="RC","0","0")+IF($AK$42="M","420","0")+IF($AK$42="P","420","0")+IF($AK$42="F","420","0")+IF($AK$42="N","600","0")+IF($AK$42="M1","380","0")+IF($AK$42="P1","380","0")+IF($AK$42="L104","0","0")+IF($AK$42="MAL","0","0")+IF($AK$42="RC","0","0")+IF($AL$42="M","420","0")+IF($AL$42="P","420","0")+IF($AL$42="F","420","0")+IF($AL$42="N","600","0")+IF($AL$42="M1","380","0")+IF($AL$42="P1","380","0")+IF($AL$42="L104","0","0")+IF($AL$42="MAL","0","0")+IF($AL$42="RC","0","0")+IF($AM$42="M","420","0")+IF($AM$42="P","420","0")+IF($AM$42="F","420","0")+IF($AM$42="N","600","0")+IF($AM$42="M1","380","0")+IF($AM$42="P1","380","0")+IF($AM$42="L104","0","0")+IF($AM$42="MAL","0","0")+IF($AM$42="RC","0","0")+IF($AN$42="M","420","0")+IF($AN$42="P","420","0")+IF($AN$42="F","420","0")+IF($AN$42="N","600","0")+IF($AN$42="M1","380","0")+IF($AN$42="P1","380","0")+IF($AN$42="L104","0","0")+IF($AN$42="MAL","0","0")+IF($AN$42="RC","0","0")+IF($AO$42="M","420","0")+IF($AO$42="P","420","0")+IF($AO$42="F","420","0")+IF($AO$42="N","600","0")+IF($AO$42="M1","380","0")+IF($AO$42="P1","380","0")+IF($AO$42="L104","0","0")+IF($AO$42="MAL","0","0")+IF($AO$42="RC","0","0"))</f>
        <v>35:00</v>
      </c>
      <c r="AR42" t="str">
        <f>min_hour( hour_min($AQ$42)+-2280 + hour_min($AG$42))</f>
        <v>00:00</v>
      </c>
      <c r="AS42" s="16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1323</v>
      </c>
      <c r="BB42" t="str">
        <f>min_hour(+IF($AT$42="M","420","0")+IF($AT$42="P","420","0")+IF($AT$42="F","420","0")+IF($AT$42="N","600","0")+IF($AT$42="M1","380","0")+IF($AT$42="P1","380","0")+IF($AT$42="L104","0","0")+IF($AT$42="MAL","0","0")+IF($AT$42="RC","0","0")+IF($AU$42="M","420","0")+IF($AU$42="P","420","0")+IF($AU$42="F","420","0")+IF($AU$42="N","600","0")+IF($AU$42="M1","380","0")+IF($AU$42="P1","380","0")+IF($AU$42="L104","0","0")+IF($AU$42="MAL","0","0")+IF($AU$42="RC","0","0")+IF($AV$42="M","420","0")+IF($AV$42="P","420","0")+IF($AV$42="F","420","0")+IF($AV$42="N","600","0")+IF($AV$42="M1","380","0")+IF($AV$42="P1","380","0")+IF($AV$42="L104","0","0")+IF($AV$42="MAL","0","0")+IF($AV$42="RC","0","0")+IF($AW$42="M","420","0")+IF($AW$42="P","420","0")+IF($AW$42="F","420","0")+IF($AW$42="N","600","0")+IF($AW$42="M1","380","0")+IF($AW$42="P1","380","0")+IF($AW$42="L104","0","0")+IF($AW$42="MAL","0","0")+IF($AW$42="RC","0","0")+IF($AX$42="M","420","0")+IF($AX$42="P","420","0")+IF($AX$42="F","420","0")+IF($AX$42="N","600","0")+IF($AX$42="M1","380","0")+IF($AX$42="P1","380","0")+IF($AX$42="L104","0","0")+IF($AX$42="MAL","0","0")+IF($AX$42="RC","0","0")+IF($AY$42="M","420","0")+IF($AY$42="P","420","0")+IF($AY$42="F","420","0")+IF($AY$42="N","600","0")+IF($AY$42="M1","380","0")+IF($AY$42="P1","380","0")+IF($AY$42="L104","0","0")+IF($AY$42="MAL","0","0")+IF($AY$42="RC","0","0")+IF($AZ$42="M","420","0")+IF($AZ$42="P","420","0")+IF($AZ$42="F","420","0")+IF($AZ$42="N","600","0")+IF($AZ$42="M1","380","0")+IF($AZ$42="P1","380","0")+IF($AZ$42="L104","0","0")+IF($AZ$42="MAL","0","0")+IF($AZ$42="RC","0","0"))</f>
        <v>42:00</v>
      </c>
      <c r="BC42" t="str">
        <f>min_hour( hour_min($BB$42)+-2280 + hour_min($AR$42))</f>
        <v>04:00</v>
      </c>
      <c r="BD42" s="16"/>
      <c r="BE42" t="s">
        <v>75</v>
      </c>
      <c r="BF42" t="s">
        <v>74</v>
      </c>
      <c r="BG42" t="s">
        <v>75</v>
      </c>
      <c r="BH42" t="s">
        <v>75</v>
      </c>
      <c r="BI42" t="s">
        <v>73</v>
      </c>
      <c r="BJ42" t="s">
        <v>74</v>
      </c>
      <c r="BK42" t="s">
        <v>74</v>
      </c>
      <c r="BL42" t="s">
        <v>1324</v>
      </c>
      <c r="BM42" t="str">
        <f>min_hour(+IF($BE$42="M","420","0")+IF($BE$42="P","420","0")+IF($BE$42="F","420","0")+IF($BE$42="N","600","0")+IF($BE$42="M1","380","0")+IF($BE$42="P1","380","0")+IF($BE$42="L104","0","0")+IF($BE$42="MAL","0","0")+IF($BE$42="RC","0","0")+IF($BF$42="M","420","0")+IF($BF$42="P","420","0")+IF($BF$42="F","420","0")+IF($BF$42="N","600","0")+IF($BF$42="M1","380","0")+IF($BF$42="P1","380","0")+IF($BF$42="L104","0","0")+IF($BF$42="MAL","0","0")+IF($BF$42="RC","0","0")+IF($BG$42="M","420","0")+IF($BG$42="P","420","0")+IF($BG$42="F","420","0")+IF($BG$42="N","600","0")+IF($BG$42="M1","380","0")+IF($BG$42="P1","380","0")+IF($BG$42="L104","0","0")+IF($BG$42="MAL","0","0")+IF($BG$42="RC","0","0")+IF($BH$42="M","420","0")+IF($BH$42="P","420","0")+IF($BH$42="F","420","0")+IF($BH$42="N","600","0")+IF($BH$42="M1","380","0")+IF($BH$42="P1","380","0")+IF($BH$42="L104","0","0")+IF($BH$42="MAL","0","0")+IF($BH$42="RC","0","0")+IF($BI$42="M","420","0")+IF($BI$42="P","420","0")+IF($BI$42="F","420","0")+IF($BI$42="N","600","0")+IF($BI$42="M1","380","0")+IF($BI$42="P1","380","0")+IF($BI$42="L104","0","0")+IF($BI$42="MAL","0","0")+IF($BI$42="RC","0","0")+IF($BJ$42="M","420","0")+IF($BJ$42="P","420","0")+IF($BJ$42="F","420","0")+IF($BJ$42="N","600","0")+IF($BJ$42="M1","380","0")+IF($BJ$42="P1","380","0")+IF($BJ$42="L104","0","0")+IF($BJ$42="MAL","0","0")+IF($BJ$42="RC","0","0")+IF($BK$42="M","420","0")+IF($BK$42="P","420","0")+IF($BK$42="F","420","0")+IF($BK$42="N","600","0")+IF($BK$42="M1","380","0")+IF($BK$42="P1","380","0")+IF($BK$42="L104","0","0")+IF($BK$42="MAL","0","0")+IF($BK$42="RC","0","0"))</f>
        <v>42:00</v>
      </c>
      <c r="BN42" t="str">
        <f>min_hour( hour_min($BM$42)+-2280 + hour_min($BC$42))</f>
        <v>08:00</v>
      </c>
      <c r="BO42" s="16"/>
      <c r="BP42" t="s">
        <v>74</v>
      </c>
      <c r="BQ42" t="s">
        <v>134</v>
      </c>
      <c r="BR42" t="s">
        <v>73</v>
      </c>
      <c r="BS42" t="s">
        <v>74</v>
      </c>
      <c r="BT42" t="s">
        <v>74</v>
      </c>
      <c r="BU42" t="s">
        <v>75</v>
      </c>
      <c r="BV42" t="s">
        <v>74</v>
      </c>
      <c r="BW42" t="s">
        <v>1325</v>
      </c>
      <c r="BX42" t="str">
        <f>min_hour(+IF($BP$42="M","420","0")+IF($BP$42="P","420","0")+IF($BP$42="F","420","0")+IF($BP$42="N","600","0")+IF($BP$42="M1","380","0")+IF($BP$42="P1","380","0")+IF($BP$42="L104","0","0")+IF($BP$42="MAL","0","0")+IF($BP$42="RC","0","0")+IF($BQ$42="M","420","0")+IF($BQ$42="P","420","0")+IF($BQ$42="F","420","0")+IF($BQ$42="N","600","0")+IF($BQ$42="M1","380","0")+IF($BQ$42="P1","380","0")+IF($BQ$42="L104","0","0")+IF($BQ$42="MAL","0","0")+IF($BQ$42="RC","0","0")+IF($BR$42="M","420","0")+IF($BR$42="P","420","0")+IF($BR$42="F","420","0")+IF($BR$42="N","600","0")+IF($BR$42="M1","380","0")+IF($BR$42="P1","380","0")+IF($BR$42="L104","0","0")+IF($BR$42="MAL","0","0")+IF($BR$42="RC","0","0")+IF($BS$42="M","420","0")+IF($BS$42="P","420","0")+IF($BS$42="F","420","0")+IF($BS$42="N","600","0")+IF($BS$42="M1","380","0")+IF($BS$42="P1","380","0")+IF($BS$42="L104","0","0")+IF($BS$42="MAL","0","0")+IF($BS$42="RC","0","0")+IF($BT$42="M","420","0")+IF($BT$42="P","420","0")+IF($BT$42="F","420","0")+IF($BT$42="N","600","0")+IF($BT$42="M1","380","0")+IF($BT$42="P1","380","0")+IF($BT$42="L104","0","0")+IF($BT$42="MAL","0","0")+IF($BT$42="RC","0","0")+IF($BU$42="M","420","0")+IF($BU$42="P","420","0")+IF($BU$42="F","420","0")+IF($BU$42="N","600","0")+IF($BU$42="M1","380","0")+IF($BU$42="P1","380","0")+IF($BU$42="L104","0","0")+IF($BU$42="MAL","0","0")+IF($BU$42="RC","0","0")+IF($BV$42="M","420","0")+IF($BV$42="P","420","0")+IF($BV$42="F","420","0")+IF($BV$42="N","600","0")+IF($BV$42="M1","380","0")+IF($BV$42="P1","380","0")+IF($BV$42="L104","0","0")+IF($BV$42="MAL","0","0")+IF($BV$42="RC","0","0"))</f>
        <v>35:00</v>
      </c>
      <c r="BY42" t="str">
        <f>min_hour( hour_min($BX$42)+-2280 + hour_min($BN$42))</f>
        <v>05:00</v>
      </c>
      <c r="BZ42" s="16"/>
      <c r="CA42" t="s">
        <v>74</v>
      </c>
      <c r="CB42" t="s">
        <v>73</v>
      </c>
      <c r="CC42" t="s">
        <v>75</v>
      </c>
      <c r="CD42" t="s">
        <v>134</v>
      </c>
      <c r="CE42" t="s">
        <v>75</v>
      </c>
      <c r="CF42" t="s">
        <v>74</v>
      </c>
      <c r="CG42" t="s">
        <v>75</v>
      </c>
      <c r="CH42" t="s">
        <v>1326</v>
      </c>
      <c r="CI42" t="str">
        <f>min_hour(+IF($CA$42="M","420","0")+IF($CA$42="P","420","0")+IF($CA$42="F","420","0")+IF($CA$42="N","600","0")+IF($CA$42="M1","380","0")+IF($CA$42="P1","380","0")+IF($CA$42="L104","0","0")+IF($CA$42="MAL","0","0")+IF($CA$42="RC","0","0")+IF($CB$42="M","420","0")+IF($CB$42="P","420","0")+IF($CB$42="F","420","0")+IF($CB$42="N","600","0")+IF($CB$42="M1","380","0")+IF($CB$42="P1","380","0")+IF($CB$42="L104","0","0")+IF($CB$42="MAL","0","0")+IF($CB$42="RC","0","0")+IF($CC$42="M","420","0")+IF($CC$42="P","420","0")+IF($CC$42="F","420","0")+IF($CC$42="N","600","0")+IF($CC$42="M1","380","0")+IF($CC$42="P1","380","0")+IF($CC$42="L104","0","0")+IF($CC$42="MAL","0","0")+IF($CC$42="RC","0","0")+IF($CD$42="M","420","0")+IF($CD$42="P","420","0")+IF($CD$42="F","420","0")+IF($CD$42="N","600","0")+IF($CD$42="M1","380","0")+IF($CD$42="P1","380","0")+IF($CD$42="L104","0","0")+IF($CD$42="MAL","0","0")+IF($CD$42="RC","0","0")+IF($CE$42="M","420","0")+IF($CE$42="P","420","0")+IF($CE$42="F","420","0")+IF($CE$42="N","600","0")+IF($CE$42="M1","380","0")+IF($CE$42="P1","380","0")+IF($CE$42="L104","0","0")+IF($CE$42="MAL","0","0")+IF($CE$42="RC","0","0")+IF($CF$42="M","420","0")+IF($CF$42="P","420","0")+IF($CF$42="F","420","0")+IF($CF$42="N","600","0")+IF($CF$42="M1","380","0")+IF($CF$42="P1","380","0")+IF($CF$42="L104","0","0")+IF($CF$42="MAL","0","0")+IF($CF$42="RC","0","0")+IF($CG$42="M","420","0")+IF($CG$42="P","420","0")+IF($CG$42="F","420","0")+IF($CG$42="N","600","0")+IF($CG$42="M1","380","0")+IF($CG$42="P1","380","0")+IF($CG$42="L104","0","0")+IF($CG$42="MAL","0","0")+IF($CG$42="RC","0","0"))</f>
        <v>35:00</v>
      </c>
      <c r="CJ42" t="str">
        <f>min_hour( hour_min($CI$42)+-2280 + hour_min($BY$42))</f>
        <v>02:00</v>
      </c>
      <c r="CK42" s="16"/>
      <c r="CL42" t="s">
        <v>75</v>
      </c>
      <c r="CM42" t="s">
        <v>73</v>
      </c>
      <c r="CN42" t="s">
        <v>134</v>
      </c>
      <c r="CO42" t="s">
        <v>73</v>
      </c>
      <c r="CP42" t="s">
        <v>74</v>
      </c>
      <c r="CQ42" t="s">
        <v>75</v>
      </c>
      <c r="CR42" t="s">
        <v>75</v>
      </c>
      <c r="CS42" t="s">
        <v>1321</v>
      </c>
      <c r="CT42" t="str">
        <f>min_hour(+IF($CL$42="M","420","0")+IF($CL$42="P","420","0")+IF($CL$42="F","420","0")+IF($CL$42="N","600","0")+IF($CL$42="M1","380","0")+IF($CL$42="P1","380","0")+IF($CL$42="L104","0","0")+IF($CL$42="MAL","0","0")+IF($CL$42="RC","0","0")+IF($CM$42="M","420","0")+IF($CM$42="P","420","0")+IF($CM$42="F","420","0")+IF($CM$42="N","600","0")+IF($CM$42="M1","380","0")+IF($CM$42="P1","380","0")+IF($CM$42="L104","0","0")+IF($CM$42="MAL","0","0")+IF($CM$42="RC","0","0")+IF($CN$42="M","420","0")+IF($CN$42="P","420","0")+IF($CN$42="F","420","0")+IF($CN$42="N","600","0")+IF($CN$42="M1","380","0")+IF($CN$42="P1","380","0")+IF($CN$42="L104","0","0")+IF($CN$42="MAL","0","0")+IF($CN$42="RC","0","0")+IF($CO$42="M","420","0")+IF($CO$42="P","420","0")+IF($CO$42="F","420","0")+IF($CO$42="N","600","0")+IF($CO$42="M1","380","0")+IF($CO$42="P1","380","0")+IF($CO$42="L104","0","0")+IF($CO$42="MAL","0","0")+IF($CO$42="RC","0","0")+IF($CP$42="M","420","0")+IF($CP$42="P","420","0")+IF($CP$42="F","420","0")+IF($CP$42="N","600","0")+IF($CP$42="M1","380","0")+IF($CP$42="P1","380","0")+IF($CP$42="L104","0","0")+IF($CP$42="MAL","0","0")+IF($CP$42="RC","0","0")+IF($CQ$42="M","420","0")+IF($CQ$42="P","420","0")+IF($CQ$42="F","420","0")+IF($CQ$42="N","600","0")+IF($CQ$42="M1","380","0")+IF($CQ$42="P1","380","0")+IF($CQ$42="L104","0","0")+IF($CQ$42="MAL","0","0")+IF($CQ$42="RC","0","0")+IF($CR$42="M","420","0")+IF($CR$42="P","420","0")+IF($CR$42="F","420","0")+IF($CR$42="N","600","0")+IF($CR$42="M1","380","0")+IF($CR$42="P1","380","0")+IF($CR$42="L104","0","0")+IF($CR$42="MAL","0","0")+IF($CR$42="RC","0","0"))</f>
        <v>28:00</v>
      </c>
      <c r="CU42" t="str">
        <f>min_hour( hour_min($CT$42)+-2280 + hour_min($CJ$42))</f>
        <v>-08:00</v>
      </c>
      <c r="CV42" s="16"/>
      <c r="CW42" t="s">
        <v>76</v>
      </c>
      <c r="CX42" t="s">
        <v>77</v>
      </c>
      <c r="CY42" t="s">
        <v>73</v>
      </c>
      <c r="CZ42" t="s">
        <v>74</v>
      </c>
      <c r="DA42" t="s">
        <v>75</v>
      </c>
      <c r="DB42" t="s">
        <v>75</v>
      </c>
      <c r="DC42" t="s">
        <v>73</v>
      </c>
      <c r="DD42" t="s">
        <v>1322</v>
      </c>
      <c r="DE42" t="str">
        <f>min_hour(+IF($CW$42="M","420","0")+IF($CW$42="P","420","0")+IF($CW$42="F","420","0")+IF($CW$42="N","600","0")+IF($CW$42="M1","380","0")+IF($CW$42="P1","380","0")+IF($CW$42="L104","0","0")+IF($CW$42="MAL","0","0")+IF($CW$42="RC","0","0")+IF($CX$42="M","420","0")+IF($CX$42="P","420","0")+IF($CX$42="F","420","0")+IF($CX$42="N","600","0")+IF($CX$42="M1","380","0")+IF($CX$42="P1","380","0")+IF($CX$42="L104","0","0")+IF($CX$42="MAL","0","0")+IF($CX$42="RC","0","0")+IF($CY$42="M","420","0")+IF($CY$42="P","420","0")+IF($CY$42="F","420","0")+IF($CY$42="N","600","0")+IF($CY$42="M1","380","0")+IF($CY$42="P1","380","0")+IF($CY$42="L104","0","0")+IF($CY$42="MAL","0","0")+IF($CY$42="RC","0","0")+IF($CZ$42="M","420","0")+IF($CZ$42="P","420","0")+IF($CZ$42="F","420","0")+IF($CZ$42="N","600","0")+IF($CZ$42="M1","380","0")+IF($CZ$42="P1","380","0")+IF($CZ$42="L104","0","0")+IF($CZ$42="MAL","0","0")+IF($CZ$42="RC","0","0")+IF($DA$42="M","420","0")+IF($DA$42="P","420","0")+IF($DA$42="F","420","0")+IF($DA$42="N","600","0")+IF($DA$42="M1","380","0")+IF($DA$42="P1","380","0")+IF($DA$42="L104","0","0")+IF($DA$42="MAL","0","0")+IF($DA$42="RC","0","0")+IF($DB$42="M","420","0")+IF($DB$42="P","420","0")+IF($DB$42="F","420","0")+IF($DB$42="N","600","0")+IF($DB$42="M1","380","0")+IF($DB$42="P1","380","0")+IF($DB$42="L104","0","0")+IF($DB$42="MAL","0","0")+IF($DB$42="RC","0","0")+IF($DC$42="M","420","0")+IF($DC$42="P","420","0")+IF($DC$42="F","420","0")+IF($DC$42="N","600","0")+IF($DC$42="M1","380","0")+IF($DC$42="P1","380","0")+IF($DC$42="L104","0","0")+IF($DC$42="MAL","0","0")+IF($DC$42="RC","0","0"))</f>
        <v>31:00</v>
      </c>
      <c r="DF42" t="str">
        <f>min_hour( hour_min($DE$42)+-2280 + hour_min($CU$42))</f>
        <v>-15:00</v>
      </c>
    </row>
    <row r="43" spans="1:110">
      <c r="A43" t="s">
        <v>1294</v>
      </c>
      <c r="B43" t="s">
        <v>1290</v>
      </c>
      <c r="C43" t="s">
        <v>132</v>
      </c>
      <c r="I43" s="16"/>
      <c r="J43" t="s">
        <v>1272</v>
      </c>
      <c r="K43">
        <v>6</v>
      </c>
      <c r="L43" s="10">
        <v>41212</v>
      </c>
      <c r="M43">
        <v>44</v>
      </c>
      <c r="N43">
        <v>2016</v>
      </c>
      <c r="O43" t="s">
        <v>75</v>
      </c>
      <c r="P43" t="s">
        <v>75</v>
      </c>
      <c r="Q43" t="s">
        <v>74</v>
      </c>
      <c r="R43" t="s">
        <v>75</v>
      </c>
      <c r="S43" t="s">
        <v>75</v>
      </c>
      <c r="T43" t="s">
        <v>73</v>
      </c>
      <c r="U43" t="s">
        <v>74</v>
      </c>
      <c r="V43" t="str">
        <f>min_hour(-480)</f>
        <v>-08:00</v>
      </c>
      <c r="W43" s="16"/>
      <c r="X43" t="s">
        <v>75</v>
      </c>
      <c r="Y43" t="s">
        <v>74</v>
      </c>
      <c r="Z43" t="s">
        <v>75</v>
      </c>
      <c r="AA43" t="s">
        <v>75</v>
      </c>
      <c r="AB43" t="s">
        <v>73</v>
      </c>
      <c r="AC43" t="s">
        <v>74</v>
      </c>
      <c r="AD43" t="s">
        <v>92</v>
      </c>
      <c r="AE43" t="s">
        <v>1324</v>
      </c>
      <c r="AF43" t="str">
        <f>min_hour(+IF($X$43="M","420","0")+IF($X$43="P","420","0")+IF($X$43="F","420","0")+IF($X$43="N","600","0")+IF($X$43="M1","380","0")+IF($X$43="P1","380","0")+IF($X$43="L104","0","0")+IF($X$43="MAL","0","0")+IF($X$43="RC","0","0")+IF($Y$43="M","420","0")+IF($Y$43="P","420","0")+IF($Y$43="F","420","0")+IF($Y$43="N","600","0")+IF($Y$43="M1","380","0")+IF($Y$43="P1","380","0")+IF($Y$43="L104","0","0")+IF($Y$43="MAL","0","0")+IF($Y$43="RC","0","0")+IF($Z$43="M","420","0")+IF($Z$43="P","420","0")+IF($Z$43="F","420","0")+IF($Z$43="N","600","0")+IF($Z$43="M1","380","0")+IF($Z$43="P1","380","0")+IF($Z$43="L104","0","0")+IF($Z$43="MAL","0","0")+IF($Z$43="RC","0","0")+IF($AA$43="M","420","0")+IF($AA$43="P","420","0")+IF($AA$43="F","420","0")+IF($AA$43="N","600","0")+IF($AA$43="M1","380","0")+IF($AA$43="P1","380","0")+IF($AA$43="L104","0","0")+IF($AA$43="MAL","0","0")+IF($AA$43="RC","0","0")+IF($AB$43="M","420","0")+IF($AB$43="P","420","0")+IF($AB$43="F","420","0")+IF($AB$43="N","600","0")+IF($AB$43="M1","380","0")+IF($AB$43="P1","380","0")+IF($AB$43="L104","0","0")+IF($AB$43="MAL","0","0")+IF($AB$43="RC","0","0")+IF($AC$43="M","420","0")+IF($AC$43="P","420","0")+IF($AC$43="F","420","0")+IF($AC$43="N","600","0")+IF($AC$43="M1","380","0")+IF($AC$43="P1","380","0")+IF($AC$43="L104","0","0")+IF($AC$43="MAL","0","0")+IF($AC$43="RC","0","0")+IF($AD$43="M","420","0")+IF($AD$43="P","420","0")+IF($AD$43="F","420","0")+IF($AD$43="N","600","0")+IF($AD$43="M1","380","0")+IF($AD$43="P1","380","0")+IF($AD$43="L104","0","0")+IF($AD$43="MAL","0","0")+IF($AD$43="RC","0","0"))</f>
        <v>42:00</v>
      </c>
      <c r="AG43" t="str">
        <f>min_hour( hour_min($AF$43)+-480-2280 )</f>
        <v>-04:00</v>
      </c>
      <c r="AH43" s="16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75</v>
      </c>
      <c r="AO43" t="s">
        <v>74</v>
      </c>
      <c r="AP43" t="s">
        <v>1325</v>
      </c>
      <c r="AQ43" t="str">
        <f>min_hour(+IF($AI$43="M","420","0")+IF($AI$43="P","420","0")+IF($AI$43="F","420","0")+IF($AI$43="N","600","0")+IF($AI$43="M1","380","0")+IF($AI$43="P1","380","0")+IF($AI$43="L104","0","0")+IF($AI$43="MAL","0","0")+IF($AI$43="RC","0","0")+IF($AJ$43="M","420","0")+IF($AJ$43="P","420","0")+IF($AJ$43="F","420","0")+IF($AJ$43="N","600","0")+IF($AJ$43="M1","380","0")+IF($AJ$43="P1","380","0")+IF($AJ$43="L104","0","0")+IF($AJ$43="MAL","0","0")+IF($AJ$43="RC","0","0")+IF($AK$43="M","420","0")+IF($AK$43="P","420","0")+IF($AK$43="F","420","0")+IF($AK$43="N","600","0")+IF($AK$43="M1","380","0")+IF($AK$43="P1","380","0")+IF($AK$43="L104","0","0")+IF($AK$43="MAL","0","0")+IF($AK$43="RC","0","0")+IF($AL$43="M","420","0")+IF($AL$43="P","420","0")+IF($AL$43="F","420","0")+IF($AL$43="N","600","0")+IF($AL$43="M1","380","0")+IF($AL$43="P1","380","0")+IF($AL$43="L104","0","0")+IF($AL$43="MAL","0","0")+IF($AL$43="RC","0","0")+IF($AM$43="M","420","0")+IF($AM$43="P","420","0")+IF($AM$43="F","420","0")+IF($AM$43="N","600","0")+IF($AM$43="M1","380","0")+IF($AM$43="P1","380","0")+IF($AM$43="L104","0","0")+IF($AM$43="MAL","0","0")+IF($AM$43="RC","0","0")+IF($AN$43="M","420","0")+IF($AN$43="P","420","0")+IF($AN$43="F","420","0")+IF($AN$43="N","600","0")+IF($AN$43="M1","380","0")+IF($AN$43="P1","380","0")+IF($AN$43="L104","0","0")+IF($AN$43="MAL","0","0")+IF($AN$43="RC","0","0")+IF($AO$43="M","420","0")+IF($AO$43="P","420","0")+IF($AO$43="F","420","0")+IF($AO$43="N","600","0")+IF($AO$43="M1","380","0")+IF($AO$43="P1","380","0")+IF($AO$43="L104","0","0")+IF($AO$43="MAL","0","0")+IF($AO$43="RC","0","0"))</f>
        <v>42:00</v>
      </c>
      <c r="AR43" t="str">
        <f>min_hour( hour_min($AQ$43)+-2280 + hour_min($AG$43))</f>
        <v>00:00</v>
      </c>
      <c r="AS43" s="16"/>
      <c r="AT43" t="s">
        <v>74</v>
      </c>
      <c r="AU43" t="s">
        <v>134</v>
      </c>
      <c r="AV43" t="s">
        <v>73</v>
      </c>
      <c r="AW43" t="s">
        <v>75</v>
      </c>
      <c r="AX43" t="s">
        <v>75</v>
      </c>
      <c r="AY43" t="s">
        <v>74</v>
      </c>
      <c r="AZ43" t="s">
        <v>75</v>
      </c>
      <c r="BA43" t="s">
        <v>1326</v>
      </c>
      <c r="BB43" t="str">
        <f>min_hour(+IF($AT$43="M","420","0")+IF($AT$43="P","420","0")+IF($AT$43="F","420","0")+IF($AT$43="N","600","0")+IF($AT$43="M1","380","0")+IF($AT$43="P1","380","0")+IF($AT$43="L104","0","0")+IF($AT$43="MAL","0","0")+IF($AT$43="RC","0","0")+IF($AU$43="M","420","0")+IF($AU$43="P","420","0")+IF($AU$43="F","420","0")+IF($AU$43="N","600","0")+IF($AU$43="M1","380","0")+IF($AU$43="P1","380","0")+IF($AU$43="L104","0","0")+IF($AU$43="MAL","0","0")+IF($AU$43="RC","0","0")+IF($AV$43="M","420","0")+IF($AV$43="P","420","0")+IF($AV$43="F","420","0")+IF($AV$43="N","600","0")+IF($AV$43="M1","380","0")+IF($AV$43="P1","380","0")+IF($AV$43="L104","0","0")+IF($AV$43="MAL","0","0")+IF($AV$43="RC","0","0")+IF($AW$43="M","420","0")+IF($AW$43="P","420","0")+IF($AW$43="F","420","0")+IF($AW$43="N","600","0")+IF($AW$43="M1","380","0")+IF($AW$43="P1","380","0")+IF($AW$43="L104","0","0")+IF($AW$43="MAL","0","0")+IF($AW$43="RC","0","0")+IF($AX$43="M","420","0")+IF($AX$43="P","420","0")+IF($AX$43="F","420","0")+IF($AX$43="N","600","0")+IF($AX$43="M1","380","0")+IF($AX$43="P1","380","0")+IF($AX$43="L104","0","0")+IF($AX$43="MAL","0","0")+IF($AX$43="RC","0","0")+IF($AY$43="M","420","0")+IF($AY$43="P","420","0")+IF($AY$43="F","420","0")+IF($AY$43="N","600","0")+IF($AY$43="M1","380","0")+IF($AY$43="P1","380","0")+IF($AY$43="L104","0","0")+IF($AY$43="MAL","0","0")+IF($AY$43="RC","0","0")+IF($AZ$43="M","420","0")+IF($AZ$43="P","420","0")+IF($AZ$43="F","420","0")+IF($AZ$43="N","600","0")+IF($AZ$43="M1","380","0")+IF($AZ$43="P1","380","0")+IF($AZ$43="L104","0","0")+IF($AZ$43="MAL","0","0")+IF($AZ$43="RC","0","0"))</f>
        <v>35:00</v>
      </c>
      <c r="BC43" t="str">
        <f>min_hour( hour_min($BB$43)+-2280 + hour_min($AR$43))</f>
        <v>-03:00</v>
      </c>
      <c r="BD43" s="16"/>
      <c r="BE43" t="s">
        <v>75</v>
      </c>
      <c r="BF43" t="s">
        <v>73</v>
      </c>
      <c r="BG43" t="s">
        <v>74</v>
      </c>
      <c r="BH43" t="s">
        <v>75</v>
      </c>
      <c r="BI43" t="s">
        <v>74</v>
      </c>
      <c r="BJ43" t="s">
        <v>75</v>
      </c>
      <c r="BK43" t="s">
        <v>75</v>
      </c>
      <c r="BL43" t="s">
        <v>1321</v>
      </c>
      <c r="BM43" t="str">
        <f>min_hour(+IF($BE$43="M","420","0")+IF($BE$43="P","420","0")+IF($BE$43="F","420","0")+IF($BE$43="N","600","0")+IF($BE$43="M1","380","0")+IF($BE$43="P1","380","0")+IF($BE$43="L104","0","0")+IF($BE$43="MAL","0","0")+IF($BE$43="RC","0","0")+IF($BF$43="M","420","0")+IF($BF$43="P","420","0")+IF($BF$43="F","420","0")+IF($BF$43="N","600","0")+IF($BF$43="M1","380","0")+IF($BF$43="P1","380","0")+IF($BF$43="L104","0","0")+IF($BF$43="MAL","0","0")+IF($BF$43="RC","0","0")+IF($BG$43="M","420","0")+IF($BG$43="P","420","0")+IF($BG$43="F","420","0")+IF($BG$43="N","600","0")+IF($BG$43="M1","380","0")+IF($BG$43="P1","380","0")+IF($BG$43="L104","0","0")+IF($BG$43="MAL","0","0")+IF($BG$43="RC","0","0")+IF($BH$43="M","420","0")+IF($BH$43="P","420","0")+IF($BH$43="F","420","0")+IF($BH$43="N","600","0")+IF($BH$43="M1","380","0")+IF($BH$43="P1","380","0")+IF($BH$43="L104","0","0")+IF($BH$43="MAL","0","0")+IF($BH$43="RC","0","0")+IF($BI$43="M","420","0")+IF($BI$43="P","420","0")+IF($BI$43="F","420","0")+IF($BI$43="N","600","0")+IF($BI$43="M1","380","0")+IF($BI$43="P1","380","0")+IF($BI$43="L104","0","0")+IF($BI$43="MAL","0","0")+IF($BI$43="RC","0","0")+IF($BJ$43="M","420","0")+IF($BJ$43="P","420","0")+IF($BJ$43="F","420","0")+IF($BJ$43="N","600","0")+IF($BJ$43="M1","380","0")+IF($BJ$43="P1","380","0")+IF($BJ$43="L104","0","0")+IF($BJ$43="MAL","0","0")+IF($BJ$43="RC","0","0")+IF($BK$43="M","420","0")+IF($BK$43="P","420","0")+IF($BK$43="F","420","0")+IF($BK$43="N","600","0")+IF($BK$43="M1","380","0")+IF($BK$43="P1","380","0")+IF($BK$43="L104","0","0")+IF($BK$43="MAL","0","0")+IF($BK$43="RC","0","0"))</f>
        <v>42:00</v>
      </c>
      <c r="BN43" t="str">
        <f>min_hour( hour_min($BM$43)+-2280 + hour_min($BC$43))</f>
        <v>01:00</v>
      </c>
      <c r="BO43" s="16"/>
      <c r="BP43" t="s">
        <v>73</v>
      </c>
      <c r="BQ43" t="s">
        <v>75</v>
      </c>
      <c r="BR43" t="s">
        <v>134</v>
      </c>
      <c r="BS43" t="s">
        <v>74</v>
      </c>
      <c r="BT43" t="s">
        <v>75</v>
      </c>
      <c r="BU43" t="s">
        <v>75</v>
      </c>
      <c r="BV43" t="s">
        <v>73</v>
      </c>
      <c r="BW43" t="s">
        <v>1322</v>
      </c>
      <c r="BX43" t="str">
        <f>min_hour(+IF($BP$43="M","420","0")+IF($BP$43="P","420","0")+IF($BP$43="F","420","0")+IF($BP$43="N","600","0")+IF($BP$43="M1","380","0")+IF($BP$43="P1","380","0")+IF($BP$43="L104","0","0")+IF($BP$43="MAL","0","0")+IF($BP$43="RC","0","0")+IF($BQ$43="M","420","0")+IF($BQ$43="P","420","0")+IF($BQ$43="F","420","0")+IF($BQ$43="N","600","0")+IF($BQ$43="M1","380","0")+IF($BQ$43="P1","380","0")+IF($BQ$43="L104","0","0")+IF($BQ$43="MAL","0","0")+IF($BQ$43="RC","0","0")+IF($BR$43="M","420","0")+IF($BR$43="P","420","0")+IF($BR$43="F","420","0")+IF($BR$43="N","600","0")+IF($BR$43="M1","380","0")+IF($BR$43="P1","380","0")+IF($BR$43="L104","0","0")+IF($BR$43="MAL","0","0")+IF($BR$43="RC","0","0")+IF($BS$43="M","420","0")+IF($BS$43="P","420","0")+IF($BS$43="F","420","0")+IF($BS$43="N","600","0")+IF($BS$43="M1","380","0")+IF($BS$43="P1","380","0")+IF($BS$43="L104","0","0")+IF($BS$43="MAL","0","0")+IF($BS$43="RC","0","0")+IF($BT$43="M","420","0")+IF($BT$43="P","420","0")+IF($BT$43="F","420","0")+IF($BT$43="N","600","0")+IF($BT$43="M1","380","0")+IF($BT$43="P1","380","0")+IF($BT$43="L104","0","0")+IF($BT$43="MAL","0","0")+IF($BT$43="RC","0","0")+IF($BU$43="M","420","0")+IF($BU$43="P","420","0")+IF($BU$43="F","420","0")+IF($BU$43="N","600","0")+IF($BU$43="M1","380","0")+IF($BU$43="P1","380","0")+IF($BU$43="L104","0","0")+IF($BU$43="MAL","0","0")+IF($BU$43="RC","0","0")+IF($BV$43="M","420","0")+IF($BV$43="P","420","0")+IF($BV$43="F","420","0")+IF($BV$43="N","600","0")+IF($BV$43="M1","380","0")+IF($BV$43="P1","380","0")+IF($BV$43="L104","0","0")+IF($BV$43="MAL","0","0")+IF($BV$43="RC","0","0"))</f>
        <v>28:00</v>
      </c>
      <c r="BY43" t="str">
        <f>min_hour( hour_min($BX$43)+-2280 + hour_min($BN$43))</f>
        <v>-09:00</v>
      </c>
      <c r="BZ43" s="16"/>
      <c r="CA43" t="s">
        <v>75</v>
      </c>
      <c r="CB43" t="s">
        <v>74</v>
      </c>
      <c r="CC43" t="s">
        <v>75</v>
      </c>
      <c r="CD43" t="s">
        <v>74</v>
      </c>
      <c r="CE43" t="s">
        <v>75</v>
      </c>
      <c r="CF43" t="s">
        <v>73</v>
      </c>
      <c r="CG43" t="s">
        <v>75</v>
      </c>
      <c r="CH43" t="s">
        <v>1323</v>
      </c>
      <c r="CI43" t="str">
        <f>min_hour(+IF($CA$43="M","420","0")+IF($CA$43="P","420","0")+IF($CA$43="F","420","0")+IF($CA$43="N","600","0")+IF($CA$43="M1","380","0")+IF($CA$43="P1","380","0")+IF($CA$43="L104","0","0")+IF($CA$43="MAL","0","0")+IF($CA$43="RC","0","0")+IF($CB$43="M","420","0")+IF($CB$43="P","420","0")+IF($CB$43="F","420","0")+IF($CB$43="N","600","0")+IF($CB$43="M1","380","0")+IF($CB$43="P1","380","0")+IF($CB$43="L104","0","0")+IF($CB$43="MAL","0","0")+IF($CB$43="RC","0","0")+IF($CC$43="M","420","0")+IF($CC$43="P","420","0")+IF($CC$43="F","420","0")+IF($CC$43="N","600","0")+IF($CC$43="M1","380","0")+IF($CC$43="P1","380","0")+IF($CC$43="L104","0","0")+IF($CC$43="MAL","0","0")+IF($CC$43="RC","0","0")+IF($CD$43="M","420","0")+IF($CD$43="P","420","0")+IF($CD$43="F","420","0")+IF($CD$43="N","600","0")+IF($CD$43="M1","380","0")+IF($CD$43="P1","380","0")+IF($CD$43="L104","0","0")+IF($CD$43="MAL","0","0")+IF($CD$43="RC","0","0")+IF($CE$43="M","420","0")+IF($CE$43="P","420","0")+IF($CE$43="F","420","0")+IF($CE$43="N","600","0")+IF($CE$43="M1","380","0")+IF($CE$43="P1","380","0")+IF($CE$43="L104","0","0")+IF($CE$43="MAL","0","0")+IF($CE$43="RC","0","0")+IF($CF$43="M","420","0")+IF($CF$43="P","420","0")+IF($CF$43="F","420","0")+IF($CF$43="N","600","0")+IF($CF$43="M1","380","0")+IF($CF$43="P1","380","0")+IF($CF$43="L104","0","0")+IF($CF$43="MAL","0","0")+IF($CF$43="RC","0","0")+IF($CG$43="M","420","0")+IF($CG$43="P","420","0")+IF($CG$43="F","420","0")+IF($CG$43="N","600","0")+IF($CG$43="M1","380","0")+IF($CG$43="P1","380","0")+IF($CG$43="L104","0","0")+IF($CG$43="MAL","0","0")+IF($CG$43="RC","0","0"))</f>
        <v>42:00</v>
      </c>
      <c r="CJ43" t="str">
        <f>min_hour( hour_min($CI$43)+-2280 + hour_min($BY$43))</f>
        <v>-05:00</v>
      </c>
      <c r="CK43" s="16"/>
      <c r="CL43" t="s">
        <v>75</v>
      </c>
      <c r="CM43" t="s">
        <v>74</v>
      </c>
      <c r="CN43" t="s">
        <v>75</v>
      </c>
      <c r="CO43" t="s">
        <v>75</v>
      </c>
      <c r="CP43" t="s">
        <v>73</v>
      </c>
      <c r="CQ43" t="s">
        <v>74</v>
      </c>
      <c r="CR43" t="s">
        <v>76</v>
      </c>
      <c r="CS43" t="s">
        <v>1324</v>
      </c>
      <c r="CT43" t="str">
        <f>min_hour(+IF($CL$43="M","420","0")+IF($CL$43="P","420","0")+IF($CL$43="F","420","0")+IF($CL$43="N","600","0")+IF($CL$43="M1","380","0")+IF($CL$43="P1","380","0")+IF($CL$43="L104","0","0")+IF($CL$43="MAL","0","0")+IF($CL$43="RC","0","0")+IF($CM$43="M","420","0")+IF($CM$43="P","420","0")+IF($CM$43="F","420","0")+IF($CM$43="N","600","0")+IF($CM$43="M1","380","0")+IF($CM$43="P1","380","0")+IF($CM$43="L104","0","0")+IF($CM$43="MAL","0","0")+IF($CM$43="RC","0","0")+IF($CN$43="M","420","0")+IF($CN$43="P","420","0")+IF($CN$43="F","420","0")+IF($CN$43="N","600","0")+IF($CN$43="M1","380","0")+IF($CN$43="P1","380","0")+IF($CN$43="L104","0","0")+IF($CN$43="MAL","0","0")+IF($CN$43="RC","0","0")+IF($CO$43="M","420","0")+IF($CO$43="P","420","0")+IF($CO$43="F","420","0")+IF($CO$43="N","600","0")+IF($CO$43="M1","380","0")+IF($CO$43="P1","380","0")+IF($CO$43="L104","0","0")+IF($CO$43="MAL","0","0")+IF($CO$43="RC","0","0")+IF($CP$43="M","420","0")+IF($CP$43="P","420","0")+IF($CP$43="F","420","0")+IF($CP$43="N","600","0")+IF($CP$43="M1","380","0")+IF($CP$43="P1","380","0")+IF($CP$43="L104","0","0")+IF($CP$43="MAL","0","0")+IF($CP$43="RC","0","0")+IF($CQ$43="M","420","0")+IF($CQ$43="P","420","0")+IF($CQ$43="F","420","0")+IF($CQ$43="N","600","0")+IF($CQ$43="M1","380","0")+IF($CQ$43="P1","380","0")+IF($CQ$43="L104","0","0")+IF($CQ$43="MAL","0","0")+IF($CQ$43="RC","0","0")+IF($CR$43="M","420","0")+IF($CR$43="P","420","0")+IF($CR$43="F","420","0")+IF($CR$43="N","600","0")+IF($CR$43="M1","380","0")+IF($CR$43="P1","380","0")+IF($CR$43="L104","0","0")+IF($CR$43="MAL","0","0")+IF($CR$43="RC","0","0"))</f>
        <v>45:00</v>
      </c>
      <c r="CU43" t="str">
        <f>min_hour( hour_min($CT$43)+-2280 + hour_min($CJ$43))</f>
        <v>02:00</v>
      </c>
      <c r="CV43" s="16"/>
      <c r="CW43" t="s">
        <v>77</v>
      </c>
      <c r="CX43" t="s">
        <v>73</v>
      </c>
      <c r="CY43" t="s">
        <v>74</v>
      </c>
      <c r="CZ43" t="s">
        <v>73</v>
      </c>
      <c r="DA43" t="s">
        <v>74</v>
      </c>
      <c r="DB43" t="s">
        <v>75</v>
      </c>
      <c r="DC43" t="s">
        <v>74</v>
      </c>
      <c r="DD43" t="s">
        <v>1325</v>
      </c>
      <c r="DE43" t="str">
        <f>min_hour(+IF($CW$43="M","420","0")+IF($CW$43="P","420","0")+IF($CW$43="F","420","0")+IF($CW$43="N","600","0")+IF($CW$43="M1","380","0")+IF($CW$43="P1","380","0")+IF($CW$43="L104","0","0")+IF($CW$43="MAL","0","0")+IF($CW$43="RC","0","0")+IF($CX$43="M","420","0")+IF($CX$43="P","420","0")+IF($CX$43="F","420","0")+IF($CX$43="N","600","0")+IF($CX$43="M1","380","0")+IF($CX$43="P1","380","0")+IF($CX$43="L104","0","0")+IF($CX$43="MAL","0","0")+IF($CX$43="RC","0","0")+IF($CY$43="M","420","0")+IF($CY$43="P","420","0")+IF($CY$43="F","420","0")+IF($CY$43="N","600","0")+IF($CY$43="M1","380","0")+IF($CY$43="P1","380","0")+IF($CY$43="L104","0","0")+IF($CY$43="MAL","0","0")+IF($CY$43="RC","0","0")+IF($CZ$43="M","420","0")+IF($CZ$43="P","420","0")+IF($CZ$43="F","420","0")+IF($CZ$43="N","600","0")+IF($CZ$43="M1","380","0")+IF($CZ$43="P1","380","0")+IF($CZ$43="L104","0","0")+IF($CZ$43="MAL","0","0")+IF($CZ$43="RC","0","0")+IF($DA$43="M","420","0")+IF($DA$43="P","420","0")+IF($DA$43="F","420","0")+IF($DA$43="N","600","0")+IF($DA$43="M1","380","0")+IF($DA$43="P1","380","0")+IF($DA$43="L104","0","0")+IF($DA$43="MAL","0","0")+IF($DA$43="RC","0","0")+IF($DB$43="M","420","0")+IF($DB$43="P","420","0")+IF($DB$43="F","420","0")+IF($DB$43="N","600","0")+IF($DB$43="M1","380","0")+IF($DB$43="P1","380","0")+IF($DB$43="L104","0","0")+IF($DB$43="MAL","0","0")+IF($DB$43="RC","0","0")+IF($DC$43="M","420","0")+IF($DC$43="P","420","0")+IF($DC$43="F","420","0")+IF($DC$43="N","600","0")+IF($DC$43="M1","380","0")+IF($DC$43="P1","380","0")+IF($DC$43="L104","0","0")+IF($DC$43="MAL","0","0")+IF($DC$43="RC","0","0"))</f>
        <v>28:00</v>
      </c>
      <c r="DF43" t="str">
        <f>min_hour( hour_min($DE$43)+-2280 + hour_min($CU$43))</f>
        <v>-08:00</v>
      </c>
    </row>
    <row r="44" spans="1:110">
      <c r="A44" t="s">
        <v>1295</v>
      </c>
      <c r="B44" t="s">
        <v>1291</v>
      </c>
      <c r="C44" t="s">
        <v>132</v>
      </c>
      <c r="I44" s="16"/>
      <c r="J44" t="s">
        <v>1272</v>
      </c>
      <c r="K44">
        <v>4</v>
      </c>
      <c r="L44" s="10">
        <v>41212</v>
      </c>
      <c r="M44">
        <v>44</v>
      </c>
      <c r="N44">
        <v>2016</v>
      </c>
      <c r="O44" t="s">
        <v>75</v>
      </c>
      <c r="P44" t="s">
        <v>73</v>
      </c>
      <c r="Q44" t="s">
        <v>75</v>
      </c>
      <c r="R44" t="s">
        <v>75</v>
      </c>
      <c r="S44" t="s">
        <v>75</v>
      </c>
      <c r="T44" t="s">
        <v>74</v>
      </c>
      <c r="U44" t="s">
        <v>75</v>
      </c>
      <c r="V44" t="str">
        <f>min_hour(-900)</f>
        <v>-15:00</v>
      </c>
      <c r="W44" s="16"/>
      <c r="X44" t="s">
        <v>73</v>
      </c>
      <c r="Y44" t="s">
        <v>75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1322</v>
      </c>
      <c r="AF44" t="str">
        <f>min_hour(+IF($X$44="M","420","0")+IF($X$44="P","420","0")+IF($X$44="F","420","0")+IF($X$44="N","600","0")+IF($X$44="M1","380","0")+IF($X$44="P1","380","0")+IF($X$44="L104","0","0")+IF($X$44="MAL","0","0")+IF($X$44="RC","0","0")+IF($Y$44="M","420","0")+IF($Y$44="P","420","0")+IF($Y$44="F","420","0")+IF($Y$44="N","600","0")+IF($Y$44="M1","380","0")+IF($Y$44="P1","380","0")+IF($Y$44="L104","0","0")+IF($Y$44="MAL","0","0")+IF($Y$44="RC","0","0")+IF($Z$44="M","420","0")+IF($Z$44="P","420","0")+IF($Z$44="F","420","0")+IF($Z$44="N","600","0")+IF($Z$44="M1","380","0")+IF($Z$44="P1","380","0")+IF($Z$44="L104","0","0")+IF($Z$44="MAL","0","0")+IF($Z$44="RC","0","0")+IF($AA$44="M","420","0")+IF($AA$44="P","420","0")+IF($AA$44="F","420","0")+IF($AA$44="N","600","0")+IF($AA$44="M1","380","0")+IF($AA$44="P1","380","0")+IF($AA$44="L104","0","0")+IF($AA$44="MAL","0","0")+IF($AA$44="RC","0","0")+IF($AB$44="M","420","0")+IF($AB$44="P","420","0")+IF($AB$44="F","420","0")+IF($AB$44="N","600","0")+IF($AB$44="M1","380","0")+IF($AB$44="P1","380","0")+IF($AB$44="L104","0","0")+IF($AB$44="MAL","0","0")+IF($AB$44="RC","0","0")+IF($AC$44="M","420","0")+IF($AC$44="P","420","0")+IF($AC$44="F","420","0")+IF($AC$44="N","600","0")+IF($AC$44="M1","380","0")+IF($AC$44="P1","380","0")+IF($AC$44="L104","0","0")+IF($AC$44="MAL","0","0")+IF($AC$44="RC","0","0")+IF($AD$44="M","420","0")+IF($AD$44="P","420","0")+IF($AD$44="F","420","0")+IF($AD$44="N","600","0")+IF($AD$44="M1","380","0")+IF($AD$44="P1","380","0")+IF($AD$44="L104","0","0")+IF($AD$44="MAL","0","0")+IF($AD$44="RC","0","0"))</f>
        <v>35:00</v>
      </c>
      <c r="AG44" t="str">
        <f>min_hour( hour_min($AF$44)+-900-2280 )</f>
        <v>-18:00</v>
      </c>
      <c r="AH44" s="16"/>
      <c r="AI44" t="s">
        <v>75</v>
      </c>
      <c r="AJ44" t="s">
        <v>74</v>
      </c>
      <c r="AK44" t="s">
        <v>75</v>
      </c>
      <c r="AL44" t="s">
        <v>74</v>
      </c>
      <c r="AM44" t="s">
        <v>75</v>
      </c>
      <c r="AN44" t="s">
        <v>73</v>
      </c>
      <c r="AO44" t="s">
        <v>75</v>
      </c>
      <c r="AP44" t="s">
        <v>1323</v>
      </c>
      <c r="AQ44" t="str">
        <f>min_hour(+IF($AI$44="M","420","0")+IF($AI$44="P","420","0")+IF($AI$44="F","420","0")+IF($AI$44="N","600","0")+IF($AI$44="M1","380","0")+IF($AI$44="P1","380","0")+IF($AI$44="L104","0","0")+IF($AI$44="MAL","0","0")+IF($AI$44="RC","0","0")+IF($AJ$44="M","420","0")+IF($AJ$44="P","420","0")+IF($AJ$44="F","420","0")+IF($AJ$44="N","600","0")+IF($AJ$44="M1","380","0")+IF($AJ$44="P1","380","0")+IF($AJ$44="L104","0","0")+IF($AJ$44="MAL","0","0")+IF($AJ$44="RC","0","0")+IF($AK$44="M","420","0")+IF($AK$44="P","420","0")+IF($AK$44="F","420","0")+IF($AK$44="N","600","0")+IF($AK$44="M1","380","0")+IF($AK$44="P1","380","0")+IF($AK$44="L104","0","0")+IF($AK$44="MAL","0","0")+IF($AK$44="RC","0","0")+IF($AL$44="M","420","0")+IF($AL$44="P","420","0")+IF($AL$44="F","420","0")+IF($AL$44="N","600","0")+IF($AL$44="M1","380","0")+IF($AL$44="P1","380","0")+IF($AL$44="L104","0","0")+IF($AL$44="MAL","0","0")+IF($AL$44="RC","0","0")+IF($AM$44="M","420","0")+IF($AM$44="P","420","0")+IF($AM$44="F","420","0")+IF($AM$44="N","600","0")+IF($AM$44="M1","380","0")+IF($AM$44="P1","380","0")+IF($AM$44="L104","0","0")+IF($AM$44="MAL","0","0")+IF($AM$44="RC","0","0")+IF($AN$44="M","420","0")+IF($AN$44="P","420","0")+IF($AN$44="F","420","0")+IF($AN$44="N","600","0")+IF($AN$44="M1","380","0")+IF($AN$44="P1","380","0")+IF($AN$44="L104","0","0")+IF($AN$44="MAL","0","0")+IF($AN$44="RC","0","0")+IF($AO$44="M","420","0")+IF($AO$44="P","420","0")+IF($AO$44="F","420","0")+IF($AO$44="N","600","0")+IF($AO$44="M1","380","0")+IF($AO$44="P1","380","0")+IF($AO$44="L104","0","0")+IF($AO$44="MAL","0","0")+IF($AO$44="RC","0","0"))</f>
        <v>42:00</v>
      </c>
      <c r="AR44" t="str">
        <f>min_hour( hour_min($AQ$44)+-2280 + hour_min($AG$44))</f>
        <v>-14:00</v>
      </c>
      <c r="AS44" s="16"/>
      <c r="AT44" t="s">
        <v>75</v>
      </c>
      <c r="AU44" t="s">
        <v>74</v>
      </c>
      <c r="AV44" t="s">
        <v>75</v>
      </c>
      <c r="AW44" t="s">
        <v>75</v>
      </c>
      <c r="AX44" t="s">
        <v>73</v>
      </c>
      <c r="AY44" t="s">
        <v>74</v>
      </c>
      <c r="AZ44" t="s">
        <v>74</v>
      </c>
      <c r="BA44" t="s">
        <v>1324</v>
      </c>
      <c r="BB44" t="str">
        <f>min_hour(+IF($AT$44="M","420","0")+IF($AT$44="P","420","0")+IF($AT$44="F","420","0")+IF($AT$44="N","600","0")+IF($AT$44="M1","380","0")+IF($AT$44="P1","380","0")+IF($AT$44="L104","0","0")+IF($AT$44="MAL","0","0")+IF($AT$44="RC","0","0")+IF($AU$44="M","420","0")+IF($AU$44="P","420","0")+IF($AU$44="F","420","0")+IF($AU$44="N","600","0")+IF($AU$44="M1","380","0")+IF($AU$44="P1","380","0")+IF($AU$44="L104","0","0")+IF($AU$44="MAL","0","0")+IF($AU$44="RC","0","0")+IF($AV$44="M","420","0")+IF($AV$44="P","420","0")+IF($AV$44="F","420","0")+IF($AV$44="N","600","0")+IF($AV$44="M1","380","0")+IF($AV$44="P1","380","0")+IF($AV$44="L104","0","0")+IF($AV$44="MAL","0","0")+IF($AV$44="RC","0","0")+IF($AW$44="M","420","0")+IF($AW$44="P","420","0")+IF($AW$44="F","420","0")+IF($AW$44="N","600","0")+IF($AW$44="M1","380","0")+IF($AW$44="P1","380","0")+IF($AW$44="L104","0","0")+IF($AW$44="MAL","0","0")+IF($AW$44="RC","0","0")+IF($AX$44="M","420","0")+IF($AX$44="P","420","0")+IF($AX$44="F","420","0")+IF($AX$44="N","600","0")+IF($AX$44="M1","380","0")+IF($AX$44="P1","380","0")+IF($AX$44="L104","0","0")+IF($AX$44="MAL","0","0")+IF($AX$44="RC","0","0")+IF($AY$44="M","420","0")+IF($AY$44="P","420","0")+IF($AY$44="F","420","0")+IF($AY$44="N","600","0")+IF($AY$44="M1","380","0")+IF($AY$44="P1","380","0")+IF($AY$44="L104","0","0")+IF($AY$44="MAL","0","0")+IF($AY$44="RC","0","0")+IF($AZ$44="M","420","0")+IF($AZ$44="P","420","0")+IF($AZ$44="F","420","0")+IF($AZ$44="N","600","0")+IF($AZ$44="M1","380","0")+IF($AZ$44="P1","380","0")+IF($AZ$44="L104","0","0")+IF($AZ$44="MAL","0","0")+IF($AZ$44="RC","0","0"))</f>
        <v>42:00</v>
      </c>
      <c r="BC44" t="str">
        <f>min_hour( hour_min($BB$44)+-2280 + hour_min($AR$44))</f>
        <v>-10:00</v>
      </c>
      <c r="BD44" s="16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75</v>
      </c>
      <c r="BK44" t="s">
        <v>74</v>
      </c>
      <c r="BL44" t="s">
        <v>1325</v>
      </c>
      <c r="BM44" t="str">
        <f>min_hour(+IF($BE$44="M","420","0")+IF($BE$44="P","420","0")+IF($BE$44="F","420","0")+IF($BE$44="N","600","0")+IF($BE$44="M1","380","0")+IF($BE$44="P1","380","0")+IF($BE$44="L104","0","0")+IF($BE$44="MAL","0","0")+IF($BE$44="RC","0","0")+IF($BF$44="M","420","0")+IF($BF$44="P","420","0")+IF($BF$44="F","420","0")+IF($BF$44="N","600","0")+IF($BF$44="M1","380","0")+IF($BF$44="P1","380","0")+IF($BF$44="L104","0","0")+IF($BF$44="MAL","0","0")+IF($BF$44="RC","0","0")+IF($BG$44="M","420","0")+IF($BG$44="P","420","0")+IF($BG$44="F","420","0")+IF($BG$44="N","600","0")+IF($BG$44="M1","380","0")+IF($BG$44="P1","380","0")+IF($BG$44="L104","0","0")+IF($BG$44="MAL","0","0")+IF($BG$44="RC","0","0")+IF($BH$44="M","420","0")+IF($BH$44="P","420","0")+IF($BH$44="F","420","0")+IF($BH$44="N","600","0")+IF($BH$44="M1","380","0")+IF($BH$44="P1","380","0")+IF($BH$44="L104","0","0")+IF($BH$44="MAL","0","0")+IF($BH$44="RC","0","0")+IF($BI$44="M","420","0")+IF($BI$44="P","420","0")+IF($BI$44="F","420","0")+IF($BI$44="N","600","0")+IF($BI$44="M1","380","0")+IF($BI$44="P1","380","0")+IF($BI$44="L104","0","0")+IF($BI$44="MAL","0","0")+IF($BI$44="RC","0","0")+IF($BJ$44="M","420","0")+IF($BJ$44="P","420","0")+IF($BJ$44="F","420","0")+IF($BJ$44="N","600","0")+IF($BJ$44="M1","380","0")+IF($BJ$44="P1","380","0")+IF($BJ$44="L104","0","0")+IF($BJ$44="MAL","0","0")+IF($BJ$44="RC","0","0")+IF($BK$44="M","420","0")+IF($BK$44="P","420","0")+IF($BK$44="F","420","0")+IF($BK$44="N","600","0")+IF($BK$44="M1","380","0")+IF($BK$44="P1","380","0")+IF($BK$44="L104","0","0")+IF($BK$44="MAL","0","0")+IF($BK$44="RC","0","0"))</f>
        <v>42:00</v>
      </c>
      <c r="BN44" t="str">
        <f>min_hour( hour_min($BM$44)+-2280 + hour_min($BC$44))</f>
        <v>-06:00</v>
      </c>
      <c r="BO44" s="16"/>
      <c r="BP44" t="s">
        <v>74</v>
      </c>
      <c r="BQ44" t="s">
        <v>74</v>
      </c>
      <c r="BR44" t="s">
        <v>73</v>
      </c>
      <c r="BS44" t="s">
        <v>75</v>
      </c>
      <c r="BT44" t="s">
        <v>75</v>
      </c>
      <c r="BU44" t="s">
        <v>74</v>
      </c>
      <c r="BV44" t="s">
        <v>75</v>
      </c>
      <c r="BW44" t="s">
        <v>1326</v>
      </c>
      <c r="BX44" t="str">
        <f>min_hour(+IF($BP$44="M","420","0")+IF($BP$44="P","420","0")+IF($BP$44="F","420","0")+IF($BP$44="N","600","0")+IF($BP$44="M1","380","0")+IF($BP$44="P1","380","0")+IF($BP$44="L104","0","0")+IF($BP$44="MAL","0","0")+IF($BP$44="RC","0","0")+IF($BQ$44="M","420","0")+IF($BQ$44="P","420","0")+IF($BQ$44="F","420","0")+IF($BQ$44="N","600","0")+IF($BQ$44="M1","380","0")+IF($BQ$44="P1","380","0")+IF($BQ$44="L104","0","0")+IF($BQ$44="MAL","0","0")+IF($BQ$44="RC","0","0")+IF($BR$44="M","420","0")+IF($BR$44="P","420","0")+IF($BR$44="F","420","0")+IF($BR$44="N","600","0")+IF($BR$44="M1","380","0")+IF($BR$44="P1","380","0")+IF($BR$44="L104","0","0")+IF($BR$44="MAL","0","0")+IF($BR$44="RC","0","0")+IF($BS$44="M","420","0")+IF($BS$44="P","420","0")+IF($BS$44="F","420","0")+IF($BS$44="N","600","0")+IF($BS$44="M1","380","0")+IF($BS$44="P1","380","0")+IF($BS$44="L104","0","0")+IF($BS$44="MAL","0","0")+IF($BS$44="RC","0","0")+IF($BT$44="M","420","0")+IF($BT$44="P","420","0")+IF($BT$44="F","420","0")+IF($BT$44="N","600","0")+IF($BT$44="M1","380","0")+IF($BT$44="P1","380","0")+IF($BT$44="L104","0","0")+IF($BT$44="MAL","0","0")+IF($BT$44="RC","0","0")+IF($BU$44="M","420","0")+IF($BU$44="P","420","0")+IF($BU$44="F","420","0")+IF($BU$44="N","600","0")+IF($BU$44="M1","380","0")+IF($BU$44="P1","380","0")+IF($BU$44="L104","0","0")+IF($BU$44="MAL","0","0")+IF($BU$44="RC","0","0")+IF($BV$44="M","420","0")+IF($BV$44="P","420","0")+IF($BV$44="F","420","0")+IF($BV$44="N","600","0")+IF($BV$44="M1","380","0")+IF($BV$44="P1","380","0")+IF($BV$44="L104","0","0")+IF($BV$44="MAL","0","0")+IF($BV$44="RC","0","0"))</f>
        <v>42:00</v>
      </c>
      <c r="BY44" t="str">
        <f>min_hour( hour_min($BX$44)+-2280 + hour_min($BN$44))</f>
        <v>-02:00</v>
      </c>
      <c r="BZ44" s="16"/>
      <c r="CA44" t="s">
        <v>75</v>
      </c>
      <c r="CB44" t="s">
        <v>73</v>
      </c>
      <c r="CC44" t="s">
        <v>74</v>
      </c>
      <c r="CD44" t="s">
        <v>75</v>
      </c>
      <c r="CE44" t="s">
        <v>74</v>
      </c>
      <c r="CF44" t="s">
        <v>75</v>
      </c>
      <c r="CG44" t="s">
        <v>75</v>
      </c>
      <c r="CH44" t="s">
        <v>1321</v>
      </c>
      <c r="CI44" t="str">
        <f>min_hour(+IF($CA$44="M","420","0")+IF($CA$44="P","420","0")+IF($CA$44="F","420","0")+IF($CA$44="N","600","0")+IF($CA$44="M1","380","0")+IF($CA$44="P1","380","0")+IF($CA$44="L104","0","0")+IF($CA$44="MAL","0","0")+IF($CA$44="RC","0","0")+IF($CB$44="M","420","0")+IF($CB$44="P","420","0")+IF($CB$44="F","420","0")+IF($CB$44="N","600","0")+IF($CB$44="M1","380","0")+IF($CB$44="P1","380","0")+IF($CB$44="L104","0","0")+IF($CB$44="MAL","0","0")+IF($CB$44="RC","0","0")+IF($CC$44="M","420","0")+IF($CC$44="P","420","0")+IF($CC$44="F","420","0")+IF($CC$44="N","600","0")+IF($CC$44="M1","380","0")+IF($CC$44="P1","380","0")+IF($CC$44="L104","0","0")+IF($CC$44="MAL","0","0")+IF($CC$44="RC","0","0")+IF($CD$44="M","420","0")+IF($CD$44="P","420","0")+IF($CD$44="F","420","0")+IF($CD$44="N","600","0")+IF($CD$44="M1","380","0")+IF($CD$44="P1","380","0")+IF($CD$44="L104","0","0")+IF($CD$44="MAL","0","0")+IF($CD$44="RC","0","0")+IF($CE$44="M","420","0")+IF($CE$44="P","420","0")+IF($CE$44="F","420","0")+IF($CE$44="N","600","0")+IF($CE$44="M1","380","0")+IF($CE$44="P1","380","0")+IF($CE$44="L104","0","0")+IF($CE$44="MAL","0","0")+IF($CE$44="RC","0","0")+IF($CF$44="M","420","0")+IF($CF$44="P","420","0")+IF($CF$44="F","420","0")+IF($CF$44="N","600","0")+IF($CF$44="M1","380","0")+IF($CF$44="P1","380","0")+IF($CF$44="L104","0","0")+IF($CF$44="MAL","0","0")+IF($CF$44="RC","0","0")+IF($CG$44="M","420","0")+IF($CG$44="P","420","0")+IF($CG$44="F","420","0")+IF($CG$44="N","600","0")+IF($CG$44="M1","380","0")+IF($CG$44="P1","380","0")+IF($CG$44="L104","0","0")+IF($CG$44="MAL","0","0")+IF($CG$44="RC","0","0"))</f>
        <v>42:00</v>
      </c>
      <c r="CJ44" t="str">
        <f>min_hour( hour_min($CI$44)+-2280 + hour_min($BY$44))</f>
        <v>02:00</v>
      </c>
      <c r="CK44" s="16"/>
      <c r="CL44" t="s">
        <v>73</v>
      </c>
      <c r="CM44" t="s">
        <v>75</v>
      </c>
      <c r="CN44" t="s">
        <v>73</v>
      </c>
      <c r="CO44" t="s">
        <v>74</v>
      </c>
      <c r="CP44" t="s">
        <v>75</v>
      </c>
      <c r="CQ44" t="s">
        <v>75</v>
      </c>
      <c r="CR44" t="s">
        <v>75</v>
      </c>
      <c r="CS44" t="s">
        <v>1322</v>
      </c>
      <c r="CT44" t="str">
        <f>min_hour(+IF($CL$44="M","420","0")+IF($CL$44="P","420","0")+IF($CL$44="F","420","0")+IF($CL$44="N","600","0")+IF($CL$44="M1","380","0")+IF($CL$44="P1","380","0")+IF($CL$44="L104","0","0")+IF($CL$44="MAL","0","0")+IF($CL$44="RC","0","0")+IF($CM$44="M","420","0")+IF($CM$44="P","420","0")+IF($CM$44="F","420","0")+IF($CM$44="N","600","0")+IF($CM$44="M1","380","0")+IF($CM$44="P1","380","0")+IF($CM$44="L104","0","0")+IF($CM$44="MAL","0","0")+IF($CM$44="RC","0","0")+IF($CN$44="M","420","0")+IF($CN$44="P","420","0")+IF($CN$44="F","420","0")+IF($CN$44="N","600","0")+IF($CN$44="M1","380","0")+IF($CN$44="P1","380","0")+IF($CN$44="L104","0","0")+IF($CN$44="MAL","0","0")+IF($CN$44="RC","0","0")+IF($CO$44="M","420","0")+IF($CO$44="P","420","0")+IF($CO$44="F","420","0")+IF($CO$44="N","600","0")+IF($CO$44="M1","380","0")+IF($CO$44="P1","380","0")+IF($CO$44="L104","0","0")+IF($CO$44="MAL","0","0")+IF($CO$44="RC","0","0")+IF($CP$44="M","420","0")+IF($CP$44="P","420","0")+IF($CP$44="F","420","0")+IF($CP$44="N","600","0")+IF($CP$44="M1","380","0")+IF($CP$44="P1","380","0")+IF($CP$44="L104","0","0")+IF($CP$44="MAL","0","0")+IF($CP$44="RC","0","0")+IF($CQ$44="M","420","0")+IF($CQ$44="P","420","0")+IF($CQ$44="F","420","0")+IF($CQ$44="N","600","0")+IF($CQ$44="M1","380","0")+IF($CQ$44="P1","380","0")+IF($CQ$44="L104","0","0")+IF($CQ$44="MAL","0","0")+IF($CQ$44="RC","0","0")+IF($CR$44="M","420","0")+IF($CR$44="P","420","0")+IF($CR$44="F","420","0")+IF($CR$44="N","600","0")+IF($CR$44="M1","380","0")+IF($CR$44="P1","380","0")+IF($CR$44="L104","0","0")+IF($CR$44="MAL","0","0")+IF($CR$44="RC","0","0"))</f>
        <v>35:00</v>
      </c>
      <c r="CU44" t="str">
        <f>min_hour( hour_min($CT$44)+-2280 + hour_min($CJ$44))</f>
        <v>-01:00</v>
      </c>
      <c r="CV44" s="16"/>
      <c r="CW44" t="s">
        <v>75</v>
      </c>
      <c r="CX44" t="s">
        <v>73</v>
      </c>
      <c r="CY44" t="s">
        <v>75</v>
      </c>
      <c r="CZ44" t="s">
        <v>74</v>
      </c>
      <c r="DA44" t="s">
        <v>73</v>
      </c>
      <c r="DB44" t="s">
        <v>75</v>
      </c>
      <c r="DC44" t="s">
        <v>73</v>
      </c>
      <c r="DD44" t="s">
        <v>1323</v>
      </c>
      <c r="DE44" t="str">
        <f>min_hour(+IF($CW$44="M","420","0")+IF($CW$44="P","420","0")+IF($CW$44="F","420","0")+IF($CW$44="N","600","0")+IF($CW$44="M1","380","0")+IF($CW$44="P1","380","0")+IF($CW$44="L104","0","0")+IF($CW$44="MAL","0","0")+IF($CW$44="RC","0","0")+IF($CX$44="M","420","0")+IF($CX$44="P","420","0")+IF($CX$44="F","420","0")+IF($CX$44="N","600","0")+IF($CX$44="M1","380","0")+IF($CX$44="P1","380","0")+IF($CX$44="L104","0","0")+IF($CX$44="MAL","0","0")+IF($CX$44="RC","0","0")+IF($CY$44="M","420","0")+IF($CY$44="P","420","0")+IF($CY$44="F","420","0")+IF($CY$44="N","600","0")+IF($CY$44="M1","380","0")+IF($CY$44="P1","380","0")+IF($CY$44="L104","0","0")+IF($CY$44="MAL","0","0")+IF($CY$44="RC","0","0")+IF($CZ$44="M","420","0")+IF($CZ$44="P","420","0")+IF($CZ$44="F","420","0")+IF($CZ$44="N","600","0")+IF($CZ$44="M1","380","0")+IF($CZ$44="P1","380","0")+IF($CZ$44="L104","0","0")+IF($CZ$44="MAL","0","0")+IF($CZ$44="RC","0","0")+IF($DA$44="M","420","0")+IF($DA$44="P","420","0")+IF($DA$44="F","420","0")+IF($DA$44="N","600","0")+IF($DA$44="M1","380","0")+IF($DA$44="P1","380","0")+IF($DA$44="L104","0","0")+IF($DA$44="MAL","0","0")+IF($DA$44="RC","0","0")+IF($DB$44="M","420","0")+IF($DB$44="P","420","0")+IF($DB$44="F","420","0")+IF($DB$44="N","600","0")+IF($DB$44="M1","380","0")+IF($DB$44="P1","380","0")+IF($DB$44="L104","0","0")+IF($DB$44="MAL","0","0")+IF($DB$44="RC","0","0")+IF($DC$44="M","420","0")+IF($DC$44="P","420","0")+IF($DC$44="F","420","0")+IF($DC$44="N","600","0")+IF($DC$44="M1","380","0")+IF($DC$44="P1","380","0")+IF($DC$44="L104","0","0")+IF($DC$44="MAL","0","0")+IF($DC$44="RC","0","0"))</f>
        <v>28:00</v>
      </c>
      <c r="DF44" t="str">
        <f>min_hour( hour_min($DE$44)+-2280 + hour_min($CU$44))</f>
        <v>-11:00</v>
      </c>
    </row>
    <row r="45" spans="1:110">
      <c r="A45" t="s">
        <v>1293</v>
      </c>
      <c r="B45" t="s">
        <v>1296</v>
      </c>
      <c r="C45" t="s">
        <v>1297</v>
      </c>
      <c r="I45" s="16"/>
      <c r="J45" t="s">
        <v>1272</v>
      </c>
      <c r="K45">
        <v>5</v>
      </c>
      <c r="L45" s="10">
        <v>41212</v>
      </c>
      <c r="M45">
        <v>44</v>
      </c>
      <c r="N45">
        <v>2016</v>
      </c>
      <c r="O45" t="s">
        <v>73</v>
      </c>
      <c r="P45" t="s">
        <v>74</v>
      </c>
      <c r="Q45" t="s">
        <v>75</v>
      </c>
      <c r="R45" t="s">
        <v>75</v>
      </c>
      <c r="S45" t="s">
        <v>74</v>
      </c>
      <c r="T45" t="s">
        <v>75</v>
      </c>
      <c r="U45" t="s">
        <v>73</v>
      </c>
      <c r="V45" t="str">
        <f>min_hour(-1320)</f>
        <v>-22:00</v>
      </c>
      <c r="W45" s="16"/>
      <c r="X45" t="s">
        <v>75</v>
      </c>
      <c r="Y45" t="s">
        <v>74</v>
      </c>
      <c r="Z45" t="s">
        <v>75</v>
      </c>
      <c r="AA45" t="s">
        <v>74</v>
      </c>
      <c r="AB45" t="s">
        <v>75</v>
      </c>
      <c r="AC45" t="s">
        <v>73</v>
      </c>
      <c r="AD45" t="s">
        <v>75</v>
      </c>
      <c r="AE45" t="s">
        <v>1323</v>
      </c>
      <c r="AF45" t="str">
        <f>min_hour(+IF($X$45="M","420","0")+IF($X$45="P","420","0")+IF($X$45="F","420","0")+IF($X$45="N","600","0")+IF($X$45="M1","380","0")+IF($X$45="P1","380","0")+IF($X$45="L104","0","0")+IF($X$45="MAL","0","0")+IF($X$45="RC","0","0")+IF($Y$45="M","420","0")+IF($Y$45="P","420","0")+IF($Y$45="F","420","0")+IF($Y$45="N","600","0")+IF($Y$45="M1","380","0")+IF($Y$45="P1","380","0")+IF($Y$45="L104","0","0")+IF($Y$45="MAL","0","0")+IF($Y$45="RC","0","0")+IF($Z$45="M","420","0")+IF($Z$45="P","420","0")+IF($Z$45="F","420","0")+IF($Z$45="N","600","0")+IF($Z$45="M1","380","0")+IF($Z$45="P1","380","0")+IF($Z$45="L104","0","0")+IF($Z$45="MAL","0","0")+IF($Z$45="RC","0","0")+IF($AA$45="M","420","0")+IF($AA$45="P","420","0")+IF($AA$45="F","420","0")+IF($AA$45="N","600","0")+IF($AA$45="M1","380","0")+IF($AA$45="P1","380","0")+IF($AA$45="L104","0","0")+IF($AA$45="MAL","0","0")+IF($AA$45="RC","0","0")+IF($AB$45="M","420","0")+IF($AB$45="P","420","0")+IF($AB$45="F","420","0")+IF($AB$45="N","600","0")+IF($AB$45="M1","380","0")+IF($AB$45="P1","380","0")+IF($AB$45="L104","0","0")+IF($AB$45="MAL","0","0")+IF($AB$45="RC","0","0")+IF($AC$45="M","420","0")+IF($AC$45="P","420","0")+IF($AC$45="F","420","0")+IF($AC$45="N","600","0")+IF($AC$45="M1","380","0")+IF($AC$45="P1","380","0")+IF($AC$45="L104","0","0")+IF($AC$45="MAL","0","0")+IF($AC$45="RC","0","0")+IF($AD$45="M","420","0")+IF($AD$45="P","420","0")+IF($AD$45="F","420","0")+IF($AD$45="N","600","0")+IF($AD$45="M1","380","0")+IF($AD$45="P1","380","0")+IF($AD$45="L104","0","0")+IF($AD$45="MAL","0","0")+IF($AD$45="RC","0","0"))</f>
        <v>42:00</v>
      </c>
      <c r="AG45" t="str">
        <f>min_hour( hour_min($AF$45)+-1320-2280 )</f>
        <v>-18:00</v>
      </c>
      <c r="AH45" s="16"/>
      <c r="AI45" t="s">
        <v>75</v>
      </c>
      <c r="AJ45" t="s">
        <v>74</v>
      </c>
      <c r="AK45" t="s">
        <v>75</v>
      </c>
      <c r="AL45" t="s">
        <v>75</v>
      </c>
      <c r="AM45" t="s">
        <v>73</v>
      </c>
      <c r="AN45" t="s">
        <v>74</v>
      </c>
      <c r="AO45" t="s">
        <v>74</v>
      </c>
      <c r="AP45" t="s">
        <v>1324</v>
      </c>
      <c r="AQ45" t="str">
        <f>min_hour(+IF($AI$45="M","420","0")+IF($AI$45="P","420","0")+IF($AI$45="F","420","0")+IF($AI$45="N","600","0")+IF($AI$45="M1","380","0")+IF($AI$45="P1","380","0")+IF($AI$45="L104","0","0")+IF($AI$45="MAL","0","0")+IF($AI$45="RC","0","0")+IF($AJ$45="M","420","0")+IF($AJ$45="P","420","0")+IF($AJ$45="F","420","0")+IF($AJ$45="N","600","0")+IF($AJ$45="M1","380","0")+IF($AJ$45="P1","380","0")+IF($AJ$45="L104","0","0")+IF($AJ$45="MAL","0","0")+IF($AJ$45="RC","0","0")+IF($AK$45="M","420","0")+IF($AK$45="P","420","0")+IF($AK$45="F","420","0")+IF($AK$45="N","600","0")+IF($AK$45="M1","380","0")+IF($AK$45="P1","380","0")+IF($AK$45="L104","0","0")+IF($AK$45="MAL","0","0")+IF($AK$45="RC","0","0")+IF($AL$45="M","420","0")+IF($AL$45="P","420","0")+IF($AL$45="F","420","0")+IF($AL$45="N","600","0")+IF($AL$45="M1","380","0")+IF($AL$45="P1","380","0")+IF($AL$45="L104","0","0")+IF($AL$45="MAL","0","0")+IF($AL$45="RC","0","0")+IF($AM$45="M","420","0")+IF($AM$45="P","420","0")+IF($AM$45="F","420","0")+IF($AM$45="N","600","0")+IF($AM$45="M1","380","0")+IF($AM$45="P1","380","0")+IF($AM$45="L104","0","0")+IF($AM$45="MAL","0","0")+IF($AM$45="RC","0","0")+IF($AN$45="M","420","0")+IF($AN$45="P","420","0")+IF($AN$45="F","420","0")+IF($AN$45="N","600","0")+IF($AN$45="M1","380","0")+IF($AN$45="P1","380","0")+IF($AN$45="L104","0","0")+IF($AN$45="MAL","0","0")+IF($AN$45="RC","0","0")+IF($AO$45="M","420","0")+IF($AO$45="P","420","0")+IF($AO$45="F","420","0")+IF($AO$45="N","600","0")+IF($AO$45="M1","380","0")+IF($AO$45="P1","380","0")+IF($AO$45="L104","0","0")+IF($AO$45="MAL","0","0")+IF($AO$45="RC","0","0"))</f>
        <v>42:00</v>
      </c>
      <c r="AR45" t="str">
        <f>min_hour( hour_min($AQ$45)+-2280 + hour_min($AG$45))</f>
        <v>-14:00</v>
      </c>
      <c r="AS45" s="16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75</v>
      </c>
      <c r="AZ45" t="s">
        <v>74</v>
      </c>
      <c r="BA45" t="s">
        <v>1325</v>
      </c>
      <c r="BB45" t="str">
        <f>min_hour(+IF($AT$45="M","420","0")+IF($AT$45="P","420","0")+IF($AT$45="F","420","0")+IF($AT$45="N","600","0")+IF($AT$45="M1","380","0")+IF($AT$45="P1","380","0")+IF($AT$45="L104","0","0")+IF($AT$45="MAL","0","0")+IF($AT$45="RC","0","0")+IF($AU$45="M","420","0")+IF($AU$45="P","420","0")+IF($AU$45="F","420","0")+IF($AU$45="N","600","0")+IF($AU$45="M1","380","0")+IF($AU$45="P1","380","0")+IF($AU$45="L104","0","0")+IF($AU$45="MAL","0","0")+IF($AU$45="RC","0","0")+IF($AV$45="M","420","0")+IF($AV$45="P","420","0")+IF($AV$45="F","420","0")+IF($AV$45="N","600","0")+IF($AV$45="M1","380","0")+IF($AV$45="P1","380","0")+IF($AV$45="L104","0","0")+IF($AV$45="MAL","0","0")+IF($AV$45="RC","0","0")+IF($AW$45="M","420","0")+IF($AW$45="P","420","0")+IF($AW$45="F","420","0")+IF($AW$45="N","600","0")+IF($AW$45="M1","380","0")+IF($AW$45="P1","380","0")+IF($AW$45="L104","0","0")+IF($AW$45="MAL","0","0")+IF($AW$45="RC","0","0")+IF($AX$45="M","420","0")+IF($AX$45="P","420","0")+IF($AX$45="F","420","0")+IF($AX$45="N","600","0")+IF($AX$45="M1","380","0")+IF($AX$45="P1","380","0")+IF($AX$45="L104","0","0")+IF($AX$45="MAL","0","0")+IF($AX$45="RC","0","0")+IF($AY$45="M","420","0")+IF($AY$45="P","420","0")+IF($AY$45="F","420","0")+IF($AY$45="N","600","0")+IF($AY$45="M1","380","0")+IF($AY$45="P1","380","0")+IF($AY$45="L104","0","0")+IF($AY$45="MAL","0","0")+IF($AY$45="RC","0","0")+IF($AZ$45="M","420","0")+IF($AZ$45="P","420","0")+IF($AZ$45="F","420","0")+IF($AZ$45="N","600","0")+IF($AZ$45="M1","380","0")+IF($AZ$45="P1","380","0")+IF($AZ$45="L104","0","0")+IF($AZ$45="MAL","0","0")+IF($AZ$45="RC","0","0"))</f>
        <v>42:00</v>
      </c>
      <c r="BC45" t="str">
        <f>min_hour( hour_min($BB$45)+-2280 + hour_min($AR$45))</f>
        <v>-10:00</v>
      </c>
      <c r="BD45" s="16"/>
      <c r="BE45" t="s">
        <v>74</v>
      </c>
      <c r="BF45" t="s">
        <v>74</v>
      </c>
      <c r="BG45" t="s">
        <v>73</v>
      </c>
      <c r="BH45" t="s">
        <v>75</v>
      </c>
      <c r="BI45" t="s">
        <v>75</v>
      </c>
      <c r="BJ45" t="s">
        <v>74</v>
      </c>
      <c r="BK45" t="s">
        <v>75</v>
      </c>
      <c r="BL45" t="s">
        <v>1326</v>
      </c>
      <c r="BM45" t="str">
        <f>min_hour(+IF($BE$45="M","420","0")+IF($BE$45="P","420","0")+IF($BE$45="F","420","0")+IF($BE$45="N","600","0")+IF($BE$45="M1","380","0")+IF($BE$45="P1","380","0")+IF($BE$45="L104","0","0")+IF($BE$45="MAL","0","0")+IF($BE$45="RC","0","0")+IF($BF$45="M","420","0")+IF($BF$45="P","420","0")+IF($BF$45="F","420","0")+IF($BF$45="N","600","0")+IF($BF$45="M1","380","0")+IF($BF$45="P1","380","0")+IF($BF$45="L104","0","0")+IF($BF$45="MAL","0","0")+IF($BF$45="RC","0","0")+IF($BG$45="M","420","0")+IF($BG$45="P","420","0")+IF($BG$45="F","420","0")+IF($BG$45="N","600","0")+IF($BG$45="M1","380","0")+IF($BG$45="P1","380","0")+IF($BG$45="L104","0","0")+IF($BG$45="MAL","0","0")+IF($BG$45="RC","0","0")+IF($BH$45="M","420","0")+IF($BH$45="P","420","0")+IF($BH$45="F","420","0")+IF($BH$45="N","600","0")+IF($BH$45="M1","380","0")+IF($BH$45="P1","380","0")+IF($BH$45="L104","0","0")+IF($BH$45="MAL","0","0")+IF($BH$45="RC","0","0")+IF($BI$45="M","420","0")+IF($BI$45="P","420","0")+IF($BI$45="F","420","0")+IF($BI$45="N","600","0")+IF($BI$45="M1","380","0")+IF($BI$45="P1","380","0")+IF($BI$45="L104","0","0")+IF($BI$45="MAL","0","0")+IF($BI$45="RC","0","0")+IF($BJ$45="M","420","0")+IF($BJ$45="P","420","0")+IF($BJ$45="F","420","0")+IF($BJ$45="N","600","0")+IF($BJ$45="M1","380","0")+IF($BJ$45="P1","380","0")+IF($BJ$45="L104","0","0")+IF($BJ$45="MAL","0","0")+IF($BJ$45="RC","0","0")+IF($BK$45="M","420","0")+IF($BK$45="P","420","0")+IF($BK$45="F","420","0")+IF($BK$45="N","600","0")+IF($BK$45="M1","380","0")+IF($BK$45="P1","380","0")+IF($BK$45="L104","0","0")+IF($BK$45="MAL","0","0")+IF($BK$45="RC","0","0"))</f>
        <v>42:00</v>
      </c>
      <c r="BN45" t="str">
        <f>min_hour( hour_min($BM$45)+-2280 + hour_min($BC$45))</f>
        <v>-06:00</v>
      </c>
      <c r="BO45" s="16"/>
      <c r="BP45" t="s">
        <v>75</v>
      </c>
      <c r="BQ45" t="s">
        <v>73</v>
      </c>
      <c r="BR45" t="s">
        <v>74</v>
      </c>
      <c r="BS45" t="s">
        <v>75</v>
      </c>
      <c r="BT45" t="s">
        <v>74</v>
      </c>
      <c r="BU45" t="s">
        <v>75</v>
      </c>
      <c r="BV45" t="s">
        <v>75</v>
      </c>
      <c r="BW45" t="s">
        <v>1321</v>
      </c>
      <c r="BX45" t="str">
        <f>min_hour(+IF($BP$45="M","420","0")+IF($BP$45="P","420","0")+IF($BP$45="F","420","0")+IF($BP$45="N","600","0")+IF($BP$45="M1","380","0")+IF($BP$45="P1","380","0")+IF($BP$45="L104","0","0")+IF($BP$45="MAL","0","0")+IF($BP$45="RC","0","0")+IF($BQ$45="M","420","0")+IF($BQ$45="P","420","0")+IF($BQ$45="F","420","0")+IF($BQ$45="N","600","0")+IF($BQ$45="M1","380","0")+IF($BQ$45="P1","380","0")+IF($BQ$45="L104","0","0")+IF($BQ$45="MAL","0","0")+IF($BQ$45="RC","0","0")+IF($BR$45="M","420","0")+IF($BR$45="P","420","0")+IF($BR$45="F","420","0")+IF($BR$45="N","600","0")+IF($BR$45="M1","380","0")+IF($BR$45="P1","380","0")+IF($BR$45="L104","0","0")+IF($BR$45="MAL","0","0")+IF($BR$45="RC","0","0")+IF($BS$45="M","420","0")+IF($BS$45="P","420","0")+IF($BS$45="F","420","0")+IF($BS$45="N","600","0")+IF($BS$45="M1","380","0")+IF($BS$45="P1","380","0")+IF($BS$45="L104","0","0")+IF($BS$45="MAL","0","0")+IF($BS$45="RC","0","0")+IF($BT$45="M","420","0")+IF($BT$45="P","420","0")+IF($BT$45="F","420","0")+IF($BT$45="N","600","0")+IF($BT$45="M1","380","0")+IF($BT$45="P1","380","0")+IF($BT$45="L104","0","0")+IF($BT$45="MAL","0","0")+IF($BT$45="RC","0","0")+IF($BU$45="M","420","0")+IF($BU$45="P","420","0")+IF($BU$45="F","420","0")+IF($BU$45="N","600","0")+IF($BU$45="M1","380","0")+IF($BU$45="P1","380","0")+IF($BU$45="L104","0","0")+IF($BU$45="MAL","0","0")+IF($BU$45="RC","0","0")+IF($BV$45="M","420","0")+IF($BV$45="P","420","0")+IF($BV$45="F","420","0")+IF($BV$45="N","600","0")+IF($BV$45="M1","380","0")+IF($BV$45="P1","380","0")+IF($BV$45="L104","0","0")+IF($BV$45="MAL","0","0")+IF($BV$45="RC","0","0"))</f>
        <v>42:00</v>
      </c>
      <c r="BY45" t="str">
        <f>min_hour( hour_min($BX$45)+-2280 + hour_min($BN$45))</f>
        <v>-02:00</v>
      </c>
      <c r="BZ45" s="16"/>
      <c r="CA45" t="s">
        <v>73</v>
      </c>
      <c r="CB45" t="s">
        <v>75</v>
      </c>
      <c r="CC45" t="s">
        <v>75</v>
      </c>
      <c r="CD45" t="s">
        <v>74</v>
      </c>
      <c r="CE45" t="s">
        <v>75</v>
      </c>
      <c r="CF45" t="s">
        <v>75</v>
      </c>
      <c r="CG45" t="s">
        <v>73</v>
      </c>
      <c r="CH45" t="s">
        <v>1322</v>
      </c>
      <c r="CI45" t="str">
        <f>min_hour(+IF($CA$45="M","420","0")+IF($CA$45="P","420","0")+IF($CA$45="F","420","0")+IF($CA$45="N","600","0")+IF($CA$45="M1","380","0")+IF($CA$45="P1","380","0")+IF($CA$45="L104","0","0")+IF($CA$45="MAL","0","0")+IF($CA$45="RC","0","0")+IF($CB$45="M","420","0")+IF($CB$45="P","420","0")+IF($CB$45="F","420","0")+IF($CB$45="N","600","0")+IF($CB$45="M1","380","0")+IF($CB$45="P1","380","0")+IF($CB$45="L104","0","0")+IF($CB$45="MAL","0","0")+IF($CB$45="RC","0","0")+IF($CC$45="M","420","0")+IF($CC$45="P","420","0")+IF($CC$45="F","420","0")+IF($CC$45="N","600","0")+IF($CC$45="M1","380","0")+IF($CC$45="P1","380","0")+IF($CC$45="L104","0","0")+IF($CC$45="MAL","0","0")+IF($CC$45="RC","0","0")+IF($CD$45="M","420","0")+IF($CD$45="P","420","0")+IF($CD$45="F","420","0")+IF($CD$45="N","600","0")+IF($CD$45="M1","380","0")+IF($CD$45="P1","380","0")+IF($CD$45="L104","0","0")+IF($CD$45="MAL","0","0")+IF($CD$45="RC","0","0")+IF($CE$45="M","420","0")+IF($CE$45="P","420","0")+IF($CE$45="F","420","0")+IF($CE$45="N","600","0")+IF($CE$45="M1","380","0")+IF($CE$45="P1","380","0")+IF($CE$45="L104","0","0")+IF($CE$45="MAL","0","0")+IF($CE$45="RC","0","0")+IF($CF$45="M","420","0")+IF($CF$45="P","420","0")+IF($CF$45="F","420","0")+IF($CF$45="N","600","0")+IF($CF$45="M1","380","0")+IF($CF$45="P1","380","0")+IF($CF$45="L104","0","0")+IF($CF$45="MAL","0","0")+IF($CF$45="RC","0","0")+IF($CG$45="M","420","0")+IF($CG$45="P","420","0")+IF($CG$45="F","420","0")+IF($CG$45="N","600","0")+IF($CG$45="M1","380","0")+IF($CG$45="P1","380","0")+IF($CG$45="L104","0","0")+IF($CG$45="MAL","0","0")+IF($CG$45="RC","0","0"))</f>
        <v>35:00</v>
      </c>
      <c r="CJ45" t="str">
        <f>min_hour( hour_min($CI$45)+-2280 + hour_min($BY$45))</f>
        <v>-05:00</v>
      </c>
      <c r="CK45" s="16"/>
      <c r="CL45" t="s">
        <v>75</v>
      </c>
      <c r="CM45" t="s">
        <v>74</v>
      </c>
      <c r="CN45" t="s">
        <v>73</v>
      </c>
      <c r="CO45" t="s">
        <v>74</v>
      </c>
      <c r="CP45" t="s">
        <v>75</v>
      </c>
      <c r="CQ45" t="s">
        <v>75</v>
      </c>
      <c r="CR45" t="s">
        <v>73</v>
      </c>
      <c r="CS45" t="s">
        <v>1323</v>
      </c>
      <c r="CT45" t="str">
        <f>min_hour(+IF($CL$45="M","420","0")+IF($CL$45="P","420","0")+IF($CL$45="F","420","0")+IF($CL$45="N","600","0")+IF($CL$45="M1","380","0")+IF($CL$45="P1","380","0")+IF($CL$45="L104","0","0")+IF($CL$45="MAL","0","0")+IF($CL$45="RC","0","0")+IF($CM$45="M","420","0")+IF($CM$45="P","420","0")+IF($CM$45="F","420","0")+IF($CM$45="N","600","0")+IF($CM$45="M1","380","0")+IF($CM$45="P1","380","0")+IF($CM$45="L104","0","0")+IF($CM$45="MAL","0","0")+IF($CM$45="RC","0","0")+IF($CN$45="M","420","0")+IF($CN$45="P","420","0")+IF($CN$45="F","420","0")+IF($CN$45="N","600","0")+IF($CN$45="M1","380","0")+IF($CN$45="P1","380","0")+IF($CN$45="L104","0","0")+IF($CN$45="MAL","0","0")+IF($CN$45="RC","0","0")+IF($CO$45="M","420","0")+IF($CO$45="P","420","0")+IF($CO$45="F","420","0")+IF($CO$45="N","600","0")+IF($CO$45="M1","380","0")+IF($CO$45="P1","380","0")+IF($CO$45="L104","0","0")+IF($CO$45="MAL","0","0")+IF($CO$45="RC","0","0")+IF($CP$45="M","420","0")+IF($CP$45="P","420","0")+IF($CP$45="F","420","0")+IF($CP$45="N","600","0")+IF($CP$45="M1","380","0")+IF($CP$45="P1","380","0")+IF($CP$45="L104","0","0")+IF($CP$45="MAL","0","0")+IF($CP$45="RC","0","0")+IF($CQ$45="M","420","0")+IF($CQ$45="P","420","0")+IF($CQ$45="F","420","0")+IF($CQ$45="N","600","0")+IF($CQ$45="M1","380","0")+IF($CQ$45="P1","380","0")+IF($CQ$45="L104","0","0")+IF($CQ$45="MAL","0","0")+IF($CQ$45="RC","0","0")+IF($CR$45="M","420","0")+IF($CR$45="P","420","0")+IF($CR$45="F","420","0")+IF($CR$45="N","600","0")+IF($CR$45="M1","380","0")+IF($CR$45="P1","380","0")+IF($CR$45="L104","0","0")+IF($CR$45="MAL","0","0")+IF($CR$45="RC","0","0"))</f>
        <v>35:00</v>
      </c>
      <c r="CU45" t="str">
        <f>min_hour( hour_min($CT$45)+-2280 + hour_min($CJ$45))</f>
        <v>-08:00</v>
      </c>
      <c r="CV45" s="16"/>
      <c r="CW45" t="s">
        <v>75</v>
      </c>
      <c r="CX45" t="s">
        <v>74</v>
      </c>
      <c r="CY45" t="s">
        <v>75</v>
      </c>
      <c r="CZ45" t="s">
        <v>75</v>
      </c>
      <c r="DA45" t="s">
        <v>73</v>
      </c>
      <c r="DB45" t="s">
        <v>74</v>
      </c>
      <c r="DC45" t="s">
        <v>76</v>
      </c>
      <c r="DD45" t="s">
        <v>1324</v>
      </c>
      <c r="DE45" t="str">
        <f>min_hour(+IF($CW$45="M","420","0")+IF($CW$45="P","420","0")+IF($CW$45="F","420","0")+IF($CW$45="N","600","0")+IF($CW$45="M1","380","0")+IF($CW$45="P1","380","0")+IF($CW$45="L104","0","0")+IF($CW$45="MAL","0","0")+IF($CW$45="RC","0","0")+IF($CX$45="M","420","0")+IF($CX$45="P","420","0")+IF($CX$45="F","420","0")+IF($CX$45="N","600","0")+IF($CX$45="M1","380","0")+IF($CX$45="P1","380","0")+IF($CX$45="L104","0","0")+IF($CX$45="MAL","0","0")+IF($CX$45="RC","0","0")+IF($CY$45="M","420","0")+IF($CY$45="P","420","0")+IF($CY$45="F","420","0")+IF($CY$45="N","600","0")+IF($CY$45="M1","380","0")+IF($CY$45="P1","380","0")+IF($CY$45="L104","0","0")+IF($CY$45="MAL","0","0")+IF($CY$45="RC","0","0")+IF($CZ$45="M","420","0")+IF($CZ$45="P","420","0")+IF($CZ$45="F","420","0")+IF($CZ$45="N","600","0")+IF($CZ$45="M1","380","0")+IF($CZ$45="P1","380","0")+IF($CZ$45="L104","0","0")+IF($CZ$45="MAL","0","0")+IF($CZ$45="RC","0","0")+IF($DA$45="M","420","0")+IF($DA$45="P","420","0")+IF($DA$45="F","420","0")+IF($DA$45="N","600","0")+IF($DA$45="M1","380","0")+IF($DA$45="P1","380","0")+IF($DA$45="L104","0","0")+IF($DA$45="MAL","0","0")+IF($DA$45="RC","0","0")+IF($DB$45="M","420","0")+IF($DB$45="P","420","0")+IF($DB$45="F","420","0")+IF($DB$45="N","600","0")+IF($DB$45="M1","380","0")+IF($DB$45="P1","380","0")+IF($DB$45="L104","0","0")+IF($DB$45="MAL","0","0")+IF($DB$45="RC","0","0")+IF($DC$45="M","420","0")+IF($DC$45="P","420","0")+IF($DC$45="F","420","0")+IF($DC$45="N","600","0")+IF($DC$45="M1","380","0")+IF($DC$45="P1","380","0")+IF($DC$45="L104","0","0")+IF($DC$45="MAL","0","0")+IF($DC$45="RC","0","0"))</f>
        <v>45:00</v>
      </c>
      <c r="DF45" t="str">
        <f>min_hour( hour_min($DE$45)+-2280 + hour_min($CU$45))</f>
        <v>-01:00</v>
      </c>
    </row>
    <row r="46" spans="1:110">
      <c r="X46">
        <f>COUNTIF($X$10:$X$45,"M")</f>
        <v>15</v>
      </c>
      <c r="Y46">
        <f>COUNTIF($Y$10:$Y$45,"M")</f>
        <v>14</v>
      </c>
      <c r="Z46">
        <f>COUNTIF($Z$10:$Z$45,"M")</f>
        <v>13</v>
      </c>
      <c r="AA46">
        <f>COUNTIF($AA$10:$AA$45,"M")</f>
        <v>14</v>
      </c>
      <c r="AB46">
        <f>COUNTIF($AB$10:$AB$45,"M")</f>
        <v>12</v>
      </c>
      <c r="AC46">
        <f>COUNTIF($AC$10:$AC$45,"M")</f>
        <v>14</v>
      </c>
      <c r="AD46">
        <f>COUNTIF($AD$10:$AD$45,"M")</f>
        <v>15</v>
      </c>
      <c r="AI46">
        <f>COUNTIF($AI$10:$AI$45,"M")</f>
        <v>13</v>
      </c>
      <c r="AJ46">
        <f>COUNTIF($AJ$10:$AJ$45,"M")</f>
        <v>18</v>
      </c>
      <c r="AK46">
        <f>COUNTIF($AK$10:$AK$45,"M")</f>
        <v>13</v>
      </c>
      <c r="AL46">
        <f>COUNTIF($AL$10:$AL$45,"M")</f>
        <v>13</v>
      </c>
      <c r="AM46">
        <f>COUNTIF($AM$10:$AM$45,"M")</f>
        <v>14</v>
      </c>
      <c r="AN46">
        <f>COUNTIF($AN$10:$AN$45,"M")</f>
        <v>14</v>
      </c>
      <c r="AO46">
        <f>COUNTIF($AO$10:$AO$45,"M")</f>
        <v>12</v>
      </c>
      <c r="AT46">
        <f>COUNTIF($AT$10:$AT$45,"M")</f>
        <v>14</v>
      </c>
      <c r="AU46">
        <f>COUNTIF($AU$10:$AU$45,"M")</f>
        <v>12</v>
      </c>
      <c r="AV46">
        <f>COUNTIF($AV$10:$AV$45,"M")</f>
        <v>12</v>
      </c>
      <c r="AW46">
        <f>COUNTIF($AW$10:$AW$45,"M")</f>
        <v>12</v>
      </c>
      <c r="AX46">
        <f>COUNTIF($AX$10:$AX$45,"M")</f>
        <v>12</v>
      </c>
      <c r="AY46">
        <f>COUNTIF($AY$10:$AY$45,"M")</f>
        <v>13</v>
      </c>
      <c r="AZ46">
        <f>COUNTIF($AZ$10:$AZ$45,"M")</f>
        <v>13</v>
      </c>
      <c r="BE46">
        <f>COUNTIF($BE$10:$BE$45,"M")</f>
        <v>15</v>
      </c>
      <c r="BF46">
        <f>COUNTIF($BF$10:$BF$45,"M")</f>
        <v>16</v>
      </c>
      <c r="BG46">
        <f>COUNTIF($BG$10:$BG$45,"M")</f>
        <v>14</v>
      </c>
      <c r="BH46">
        <f>COUNTIF($BH$10:$BH$45,"M")</f>
        <v>12</v>
      </c>
      <c r="BI46">
        <f>COUNTIF($BI$10:$BI$45,"M")</f>
        <v>12</v>
      </c>
      <c r="BJ46">
        <f>COUNTIF($BJ$10:$BJ$45,"M")</f>
        <v>14</v>
      </c>
      <c r="BK46">
        <f>COUNTIF($BK$10:$BK$45,"M")</f>
        <v>13</v>
      </c>
      <c r="BP46">
        <f>COUNTIF($BP$10:$BP$45,"M")</f>
        <v>13</v>
      </c>
      <c r="BQ46">
        <f>COUNTIF($BQ$10:$BQ$45,"M")</f>
        <v>12</v>
      </c>
      <c r="BR46">
        <f>COUNTIF($BR$10:$BR$45,"M")</f>
        <v>14</v>
      </c>
      <c r="BS46">
        <f>COUNTIF($BS$10:$BS$45,"M")</f>
        <v>11</v>
      </c>
      <c r="BT46">
        <f>COUNTIF($BT$10:$BT$45,"M")</f>
        <v>11</v>
      </c>
      <c r="BU46">
        <f>COUNTIF($BU$10:$BU$45,"M")</f>
        <v>14</v>
      </c>
      <c r="BV46">
        <f>COUNTIF($BV$10:$BV$45,"M")</f>
        <v>13</v>
      </c>
      <c r="CA46">
        <f>COUNTIF($CA$10:$CA$45,"M")</f>
        <v>15</v>
      </c>
      <c r="CB46">
        <f>COUNTIF($CB$10:$CB$45,"M")</f>
        <v>15</v>
      </c>
      <c r="CC46">
        <f>COUNTIF($CC$10:$CC$45,"M")</f>
        <v>13</v>
      </c>
      <c r="CD46">
        <f>COUNTIF($CD$10:$CD$45,"M")</f>
        <v>12</v>
      </c>
      <c r="CE46">
        <f>COUNTIF($CE$10:$CE$45,"M")</f>
        <v>13</v>
      </c>
      <c r="CF46">
        <f>COUNTIF($CF$10:$CF$45,"M")</f>
        <v>12</v>
      </c>
      <c r="CG46">
        <f>COUNTIF($CG$10:$CG$45,"M")</f>
        <v>13</v>
      </c>
      <c r="CL46">
        <f>COUNTIF($CL$10:$CL$45,"M")</f>
        <v>13</v>
      </c>
      <c r="CM46">
        <f>COUNTIF($CM$10:$CM$45,"M")</f>
        <v>14</v>
      </c>
      <c r="CN46">
        <f>COUNTIF($CN$10:$CN$45,"M")</f>
        <v>11</v>
      </c>
      <c r="CO46">
        <f>COUNTIF($CO$10:$CO$45,"M")</f>
        <v>12</v>
      </c>
      <c r="CP46">
        <f>COUNTIF($CP$10:$CP$45,"M")</f>
        <v>11</v>
      </c>
      <c r="CQ46">
        <f>COUNTIF($CQ$10:$CQ$45,"M")</f>
        <v>14</v>
      </c>
      <c r="CR46">
        <f>COUNTIF($CR$10:$CR$45,"M")</f>
        <v>10</v>
      </c>
      <c r="CW46">
        <f>COUNTIF($CW$10:$CW$45,"M")</f>
        <v>11</v>
      </c>
      <c r="CX46">
        <f>COUNTIF($CX$10:$CX$45,"M")</f>
        <v>14</v>
      </c>
      <c r="CY46">
        <f>COUNTIF($CY$10:$CY$45,"M")</f>
        <v>16</v>
      </c>
      <c r="CZ46">
        <f>COUNTIF($CZ$10:$CZ$45,"M")</f>
        <v>12</v>
      </c>
      <c r="DA46">
        <f>COUNTIF($DA$10:$DA$45,"M")</f>
        <v>12</v>
      </c>
      <c r="DB46">
        <f>COUNTIF($DB$10:$DB$45,"M")</f>
        <v>13</v>
      </c>
      <c r="DC46">
        <f>COUNTIF($DC$10:$DC$45,"M")</f>
        <v>9</v>
      </c>
    </row>
    <row r="47" spans="1:110">
      <c r="X47">
        <f>COUNTIF($X$10:$X$45,"P")</f>
        <v>9</v>
      </c>
      <c r="Y47">
        <f>COUNTIF($Y$10:$Y$45,"P")</f>
        <v>9</v>
      </c>
      <c r="Z47">
        <f>COUNTIF($Z$10:$Z$45,"P")</f>
        <v>9</v>
      </c>
      <c r="AA47">
        <f>COUNTIF($AA$10:$AA$45,"P")</f>
        <v>9</v>
      </c>
      <c r="AB47">
        <f>COUNTIF($AB$10:$AB$45,"P")</f>
        <v>9</v>
      </c>
      <c r="AC47">
        <f>COUNTIF($AC$10:$AC$45,"P")</f>
        <v>9</v>
      </c>
      <c r="AD47">
        <f>COUNTIF($AD$10:$AD$45,"P")</f>
        <v>9</v>
      </c>
      <c r="AI47">
        <f>COUNTIF($AI$10:$AI$45,"P")</f>
        <v>9</v>
      </c>
      <c r="AJ47">
        <f>COUNTIF($AJ$10:$AJ$45,"P")</f>
        <v>9</v>
      </c>
      <c r="AK47">
        <f>COUNTIF($AK$10:$AK$45,"P")</f>
        <v>9</v>
      </c>
      <c r="AL47">
        <f>COUNTIF($AL$10:$AL$45,"P")</f>
        <v>9</v>
      </c>
      <c r="AM47">
        <f>COUNTIF($AM$10:$AM$45,"P")</f>
        <v>9</v>
      </c>
      <c r="AN47">
        <f>COUNTIF($AN$10:$AN$45,"P")</f>
        <v>9</v>
      </c>
      <c r="AO47">
        <f>COUNTIF($AO$10:$AO$45,"P")</f>
        <v>9</v>
      </c>
      <c r="AT47">
        <f>COUNTIF($AT$10:$AT$45,"P")</f>
        <v>9</v>
      </c>
      <c r="AU47">
        <f>COUNTIF($AU$10:$AU$45,"P")</f>
        <v>9</v>
      </c>
      <c r="AV47">
        <f>COUNTIF($AV$10:$AV$45,"P")</f>
        <v>9</v>
      </c>
      <c r="AW47">
        <f>COUNTIF($AW$10:$AW$45,"P")</f>
        <v>9</v>
      </c>
      <c r="AX47">
        <f>COUNTIF($AX$10:$AX$45,"P")</f>
        <v>9</v>
      </c>
      <c r="AY47">
        <f>COUNTIF($AY$10:$AY$45,"P")</f>
        <v>9</v>
      </c>
      <c r="AZ47">
        <f>COUNTIF($AZ$10:$AZ$45,"P")</f>
        <v>9</v>
      </c>
      <c r="BE47">
        <f>COUNTIF($BE$10:$BE$45,"P")</f>
        <v>9</v>
      </c>
      <c r="BF47">
        <f>COUNTIF($BF$10:$BF$45,"P")</f>
        <v>9</v>
      </c>
      <c r="BG47">
        <f>COUNTIF($BG$10:$BG$45,"P")</f>
        <v>9</v>
      </c>
      <c r="BH47">
        <f>COUNTIF($BH$10:$BH$45,"P")</f>
        <v>9</v>
      </c>
      <c r="BI47">
        <f>COUNTIF($BI$10:$BI$45,"P")</f>
        <v>9</v>
      </c>
      <c r="BJ47">
        <f>COUNTIF($BJ$10:$BJ$45,"P")</f>
        <v>9</v>
      </c>
      <c r="BK47">
        <f>COUNTIF($BK$10:$BK$45,"P")</f>
        <v>9</v>
      </c>
      <c r="BP47">
        <f>COUNTIF($BP$10:$BP$45,"P")</f>
        <v>9</v>
      </c>
      <c r="BQ47">
        <f>COUNTIF($BQ$10:$BQ$45,"P")</f>
        <v>8</v>
      </c>
      <c r="BR47">
        <f>COUNTIF($BR$10:$BR$45,"P")</f>
        <v>8</v>
      </c>
      <c r="BS47">
        <f>COUNTIF($BS$10:$BS$45,"P")</f>
        <v>6</v>
      </c>
      <c r="BT47">
        <f>COUNTIF($BT$10:$BT$45,"P")</f>
        <v>9</v>
      </c>
      <c r="BU47">
        <f>COUNTIF($BU$10:$BU$45,"P")</f>
        <v>9</v>
      </c>
      <c r="BV47">
        <f>COUNTIF($BV$10:$BV$45,"P")</f>
        <v>9</v>
      </c>
      <c r="CA47">
        <f>COUNTIF($CA$10:$CA$45,"P")</f>
        <v>8</v>
      </c>
      <c r="CB47">
        <f>COUNTIF($CB$10:$CB$45,"P")</f>
        <v>7</v>
      </c>
      <c r="CC47">
        <f>COUNTIF($CC$10:$CC$45,"P")</f>
        <v>8</v>
      </c>
      <c r="CD47">
        <f>COUNTIF($CD$10:$CD$45,"P")</f>
        <v>9</v>
      </c>
      <c r="CE47">
        <f>COUNTIF($CE$10:$CE$45,"P")</f>
        <v>8</v>
      </c>
      <c r="CF47">
        <f>COUNTIF($CF$10:$CF$45,"P")</f>
        <v>9</v>
      </c>
      <c r="CG47">
        <f>COUNTIF($CG$10:$CG$45,"P")</f>
        <v>8</v>
      </c>
      <c r="CL47">
        <f>COUNTIF($CL$10:$CL$45,"P")</f>
        <v>8</v>
      </c>
      <c r="CM47">
        <f>COUNTIF($CM$10:$CM$45,"P")</f>
        <v>8</v>
      </c>
      <c r="CN47">
        <f>COUNTIF($CN$10:$CN$45,"P")</f>
        <v>8</v>
      </c>
      <c r="CO47">
        <f>COUNTIF($CO$10:$CO$45,"P")</f>
        <v>9</v>
      </c>
      <c r="CP47">
        <f>COUNTIF($CP$10:$CP$45,"P")</f>
        <v>9</v>
      </c>
      <c r="CQ47">
        <f>COUNTIF($CQ$10:$CQ$45,"P")</f>
        <v>9</v>
      </c>
      <c r="CR47">
        <f>COUNTIF($CR$10:$CR$45,"P")</f>
        <v>7</v>
      </c>
      <c r="CW47">
        <f>COUNTIF($CW$10:$CW$45,"P")</f>
        <v>5</v>
      </c>
      <c r="CX47">
        <f>COUNTIF($CX$10:$CX$45,"P")</f>
        <v>5</v>
      </c>
      <c r="CY47">
        <f>COUNTIF($CY$10:$CY$45,"P")</f>
        <v>6</v>
      </c>
      <c r="CZ47">
        <f>COUNTIF($CZ$10:$CZ$45,"P")</f>
        <v>9</v>
      </c>
      <c r="DA47">
        <f>COUNTIF($DA$10:$DA$45,"P")</f>
        <v>9</v>
      </c>
      <c r="DB47">
        <f>COUNTIF($DB$10:$DB$45,"P")</f>
        <v>8</v>
      </c>
      <c r="DC47">
        <f>COUNTIF($DC$10:$DC$45,"P")</f>
        <v>7</v>
      </c>
    </row>
    <row r="48" spans="1:110">
      <c r="X48">
        <f>COUNTIF($X$10:$X$45,"N")</f>
        <v>2</v>
      </c>
      <c r="Y48">
        <f>COUNTIF($Y$10:$Y$45,"N")</f>
        <v>2</v>
      </c>
      <c r="Z48">
        <f>COUNTIF($Z$10:$Z$45,"N")</f>
        <v>2</v>
      </c>
      <c r="AA48">
        <f>COUNTIF($AA$10:$AA$45,"N")</f>
        <v>2</v>
      </c>
      <c r="AB48">
        <f>COUNTIF($AB$10:$AB$45,"N")</f>
        <v>2</v>
      </c>
      <c r="AC48">
        <f>COUNTIF($AC$10:$AC$45,"N")</f>
        <v>2</v>
      </c>
      <c r="AD48">
        <f>COUNTIF($AD$10:$AD$45,"N")</f>
        <v>2</v>
      </c>
      <c r="AI48">
        <f>COUNTIF($AI$10:$AI$45,"N")</f>
        <v>2</v>
      </c>
      <c r="AJ48">
        <f>COUNTIF($AJ$10:$AJ$45,"N")</f>
        <v>2</v>
      </c>
      <c r="AK48">
        <f>COUNTIF($AK$10:$AK$45,"N")</f>
        <v>2</v>
      </c>
      <c r="AL48">
        <f>COUNTIF($AL$10:$AL$45,"N")</f>
        <v>2</v>
      </c>
      <c r="AM48">
        <f>COUNTIF($AM$10:$AM$45,"N")</f>
        <v>2</v>
      </c>
      <c r="AN48">
        <f>COUNTIF($AN$10:$AN$45,"N")</f>
        <v>2</v>
      </c>
      <c r="AO48">
        <f>COUNTIF($AO$10:$AO$45,"N")</f>
        <v>2</v>
      </c>
      <c r="AT48">
        <f>COUNTIF($AT$10:$AT$45,"N")</f>
        <v>2</v>
      </c>
      <c r="AU48">
        <f>COUNTIF($AU$10:$AU$45,"N")</f>
        <v>2</v>
      </c>
      <c r="AV48">
        <f>COUNTIF($AV$10:$AV$45,"N")</f>
        <v>2</v>
      </c>
      <c r="AW48">
        <f>COUNTIF($AW$10:$AW$45,"N")</f>
        <v>2</v>
      </c>
      <c r="AX48">
        <f>COUNTIF($AX$10:$AX$45,"N")</f>
        <v>2</v>
      </c>
      <c r="AY48">
        <f>COUNTIF($AY$10:$AY$45,"N")</f>
        <v>2</v>
      </c>
      <c r="AZ48">
        <f>COUNTIF($AZ$10:$AZ$45,"N")</f>
        <v>2</v>
      </c>
      <c r="BE48">
        <f>COUNTIF($BE$10:$BE$45,"N")</f>
        <v>2</v>
      </c>
      <c r="BF48">
        <f>COUNTIF($BF$10:$BF$45,"N")</f>
        <v>2</v>
      </c>
      <c r="BG48">
        <f>COUNTIF($BG$10:$BG$45,"N")</f>
        <v>2</v>
      </c>
      <c r="BH48">
        <f>COUNTIF($BH$10:$BH$45,"N")</f>
        <v>2</v>
      </c>
      <c r="BI48">
        <f>COUNTIF($BI$10:$BI$45,"N")</f>
        <v>2</v>
      </c>
      <c r="BJ48">
        <f>COUNTIF($BJ$10:$BJ$45,"N")</f>
        <v>2</v>
      </c>
      <c r="BK48">
        <f>COUNTIF($BK$10:$BK$45,"N")</f>
        <v>2</v>
      </c>
      <c r="BP48">
        <f>COUNTIF($BP$10:$BP$45,"N")</f>
        <v>2</v>
      </c>
      <c r="BQ48">
        <f>COUNTIF($BQ$10:$BQ$45,"N")</f>
        <v>2</v>
      </c>
      <c r="BR48">
        <f>COUNTIF($BR$10:$BR$45,"N")</f>
        <v>2</v>
      </c>
      <c r="BS48">
        <f>COUNTIF($BS$10:$BS$45,"N")</f>
        <v>2</v>
      </c>
      <c r="BT48">
        <f>COUNTIF($BT$10:$BT$45,"N")</f>
        <v>2</v>
      </c>
      <c r="BU48">
        <f>COUNTIF($BU$10:$BU$45,"N")</f>
        <v>2</v>
      </c>
      <c r="BV48">
        <f>COUNTIF($BV$10:$BV$45,"N")</f>
        <v>2</v>
      </c>
      <c r="CA48">
        <f>COUNTIF($CA$10:$CA$45,"N")</f>
        <v>2</v>
      </c>
      <c r="CB48">
        <f>COUNTIF($CB$10:$CB$45,"N")</f>
        <v>2</v>
      </c>
      <c r="CC48">
        <f>COUNTIF($CC$10:$CC$45,"N")</f>
        <v>2</v>
      </c>
      <c r="CD48">
        <f>COUNTIF($CD$10:$CD$45,"N")</f>
        <v>2</v>
      </c>
      <c r="CE48">
        <f>COUNTIF($CE$10:$CE$45,"N")</f>
        <v>2</v>
      </c>
      <c r="CF48">
        <f>COUNTIF($CF$10:$CF$45,"N")</f>
        <v>2</v>
      </c>
      <c r="CG48">
        <f>COUNTIF($CG$10:$CG$45,"N")</f>
        <v>2</v>
      </c>
      <c r="CL48">
        <f>COUNTIF($CL$10:$CL$45,"N")</f>
        <v>2</v>
      </c>
      <c r="CM48">
        <f>COUNTIF($CM$10:$CM$45,"N")</f>
        <v>2</v>
      </c>
      <c r="CN48">
        <f>COUNTIF($CN$10:$CN$45,"N")</f>
        <v>2</v>
      </c>
      <c r="CO48">
        <f>COUNTIF($CO$10:$CO$45,"N")</f>
        <v>2</v>
      </c>
      <c r="CP48">
        <f>COUNTIF($CP$10:$CP$45,"N")</f>
        <v>2</v>
      </c>
      <c r="CQ48">
        <f>COUNTIF($CQ$10:$CQ$45,"N")</f>
        <v>2</v>
      </c>
      <c r="CR48">
        <f>COUNTIF($CR$10:$CR$45,"N")</f>
        <v>2</v>
      </c>
      <c r="CW48">
        <f>COUNTIF($CW$10:$CW$45,"N")</f>
        <v>2</v>
      </c>
      <c r="CX48">
        <f>COUNTIF($CX$10:$CX$45,"N")</f>
        <v>2</v>
      </c>
      <c r="CY48">
        <f>COUNTIF($CY$10:$CY$45,"N")</f>
        <v>2</v>
      </c>
      <c r="CZ48">
        <f>COUNTIF($CZ$10:$CZ$45,"N")</f>
        <v>2</v>
      </c>
      <c r="DA48">
        <f>COUNTIF($DA$10:$DA$45,"N")</f>
        <v>2</v>
      </c>
      <c r="DB48">
        <f>COUNTIF($DB$10:$DB$45,"N")</f>
        <v>2</v>
      </c>
      <c r="DC48">
        <f>COUNTIF($DC$10:$DC$45,"N")</f>
        <v>2</v>
      </c>
    </row>
    <row r="49" spans="24:107">
      <c r="X49">
        <f>COUNTIF($X$10:$X$45,"S")</f>
        <v>2</v>
      </c>
      <c r="Y49">
        <f>COUNTIF($Y$10:$Y$45,"S")</f>
        <v>2</v>
      </c>
      <c r="Z49">
        <f>COUNTIF($Z$10:$Z$45,"S")</f>
        <v>2</v>
      </c>
      <c r="AA49">
        <f>COUNTIF($AA$10:$AA$45,"S")</f>
        <v>2</v>
      </c>
      <c r="AB49">
        <f>COUNTIF($AB$10:$AB$45,"S")</f>
        <v>2</v>
      </c>
      <c r="AC49">
        <f>COUNTIF($AC$10:$AC$45,"S")</f>
        <v>2</v>
      </c>
      <c r="AD49">
        <f>COUNTIF($AD$10:$AD$45,"S")</f>
        <v>2</v>
      </c>
      <c r="AI49">
        <f>COUNTIF($AI$10:$AI$45,"S")</f>
        <v>2</v>
      </c>
      <c r="AJ49">
        <f>COUNTIF($AJ$10:$AJ$45,"S")</f>
        <v>2</v>
      </c>
      <c r="AK49">
        <f>COUNTIF($AK$10:$AK$45,"S")</f>
        <v>2</v>
      </c>
      <c r="AL49">
        <f>COUNTIF($AL$10:$AL$45,"S")</f>
        <v>2</v>
      </c>
      <c r="AM49">
        <f>COUNTIF($AM$10:$AM$45,"S")</f>
        <v>2</v>
      </c>
      <c r="AN49">
        <f>COUNTIF($AN$10:$AN$45,"S")</f>
        <v>2</v>
      </c>
      <c r="AO49">
        <f>COUNTIF($AO$10:$AO$45,"S")</f>
        <v>2</v>
      </c>
      <c r="AT49">
        <f>COUNTIF($AT$10:$AT$45,"S")</f>
        <v>2</v>
      </c>
      <c r="AU49">
        <f>COUNTIF($AU$10:$AU$45,"S")</f>
        <v>2</v>
      </c>
      <c r="AV49">
        <f>COUNTIF($AV$10:$AV$45,"S")</f>
        <v>2</v>
      </c>
      <c r="AW49">
        <f>COUNTIF($AW$10:$AW$45,"S")</f>
        <v>2</v>
      </c>
      <c r="AX49">
        <f>COUNTIF($AX$10:$AX$45,"S")</f>
        <v>2</v>
      </c>
      <c r="AY49">
        <f>COUNTIF($AY$10:$AY$45,"S")</f>
        <v>2</v>
      </c>
      <c r="AZ49">
        <f>COUNTIF($AZ$10:$AZ$45,"S")</f>
        <v>2</v>
      </c>
      <c r="BE49">
        <f>COUNTIF($BE$10:$BE$45,"S")</f>
        <v>2</v>
      </c>
      <c r="BF49">
        <f>COUNTIF($BF$10:$BF$45,"S")</f>
        <v>2</v>
      </c>
      <c r="BG49">
        <f>COUNTIF($BG$10:$BG$45,"S")</f>
        <v>2</v>
      </c>
      <c r="BH49">
        <f>COUNTIF($BH$10:$BH$45,"S")</f>
        <v>2</v>
      </c>
      <c r="BI49">
        <f>COUNTIF($BI$10:$BI$45,"S")</f>
        <v>2</v>
      </c>
      <c r="BJ49">
        <f>COUNTIF($BJ$10:$BJ$45,"S")</f>
        <v>2</v>
      </c>
      <c r="BK49">
        <f>COUNTIF($BK$10:$BK$45,"S")</f>
        <v>2</v>
      </c>
      <c r="BP49">
        <f>COUNTIF($BP$10:$BP$45,"S")</f>
        <v>2</v>
      </c>
      <c r="BQ49">
        <f>COUNTIF($BQ$10:$BQ$45,"S")</f>
        <v>2</v>
      </c>
      <c r="BR49">
        <f>COUNTIF($BR$10:$BR$45,"S")</f>
        <v>2</v>
      </c>
      <c r="BS49">
        <f>COUNTIF($BS$10:$BS$45,"S")</f>
        <v>2</v>
      </c>
      <c r="BT49">
        <f>COUNTIF($BT$10:$BT$45,"S")</f>
        <v>2</v>
      </c>
      <c r="BU49">
        <f>COUNTIF($BU$10:$BU$45,"S")</f>
        <v>2</v>
      </c>
      <c r="BV49">
        <f>COUNTIF($BV$10:$BV$45,"S")</f>
        <v>2</v>
      </c>
      <c r="CA49">
        <f>COUNTIF($CA$10:$CA$45,"S")</f>
        <v>2</v>
      </c>
      <c r="CB49">
        <f>COUNTIF($CB$10:$CB$45,"S")</f>
        <v>2</v>
      </c>
      <c r="CC49">
        <f>COUNTIF($CC$10:$CC$45,"S")</f>
        <v>2</v>
      </c>
      <c r="CD49">
        <f>COUNTIF($CD$10:$CD$45,"S")</f>
        <v>2</v>
      </c>
      <c r="CE49">
        <f>COUNTIF($CE$10:$CE$45,"S")</f>
        <v>2</v>
      </c>
      <c r="CF49">
        <f>COUNTIF($CF$10:$CF$45,"S")</f>
        <v>2</v>
      </c>
      <c r="CG49">
        <f>COUNTIF($CG$10:$CG$45,"S")</f>
        <v>2</v>
      </c>
      <c r="CL49">
        <f>COUNTIF($CL$10:$CL$45,"S")</f>
        <v>2</v>
      </c>
      <c r="CM49">
        <f>COUNTIF($CM$10:$CM$45,"S")</f>
        <v>2</v>
      </c>
      <c r="CN49">
        <f>COUNTIF($CN$10:$CN$45,"S")</f>
        <v>2</v>
      </c>
      <c r="CO49">
        <f>COUNTIF($CO$10:$CO$45,"S")</f>
        <v>2</v>
      </c>
      <c r="CP49">
        <f>COUNTIF($CP$10:$CP$45,"S")</f>
        <v>2</v>
      </c>
      <c r="CQ49">
        <f>COUNTIF($CQ$10:$CQ$45,"S")</f>
        <v>2</v>
      </c>
      <c r="CR49">
        <f>COUNTIF($CR$10:$CR$45,"S")</f>
        <v>2</v>
      </c>
      <c r="CW49">
        <f>COUNTIF($CW$10:$CW$45,"S")</f>
        <v>2</v>
      </c>
      <c r="CX49">
        <f>COUNTIF($CX$10:$CX$45,"S")</f>
        <v>2</v>
      </c>
      <c r="CY49">
        <f>COUNTIF($CY$10:$CY$45,"S")</f>
        <v>2</v>
      </c>
      <c r="CZ49">
        <f>COUNTIF($CZ$10:$CZ$45,"S")</f>
        <v>2</v>
      </c>
      <c r="DA49">
        <f>COUNTIF($DA$10:$DA$45,"S")</f>
        <v>2</v>
      </c>
      <c r="DB49">
        <f>COUNTIF($DB$10:$DB$45,"S")</f>
        <v>2</v>
      </c>
      <c r="DC49">
        <f>COUNTIF($DC$10:$DC$45,"S")</f>
        <v>2</v>
      </c>
    </row>
    <row r="50" spans="24:107">
      <c r="X50">
        <f>COUNTIF($X$10:$X$45,"F")</f>
        <v>0</v>
      </c>
      <c r="Y50">
        <f>COUNTIF($Y$10:$Y$45,"F")</f>
        <v>0</v>
      </c>
      <c r="Z50">
        <f>COUNTIF($Z$10:$Z$45,"F")</f>
        <v>0</v>
      </c>
      <c r="AA50">
        <f>COUNTIF($AA$10:$AA$45,"F")</f>
        <v>0</v>
      </c>
      <c r="AB50">
        <f>COUNTIF($AB$10:$AB$45,"F")</f>
        <v>0</v>
      </c>
      <c r="AC50">
        <f>COUNTIF($AC$10:$AC$45,"F")</f>
        <v>0</v>
      </c>
      <c r="AD50">
        <f>COUNTIF($AD$10:$AD$45,"F")</f>
        <v>1</v>
      </c>
      <c r="AI50">
        <f>COUNTIF($AI$10:$AI$45,"F")</f>
        <v>0</v>
      </c>
      <c r="AJ50">
        <f>COUNTIF($AJ$10:$AJ$45,"F")</f>
        <v>0</v>
      </c>
      <c r="AK50">
        <f>COUNTIF($AK$10:$AK$45,"F")</f>
        <v>1</v>
      </c>
      <c r="AL50">
        <f>COUNTIF($AL$10:$AL$45,"F")</f>
        <v>1</v>
      </c>
      <c r="AM50">
        <f>COUNTIF($AM$10:$AM$45,"F")</f>
        <v>0</v>
      </c>
      <c r="AN50">
        <f>COUNTIF($AN$10:$AN$45,"F")</f>
        <v>1</v>
      </c>
      <c r="AO50">
        <f>COUNTIF($AO$10:$AO$45,"F")</f>
        <v>1</v>
      </c>
      <c r="AT50">
        <f>COUNTIF($AT$10:$AT$45,"F")</f>
        <v>1</v>
      </c>
      <c r="AU50">
        <f>COUNTIF($AU$10:$AU$45,"F")</f>
        <v>1</v>
      </c>
      <c r="AV50">
        <f>COUNTIF($AV$10:$AV$45,"F")</f>
        <v>1</v>
      </c>
      <c r="AW50">
        <f>COUNTIF($AW$10:$AW$45,"F")</f>
        <v>0</v>
      </c>
      <c r="AX50">
        <f>COUNTIF($AX$10:$AX$45,"F")</f>
        <v>0</v>
      </c>
      <c r="AY50">
        <f>COUNTIF($AY$10:$AY$45,"F")</f>
        <v>0</v>
      </c>
      <c r="AZ50">
        <f>COUNTIF($AZ$10:$AZ$45,"F")</f>
        <v>0</v>
      </c>
      <c r="BE50">
        <f>COUNTIF($BE$10:$BE$45,"F")</f>
        <v>0</v>
      </c>
      <c r="BF50">
        <f>COUNTIF($BF$10:$BF$45,"F")</f>
        <v>0</v>
      </c>
      <c r="BG50">
        <f>COUNTIF($BG$10:$BG$45,"F")</f>
        <v>0</v>
      </c>
      <c r="BH50">
        <f>COUNTIF($BH$10:$BH$45,"F")</f>
        <v>1</v>
      </c>
      <c r="BI50">
        <f>COUNTIF($BI$10:$BI$45,"F")</f>
        <v>0</v>
      </c>
      <c r="BJ50">
        <f>COUNTIF($BJ$10:$BJ$45,"F")</f>
        <v>1</v>
      </c>
      <c r="BK50">
        <f>COUNTIF($BK$10:$BK$45,"F")</f>
        <v>1</v>
      </c>
      <c r="BP50">
        <f>COUNTIF($BP$10:$BP$45,"F")</f>
        <v>0</v>
      </c>
      <c r="BQ50">
        <f>COUNTIF($BQ$10:$BQ$45,"F")</f>
        <v>2</v>
      </c>
      <c r="BR50">
        <f>COUNTIF($BR$10:$BR$45,"F")</f>
        <v>1</v>
      </c>
      <c r="BS50">
        <f>COUNTIF($BS$10:$BS$45,"F")</f>
        <v>0</v>
      </c>
      <c r="BT50">
        <f>COUNTIF($BT$10:$BT$45,"F")</f>
        <v>2</v>
      </c>
      <c r="BU50">
        <f>COUNTIF($BU$10:$BU$45,"F")</f>
        <v>0</v>
      </c>
      <c r="BV50">
        <f>COUNTIF($BV$10:$BV$45,"F")</f>
        <v>1</v>
      </c>
      <c r="CA50">
        <f>COUNTIF($CA$10:$CA$45,"F")</f>
        <v>0</v>
      </c>
      <c r="CB50">
        <f>COUNTIF($CB$10:$CB$45,"F")</f>
        <v>1</v>
      </c>
      <c r="CC50">
        <f>COUNTIF($CC$10:$CC$45,"F")</f>
        <v>2</v>
      </c>
      <c r="CD50">
        <f>COUNTIF($CD$10:$CD$45,"F")</f>
        <v>0</v>
      </c>
      <c r="CE50">
        <f>COUNTIF($CE$10:$CE$45,"F")</f>
        <v>0</v>
      </c>
      <c r="CF50">
        <f>COUNTIF($CF$10:$CF$45,"F")</f>
        <v>0</v>
      </c>
      <c r="CG50">
        <f>COUNTIF($CG$10:$CG$45,"F")</f>
        <v>2</v>
      </c>
      <c r="CL50">
        <f>COUNTIF($CL$10:$CL$45,"F")</f>
        <v>2</v>
      </c>
      <c r="CM50">
        <f>COUNTIF($CM$10:$CM$45,"F")</f>
        <v>0</v>
      </c>
      <c r="CN50">
        <f>COUNTIF($CN$10:$CN$45,"F")</f>
        <v>1</v>
      </c>
      <c r="CO50">
        <f>COUNTIF($CO$10:$CO$45,"F")</f>
        <v>1</v>
      </c>
      <c r="CP50">
        <f>COUNTIF($CP$10:$CP$45,"F")</f>
        <v>1</v>
      </c>
      <c r="CQ50">
        <f>COUNTIF($CQ$10:$CQ$45,"F")</f>
        <v>1</v>
      </c>
      <c r="CR50">
        <f>COUNTIF($CR$10:$CR$45,"F")</f>
        <v>0</v>
      </c>
      <c r="CW50">
        <f>COUNTIF($CW$10:$CW$45,"F")</f>
        <v>0</v>
      </c>
      <c r="CX50">
        <f>COUNTIF($CX$10:$CX$45,"F")</f>
        <v>1</v>
      </c>
      <c r="CY50">
        <f>COUNTIF($CY$10:$CY$45,"F")</f>
        <v>0</v>
      </c>
      <c r="CZ50">
        <f>COUNTIF($CZ$10:$CZ$45,"F")</f>
        <v>1</v>
      </c>
      <c r="DA50">
        <f>COUNTIF($DA$10:$DA$45,"F")</f>
        <v>1</v>
      </c>
      <c r="DB50">
        <f>COUNTIF($DB$10:$DB$45,"F")</f>
        <v>0</v>
      </c>
      <c r="DC50">
        <f>COUNTIF($DC$10:$DC$45,"F")</f>
        <v>0</v>
      </c>
    </row>
    <row r="51" spans="24:107">
      <c r="X51">
        <f>COUNTIF($X$10:$X$45,"R")</f>
        <v>5</v>
      </c>
      <c r="Y51">
        <f>COUNTIF($Y$10:$Y$45,"R")</f>
        <v>6</v>
      </c>
      <c r="Z51">
        <f>COUNTIF($Z$10:$Z$45,"R")</f>
        <v>5</v>
      </c>
      <c r="AA51">
        <f>COUNTIF($AA$10:$AA$45,"R")</f>
        <v>6</v>
      </c>
      <c r="AB51">
        <f>COUNTIF($AB$10:$AB$45,"R")</f>
        <v>6</v>
      </c>
      <c r="AC51">
        <f>COUNTIF($AC$10:$AC$45,"R")</f>
        <v>6</v>
      </c>
      <c r="AD51">
        <f>COUNTIF($AD$10:$AD$45,"R")</f>
        <v>5</v>
      </c>
      <c r="AI51">
        <f>COUNTIF($AI$10:$AI$45,"R")</f>
        <v>8</v>
      </c>
      <c r="AJ51">
        <f>COUNTIF($AJ$10:$AJ$45,"R")</f>
        <v>3</v>
      </c>
      <c r="AK51">
        <f>COUNTIF($AK$10:$AK$45,"R")</f>
        <v>6</v>
      </c>
      <c r="AL51">
        <f>COUNTIF($AL$10:$AL$45,"R")</f>
        <v>6</v>
      </c>
      <c r="AM51">
        <f>COUNTIF($AM$10:$AM$45,"R")</f>
        <v>6</v>
      </c>
      <c r="AN51">
        <f>COUNTIF($AN$10:$AN$45,"R")</f>
        <v>5</v>
      </c>
      <c r="AO51">
        <f>COUNTIF($AO$10:$AO$45,"R")</f>
        <v>8</v>
      </c>
      <c r="AT51">
        <f>COUNTIF($AT$10:$AT$45,"R")</f>
        <v>5</v>
      </c>
      <c r="AU51">
        <f>COUNTIF($AU$10:$AU$45,"R")</f>
        <v>4</v>
      </c>
      <c r="AV51">
        <f>COUNTIF($AV$10:$AV$45,"R")</f>
        <v>6</v>
      </c>
      <c r="AW51">
        <f>COUNTIF($AW$10:$AW$45,"R")</f>
        <v>6</v>
      </c>
      <c r="AX51">
        <f>COUNTIF($AX$10:$AX$45,"R")</f>
        <v>5</v>
      </c>
      <c r="AY51">
        <f>COUNTIF($AY$10:$AY$45,"R")</f>
        <v>8</v>
      </c>
      <c r="AZ51">
        <f>COUNTIF($AZ$10:$AZ$45,"R")</f>
        <v>5</v>
      </c>
      <c r="BE51">
        <f>COUNTIF($BE$10:$BE$45,"R")</f>
        <v>6</v>
      </c>
      <c r="BF51">
        <f>COUNTIF($BF$10:$BF$45,"R")</f>
        <v>4</v>
      </c>
      <c r="BG51">
        <f>COUNTIF($BG$10:$BG$45,"R")</f>
        <v>6</v>
      </c>
      <c r="BH51">
        <f>COUNTIF($BH$10:$BH$45,"R")</f>
        <v>5</v>
      </c>
      <c r="BI51">
        <f>COUNTIF($BI$10:$BI$45,"R")</f>
        <v>8</v>
      </c>
      <c r="BJ51">
        <f>COUNTIF($BJ$10:$BJ$45,"R")</f>
        <v>5</v>
      </c>
      <c r="BK51">
        <f>COUNTIF($BK$10:$BK$45,"R")</f>
        <v>6</v>
      </c>
      <c r="BP51">
        <f>COUNTIF($BP$10:$BP$45,"R")</f>
        <v>6</v>
      </c>
      <c r="BQ51">
        <f>COUNTIF($BQ$10:$BQ$45,"R")</f>
        <v>5</v>
      </c>
      <c r="BR51">
        <f>COUNTIF($BR$10:$BR$45,"R")</f>
        <v>6</v>
      </c>
      <c r="BS51">
        <f>COUNTIF($BS$10:$BS$45,"R")</f>
        <v>12</v>
      </c>
      <c r="BT51">
        <f>COUNTIF($BT$10:$BT$45,"R")</f>
        <v>7</v>
      </c>
      <c r="BU51">
        <f>COUNTIF($BU$10:$BU$45,"R")</f>
        <v>6</v>
      </c>
      <c r="BV51">
        <f>COUNTIF($BV$10:$BV$45,"R")</f>
        <v>6</v>
      </c>
      <c r="CA51">
        <f>COUNTIF($CA$10:$CA$45,"R")</f>
        <v>7</v>
      </c>
      <c r="CB51">
        <f>COUNTIF($CB$10:$CB$45,"R")</f>
        <v>5</v>
      </c>
      <c r="CC51">
        <f>COUNTIF($CC$10:$CC$45,"R")</f>
        <v>5</v>
      </c>
      <c r="CD51">
        <f>COUNTIF($CD$10:$CD$45,"R")</f>
        <v>5</v>
      </c>
      <c r="CE51">
        <f>COUNTIF($CE$10:$CE$45,"R")</f>
        <v>7</v>
      </c>
      <c r="CF51">
        <f>COUNTIF($CF$10:$CF$45,"R")</f>
        <v>6</v>
      </c>
      <c r="CG51">
        <f>COUNTIF($CG$10:$CG$45,"R")</f>
        <v>6</v>
      </c>
      <c r="CL51">
        <f>COUNTIF($CL$10:$CL$45,"R")</f>
        <v>5</v>
      </c>
      <c r="CM51">
        <f>COUNTIF($CM$10:$CM$45,"R")</f>
        <v>6</v>
      </c>
      <c r="CN51">
        <f>COUNTIF($CN$10:$CN$45,"R")</f>
        <v>7</v>
      </c>
      <c r="CO51">
        <f>COUNTIF($CO$10:$CO$45,"R")</f>
        <v>7</v>
      </c>
      <c r="CP51">
        <f>COUNTIF($CP$10:$CP$45,"R")</f>
        <v>6</v>
      </c>
      <c r="CQ51">
        <f>COUNTIF($CQ$10:$CQ$45,"R")</f>
        <v>5</v>
      </c>
      <c r="CR51">
        <f>COUNTIF($CR$10:$CR$45,"R")</f>
        <v>12</v>
      </c>
      <c r="CW51">
        <f>COUNTIF($CW$10:$CW$45,"R")</f>
        <v>13</v>
      </c>
      <c r="CX51">
        <f>COUNTIF($CX$10:$CX$45,"R")</f>
        <v>8</v>
      </c>
      <c r="CY51">
        <f>COUNTIF($CY$10:$CY$45,"R")</f>
        <v>6</v>
      </c>
      <c r="CZ51">
        <f>COUNTIF($CZ$10:$CZ$45,"R")</f>
        <v>6</v>
      </c>
      <c r="DA51">
        <f>COUNTIF($DA$10:$DA$45,"R")</f>
        <v>7</v>
      </c>
      <c r="DB51">
        <f>COUNTIF($DB$10:$DB$45,"R")</f>
        <v>7</v>
      </c>
      <c r="DC51">
        <f>COUNTIF($DC$10:$DC$45,"R")</f>
        <v>13</v>
      </c>
    </row>
    <row r="52" spans="24:107">
      <c r="X52">
        <f>COUNTIF($X$10:$X$45,"RC")</f>
        <v>1</v>
      </c>
      <c r="Y52">
        <f>COUNTIF($Y$10:$Y$45,"RC")</f>
        <v>1</v>
      </c>
      <c r="Z52">
        <f>COUNTIF($Z$10:$Z$45,"RC")</f>
        <v>3</v>
      </c>
      <c r="AA52">
        <f>COUNTIF($AA$10:$AA$45,"RC")</f>
        <v>1</v>
      </c>
      <c r="AB52">
        <f>COUNTIF($AB$10:$AB$45,"RC")</f>
        <v>3</v>
      </c>
      <c r="AC52">
        <f>COUNTIF($AC$10:$AC$45,"RC")</f>
        <v>0</v>
      </c>
      <c r="AD52">
        <f>COUNTIF($AD$10:$AD$45,"RC")</f>
        <v>0</v>
      </c>
      <c r="AI52">
        <f>COUNTIF($AI$10:$AI$45,"RC")</f>
        <v>0</v>
      </c>
      <c r="AJ52">
        <f>COUNTIF($AJ$10:$AJ$45,"RC")</f>
        <v>0</v>
      </c>
      <c r="AK52">
        <f>COUNTIF($AK$10:$AK$45,"RC")</f>
        <v>1</v>
      </c>
      <c r="AL52">
        <f>COUNTIF($AL$10:$AL$45,"RC")</f>
        <v>1</v>
      </c>
      <c r="AM52">
        <f>COUNTIF($AM$10:$AM$45,"RC")</f>
        <v>1</v>
      </c>
      <c r="AN52">
        <f>COUNTIF($AN$10:$AN$45,"RC")</f>
        <v>0</v>
      </c>
      <c r="AO52">
        <f>COUNTIF($AO$10:$AO$45,"RC")</f>
        <v>0</v>
      </c>
      <c r="AT52">
        <f>COUNTIF($AT$10:$AT$45,"RC")</f>
        <v>1</v>
      </c>
      <c r="AU52">
        <f>COUNTIF($AU$10:$AU$45,"RC")</f>
        <v>4</v>
      </c>
      <c r="AV52">
        <f>COUNTIF($AV$10:$AV$45,"RC")</f>
        <v>2</v>
      </c>
      <c r="AW52">
        <f>COUNTIF($AW$10:$AW$45,"RC")</f>
        <v>3</v>
      </c>
      <c r="AX52">
        <f>COUNTIF($AX$10:$AX$45,"RC")</f>
        <v>4</v>
      </c>
      <c r="AY52">
        <f>COUNTIF($AY$10:$AY$45,"RC")</f>
        <v>0</v>
      </c>
      <c r="AZ52">
        <f>COUNTIF($AZ$10:$AZ$45,"RC")</f>
        <v>3</v>
      </c>
      <c r="BE52">
        <f>COUNTIF($BE$10:$BE$45,"RC")</f>
        <v>0</v>
      </c>
      <c r="BF52">
        <f>COUNTIF($BF$10:$BF$45,"RC")</f>
        <v>1</v>
      </c>
      <c r="BG52">
        <f>COUNTIF($BG$10:$BG$45,"RC")</f>
        <v>0</v>
      </c>
      <c r="BH52">
        <f>COUNTIF($BH$10:$BH$45,"RC")</f>
        <v>3</v>
      </c>
      <c r="BI52">
        <f>COUNTIF($BI$10:$BI$45,"RC")</f>
        <v>1</v>
      </c>
      <c r="BJ52">
        <f>COUNTIF($BJ$10:$BJ$45,"RC")</f>
        <v>1</v>
      </c>
      <c r="BK52">
        <f>COUNTIF($BK$10:$BK$45,"RC")</f>
        <v>1</v>
      </c>
      <c r="BP52">
        <f>COUNTIF($BP$10:$BP$45,"RC")</f>
        <v>1</v>
      </c>
      <c r="BQ52">
        <f>COUNTIF($BQ$10:$BQ$45,"RC")</f>
        <v>2</v>
      </c>
      <c r="BR52">
        <f>COUNTIF($BR$10:$BR$45,"RC")</f>
        <v>1</v>
      </c>
      <c r="BS52">
        <f>COUNTIF($BS$10:$BS$45,"RC")</f>
        <v>0</v>
      </c>
      <c r="BT52">
        <f>COUNTIF($BT$10:$BT$45,"RC")</f>
        <v>0</v>
      </c>
      <c r="BU52">
        <f>COUNTIF($BU$10:$BU$45,"RC")</f>
        <v>0</v>
      </c>
      <c r="BV52">
        <f>COUNTIF($BV$10:$BV$45,"RC")</f>
        <v>0</v>
      </c>
      <c r="CA52">
        <f>COUNTIF($CA$10:$CA$45,"RC")</f>
        <v>0</v>
      </c>
      <c r="CB52">
        <f>COUNTIF($CB$10:$CB$45,"RC")</f>
        <v>1</v>
      </c>
      <c r="CC52">
        <f>COUNTIF($CC$10:$CC$45,"RC")</f>
        <v>1</v>
      </c>
      <c r="CD52">
        <f>COUNTIF($CD$10:$CD$45,"RC")</f>
        <v>3</v>
      </c>
      <c r="CE52">
        <f>COUNTIF($CE$10:$CE$45,"RC")</f>
        <v>1</v>
      </c>
      <c r="CF52">
        <f>COUNTIF($CF$10:$CF$45,"RC")</f>
        <v>1</v>
      </c>
      <c r="CG52">
        <f>COUNTIF($CG$10:$CG$45,"RC")</f>
        <v>1</v>
      </c>
      <c r="CL52">
        <f>COUNTIF($CL$10:$CL$45,"RC")</f>
        <v>1</v>
      </c>
      <c r="CM52">
        <f>COUNTIF($CM$10:$CM$45,"RC")</f>
        <v>0</v>
      </c>
      <c r="CN52">
        <f>COUNTIF($CN$10:$CN$45,"RC")</f>
        <v>1</v>
      </c>
      <c r="CO52">
        <f>COUNTIF($CO$10:$CO$45,"RC")</f>
        <v>0</v>
      </c>
      <c r="CP52">
        <f>COUNTIF($CP$10:$CP$45,"RC")</f>
        <v>2</v>
      </c>
      <c r="CQ52">
        <f>COUNTIF($CQ$10:$CQ$45,"RC")</f>
        <v>0</v>
      </c>
      <c r="CR52">
        <f>COUNTIF($CR$10:$CR$45,"RC")</f>
        <v>0</v>
      </c>
      <c r="CW52">
        <f>COUNTIF($CW$10:$CW$45,"RC")</f>
        <v>0</v>
      </c>
      <c r="CX52">
        <f>COUNTIF($CX$10:$CX$45,"RC")</f>
        <v>1</v>
      </c>
      <c r="CY52">
        <f>COUNTIF($CY$10:$CY$45,"RC")</f>
        <v>1</v>
      </c>
      <c r="CZ52">
        <f>COUNTIF($CZ$10:$CZ$45,"RC")</f>
        <v>1</v>
      </c>
      <c r="DA52">
        <f>COUNTIF($DA$10:$DA$45,"RC")</f>
        <v>1</v>
      </c>
      <c r="DB52">
        <f>COUNTIF($DB$10:$DB$45,"RC")</f>
        <v>0</v>
      </c>
      <c r="DC52">
        <f>COUNTIF($DC$10:$DC$45,"RC")</f>
        <v>0</v>
      </c>
    </row>
    <row r="53" spans="24:107">
      <c r="X53">
        <f>COUNTIF($X$10:$X$45,"MAL")</f>
        <v>0</v>
      </c>
      <c r="Y53">
        <f>COUNTIF($Y$10:$Y$45,"MAL")</f>
        <v>0</v>
      </c>
      <c r="Z53">
        <f>COUNTIF($Z$10:$Z$45,"MAL")</f>
        <v>0</v>
      </c>
      <c r="AA53">
        <f>COUNTIF($AA$10:$AA$45,"MAL")</f>
        <v>0</v>
      </c>
      <c r="AB53">
        <f>COUNTIF($AB$10:$AB$45,"MAL")</f>
        <v>0</v>
      </c>
      <c r="AC53">
        <f>COUNTIF($AC$10:$AC$45,"MAL")</f>
        <v>0</v>
      </c>
      <c r="AD53">
        <f>COUNTIF($AD$10:$AD$45,"MAL")</f>
        <v>0</v>
      </c>
      <c r="AI53">
        <f>COUNTIF($AI$10:$AI$45,"MAL")</f>
        <v>0</v>
      </c>
      <c r="AJ53">
        <f>COUNTIF($AJ$10:$AJ$45,"MAL")</f>
        <v>0</v>
      </c>
      <c r="AK53">
        <f>COUNTIF($AK$10:$AK$45,"MAL")</f>
        <v>0</v>
      </c>
      <c r="AL53">
        <f>COUNTIF($AL$10:$AL$45,"MAL")</f>
        <v>0</v>
      </c>
      <c r="AM53">
        <f>COUNTIF($AM$10:$AM$45,"MAL")</f>
        <v>0</v>
      </c>
      <c r="AN53">
        <f>COUNTIF($AN$10:$AN$45,"MAL")</f>
        <v>0</v>
      </c>
      <c r="AO53">
        <f>COUNTIF($AO$10:$AO$45,"MAL")</f>
        <v>0</v>
      </c>
      <c r="AT53">
        <f>COUNTIF($AT$10:$AT$45,"MAL")</f>
        <v>0</v>
      </c>
      <c r="AU53">
        <f>COUNTIF($AU$10:$AU$45,"MAL")</f>
        <v>0</v>
      </c>
      <c r="AV53">
        <f>COUNTIF($AV$10:$AV$45,"MAL")</f>
        <v>0</v>
      </c>
      <c r="AW53">
        <f>COUNTIF($AW$10:$AW$45,"MAL")</f>
        <v>0</v>
      </c>
      <c r="AX53">
        <f>COUNTIF($AX$10:$AX$45,"MAL")</f>
        <v>0</v>
      </c>
      <c r="AY53">
        <f>COUNTIF($AY$10:$AY$45,"MAL")</f>
        <v>0</v>
      </c>
      <c r="AZ53">
        <f>COUNTIF($AZ$10:$AZ$45,"MAL")</f>
        <v>0</v>
      </c>
      <c r="BE53">
        <f>COUNTIF($BE$10:$BE$45,"MAL")</f>
        <v>0</v>
      </c>
      <c r="BF53">
        <f>COUNTIF($BF$10:$BF$45,"MAL")</f>
        <v>0</v>
      </c>
      <c r="BG53">
        <f>COUNTIF($BG$10:$BG$45,"MAL")</f>
        <v>0</v>
      </c>
      <c r="BH53">
        <f>COUNTIF($BH$10:$BH$45,"MAL")</f>
        <v>0</v>
      </c>
      <c r="BI53">
        <f>COUNTIF($BI$10:$BI$45,"MAL")</f>
        <v>0</v>
      </c>
      <c r="BJ53">
        <f>COUNTIF($BJ$10:$BJ$45,"MAL")</f>
        <v>0</v>
      </c>
      <c r="BK53">
        <f>COUNTIF($BK$10:$BK$45,"MAL")</f>
        <v>0</v>
      </c>
      <c r="BP53">
        <f>COUNTIF($BP$10:$BP$45,"MAL")</f>
        <v>0</v>
      </c>
      <c r="BQ53">
        <f>COUNTIF($BQ$10:$BQ$45,"MAL")</f>
        <v>0</v>
      </c>
      <c r="BR53">
        <f>COUNTIF($BR$10:$BR$45,"MAL")</f>
        <v>0</v>
      </c>
      <c r="BS53">
        <f>COUNTIF($BS$10:$BS$45,"MAL")</f>
        <v>0</v>
      </c>
      <c r="BT53">
        <f>COUNTIF($BT$10:$BT$45,"MAL")</f>
        <v>0</v>
      </c>
      <c r="BU53">
        <f>COUNTIF($BU$10:$BU$45,"MAL")</f>
        <v>0</v>
      </c>
      <c r="BV53">
        <f>COUNTIF($BV$10:$BV$45,"MAL")</f>
        <v>0</v>
      </c>
      <c r="CA53">
        <f>COUNTIF($CA$10:$CA$45,"MAL")</f>
        <v>0</v>
      </c>
      <c r="CB53">
        <f>COUNTIF($CB$10:$CB$45,"MAL")</f>
        <v>0</v>
      </c>
      <c r="CC53">
        <f>COUNTIF($CC$10:$CC$45,"MAL")</f>
        <v>0</v>
      </c>
      <c r="CD53">
        <f>COUNTIF($CD$10:$CD$45,"MAL")</f>
        <v>0</v>
      </c>
      <c r="CE53">
        <f>COUNTIF($CE$10:$CE$45,"MAL")</f>
        <v>0</v>
      </c>
      <c r="CF53">
        <f>COUNTIF($CF$10:$CF$45,"MAL")</f>
        <v>0</v>
      </c>
      <c r="CG53">
        <f>COUNTIF($CG$10:$CG$45,"MAL")</f>
        <v>0</v>
      </c>
      <c r="CL53">
        <f>COUNTIF($CL$10:$CL$45,"MAL")</f>
        <v>0</v>
      </c>
      <c r="CM53">
        <f>COUNTIF($CM$10:$CM$45,"MAL")</f>
        <v>1</v>
      </c>
      <c r="CN53">
        <f>COUNTIF($CN$10:$CN$45,"MAL")</f>
        <v>1</v>
      </c>
      <c r="CO53">
        <f>COUNTIF($CO$10:$CO$45,"MAL")</f>
        <v>0</v>
      </c>
      <c r="CP53">
        <f>COUNTIF($CP$10:$CP$45,"MAL")</f>
        <v>0</v>
      </c>
      <c r="CQ53">
        <f>COUNTIF($CQ$10:$CQ$45,"MAL")</f>
        <v>0</v>
      </c>
      <c r="CR53">
        <f>COUNTIF($CR$10:$CR$45,"MAL")</f>
        <v>0</v>
      </c>
      <c r="CW53">
        <f>COUNTIF($CW$10:$CW$45,"MAL")</f>
        <v>0</v>
      </c>
      <c r="CX53">
        <f>COUNTIF($CX$10:$CX$45,"MAL")</f>
        <v>0</v>
      </c>
      <c r="CY53">
        <f>COUNTIF($CY$10:$CY$45,"MAL")</f>
        <v>0</v>
      </c>
      <c r="CZ53">
        <f>COUNTIF($CZ$10:$CZ$45,"MAL")</f>
        <v>0</v>
      </c>
      <c r="DA53">
        <f>COUNTIF($DA$10:$DA$45,"MAL")</f>
        <v>0</v>
      </c>
      <c r="DB53">
        <f>COUNTIF($DB$10:$DB$45,"MAL")</f>
        <v>0</v>
      </c>
      <c r="DC53">
        <f>COUNTIF($DC$10:$DC$45,"MAL")</f>
        <v>0</v>
      </c>
    </row>
    <row r="54" spans="24:107">
      <c r="X54">
        <f>COUNTIF($X$10:$X$45,"L104")</f>
        <v>0</v>
      </c>
      <c r="Y54">
        <f>COUNTIF($Y$10:$Y$45,"L104")</f>
        <v>0</v>
      </c>
      <c r="Z54">
        <f>COUNTIF($Z$10:$Z$45,"L104")</f>
        <v>0</v>
      </c>
      <c r="AA54">
        <f>COUNTIF($AA$10:$AA$45,"L104")</f>
        <v>0</v>
      </c>
      <c r="AB54">
        <f>COUNTIF($AB$10:$AB$45,"L104")</f>
        <v>0</v>
      </c>
      <c r="AC54">
        <f>COUNTIF($AC$10:$AC$45,"L104")</f>
        <v>1</v>
      </c>
      <c r="AD54">
        <f>COUNTIF($AD$10:$AD$45,"L104")</f>
        <v>0</v>
      </c>
      <c r="AI54">
        <f>COUNTIF($AI$10:$AI$45,"L104")</f>
        <v>0</v>
      </c>
      <c r="AJ54">
        <f>COUNTIF($AJ$10:$AJ$45,"L104")</f>
        <v>0</v>
      </c>
      <c r="AK54">
        <f>COUNTIF($AK$10:$AK$45,"L104")</f>
        <v>0</v>
      </c>
      <c r="AL54">
        <f>COUNTIF($AL$10:$AL$45,"L104")</f>
        <v>0</v>
      </c>
      <c r="AM54">
        <f>COUNTIF($AM$10:$AM$45,"L104")</f>
        <v>0</v>
      </c>
      <c r="AN54">
        <f>COUNTIF($AN$10:$AN$45,"L104")</f>
        <v>1</v>
      </c>
      <c r="AO54">
        <f>COUNTIF($AO$10:$AO$45,"L104")</f>
        <v>0</v>
      </c>
      <c r="AT54">
        <f>COUNTIF($AT$10:$AT$45,"L104")</f>
        <v>0</v>
      </c>
      <c r="AU54">
        <f>COUNTIF($AU$10:$AU$45,"L104")</f>
        <v>0</v>
      </c>
      <c r="AV54">
        <f>COUNTIF($AV$10:$AV$45,"L104")</f>
        <v>0</v>
      </c>
      <c r="AW54">
        <f>COUNTIF($AW$10:$AW$45,"L104")</f>
        <v>0</v>
      </c>
      <c r="AX54">
        <f>COUNTIF($AX$10:$AX$45,"L104")</f>
        <v>0</v>
      </c>
      <c r="AY54">
        <f>COUNTIF($AY$10:$AY$45,"L104")</f>
        <v>0</v>
      </c>
      <c r="AZ54">
        <f>COUNTIF($AZ$10:$AZ$45,"L104")</f>
        <v>0</v>
      </c>
      <c r="BE54">
        <f>COUNTIF($BE$10:$BE$45,"L104")</f>
        <v>0</v>
      </c>
      <c r="BF54">
        <f>COUNTIF($BF$10:$BF$45,"L104")</f>
        <v>0</v>
      </c>
      <c r="BG54">
        <f>COUNTIF($BG$10:$BG$45,"L104")</f>
        <v>1</v>
      </c>
      <c r="BH54">
        <f>COUNTIF($BH$10:$BH$45,"L104")</f>
        <v>0</v>
      </c>
      <c r="BI54">
        <f>COUNTIF($BI$10:$BI$45,"L104")</f>
        <v>0</v>
      </c>
      <c r="BJ54">
        <f>COUNTIF($BJ$10:$BJ$45,"L104")</f>
        <v>0</v>
      </c>
      <c r="BK54">
        <f>COUNTIF($BK$10:$BK$45,"L104")</f>
        <v>0</v>
      </c>
      <c r="BP54">
        <f>COUNTIF($BP$10:$BP$45,"L104")</f>
        <v>0</v>
      </c>
      <c r="BQ54">
        <f>COUNTIF($BQ$10:$BQ$45,"L104")</f>
        <v>0</v>
      </c>
      <c r="BR54">
        <f>COUNTIF($BR$10:$BR$45,"L104")</f>
        <v>0</v>
      </c>
      <c r="BS54">
        <f>COUNTIF($BS$10:$BS$45,"L104")</f>
        <v>0</v>
      </c>
      <c r="BT54">
        <f>COUNTIF($BT$10:$BT$45,"L104")</f>
        <v>0</v>
      </c>
      <c r="BU54">
        <f>COUNTIF($BU$10:$BU$45,"L104")</f>
        <v>0</v>
      </c>
      <c r="BV54">
        <f>COUNTIF($BV$10:$BV$45,"L104")</f>
        <v>0</v>
      </c>
      <c r="CA54">
        <f>COUNTIF($CA$10:$CA$45,"L104")</f>
        <v>0</v>
      </c>
      <c r="CB54">
        <f>COUNTIF($CB$10:$CB$45,"L104")</f>
        <v>0</v>
      </c>
      <c r="CC54">
        <f>COUNTIF($CC$10:$CC$45,"L104")</f>
        <v>0</v>
      </c>
      <c r="CD54">
        <f>COUNTIF($CD$10:$CD$45,"L104")</f>
        <v>0</v>
      </c>
      <c r="CE54">
        <f>COUNTIF($CE$10:$CE$45,"L104")</f>
        <v>0</v>
      </c>
      <c r="CF54">
        <f>COUNTIF($CF$10:$CF$45,"L104")</f>
        <v>1</v>
      </c>
      <c r="CG54">
        <f>COUNTIF($CG$10:$CG$45,"L104")</f>
        <v>0</v>
      </c>
      <c r="CL54">
        <f>COUNTIF($CL$10:$CL$45,"L104")</f>
        <v>0</v>
      </c>
      <c r="CM54">
        <f>COUNTIF($CM$10:$CM$45,"L104")</f>
        <v>0</v>
      </c>
      <c r="CN54">
        <f>COUNTIF($CN$10:$CN$45,"L104")</f>
        <v>0</v>
      </c>
      <c r="CO54">
        <f>COUNTIF($CO$10:$CO$45,"L104")</f>
        <v>0</v>
      </c>
      <c r="CP54">
        <f>COUNTIF($CP$10:$CP$45,"L104")</f>
        <v>0</v>
      </c>
      <c r="CQ54">
        <f>COUNTIF($CQ$10:$CQ$45,"L104")</f>
        <v>1</v>
      </c>
      <c r="CR54">
        <f>COUNTIF($CR$10:$CR$45,"L104")</f>
        <v>0</v>
      </c>
      <c r="CW54">
        <f>COUNTIF($CW$10:$CW$45,"L104")</f>
        <v>0</v>
      </c>
      <c r="CX54">
        <f>COUNTIF($CX$10:$CX$45,"L104")</f>
        <v>0</v>
      </c>
      <c r="CY54">
        <f>COUNTIF($CY$10:$CY$45,"L104")</f>
        <v>0</v>
      </c>
      <c r="CZ54">
        <f>COUNTIF($CZ$10:$CZ$45,"L104")</f>
        <v>0</v>
      </c>
      <c r="DA54">
        <f>COUNTIF($DA$10:$DA$45,"L104")</f>
        <v>0</v>
      </c>
      <c r="DB54">
        <f>COUNTIF($DB$10:$DB$45,"L104")</f>
        <v>1</v>
      </c>
      <c r="DC54">
        <f>COUNTIF($DC$10:$DC$45,"L104")</f>
        <v>0</v>
      </c>
    </row>
  </sheetData>
  <mergeCells count="9">
    <mergeCell ref="BZ10:BZ45"/>
    <mergeCell ref="CK10:CK45"/>
    <mergeCell ref="CV10:CV45"/>
    <mergeCell ref="I10:I45"/>
    <mergeCell ref="W10:W45"/>
    <mergeCell ref="AH10:AH45"/>
    <mergeCell ref="AS10:AS45"/>
    <mergeCell ref="BD10:BD45"/>
    <mergeCell ref="BO10:BO45"/>
  </mergeCells>
  <conditionalFormatting sqref="A1:XFD1048576">
    <cfRule type="cellIs" dxfId="10" priority="1" operator="equal">
      <formula>"RC"</formula>
    </cfRule>
    <cfRule type="cellIs" dxfId="9" priority="2" operator="equal">
      <formula>"R"</formula>
    </cfRule>
    <cfRule type="cellIs" dxfId="8" priority="3" operator="equal">
      <formula>"S"</formula>
    </cfRule>
    <cfRule type="cellIs" dxfId="7" priority="4" operator="equal">
      <formula>"N"</formula>
    </cfRule>
    <cfRule type="cellIs" dxfId="6" priority="5" operator="equal">
      <formula>"RC"</formula>
    </cfRule>
    <cfRule type="cellIs" dxfId="5" priority="6" operator="equal">
      <formula>"R"</formula>
    </cfRule>
    <cfRule type="cellIs" dxfId="4" priority="7" operator="equal">
      <formula>"S"</formula>
    </cfRule>
    <cfRule type="cellIs" dxfId="3" priority="8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CL10:CR45 X10:AD45 BP10:BV45 CA10:CG45 BE10:BK45 AT10:AZ45 AI10:AO45 CW10:DC45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5"/>
  <dimension ref="A1:G2"/>
  <sheetViews>
    <sheetView workbookViewId="0"/>
  </sheetViews>
  <sheetFormatPr defaultRowHeight="15"/>
  <sheetData>
    <row r="1" spans="1:7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8AB6ED-FBCE-4FF5-AC03-0F4FA4CB24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3</vt:i4>
      </vt:variant>
    </vt:vector>
  </HeadingPairs>
  <TitlesOfParts>
    <vt:vector size="14" baseType="lpstr">
      <vt:lpstr>Sheet1</vt:lpstr>
      <vt:lpstr>COMANDI</vt:lpstr>
      <vt:lpstr>ANAGRAFICA</vt:lpstr>
      <vt:lpstr>MATRICETURNI</vt:lpstr>
      <vt:lpstr>GIUSTIFICATIVI_ASSENZE</vt:lpstr>
      <vt:lpstr>TURNAZIONE_OPERATORE</vt:lpstr>
      <vt:lpstr>Classified as UnClassified</vt:lpstr>
      <vt:lpstr>2016_31_35</vt:lpstr>
      <vt:lpstr>2016_36_39</vt:lpstr>
      <vt:lpstr>2016_40_44</vt:lpstr>
      <vt:lpstr>2016_45_52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User</cp:lastModifiedBy>
  <dcterms:created xsi:type="dcterms:W3CDTF">2016-10-06T15:21:34Z</dcterms:created>
  <dcterms:modified xsi:type="dcterms:W3CDTF">2016-12-23T09:57:12Z</dcterms:modified>
</cp:coreProperties>
</file>